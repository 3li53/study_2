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svalbard-my.sharepoint.com/personal/elisebs_unis_no/Documents/R/INSULATE/study_2/data/raw/irms/extracts/"/>
    </mc:Choice>
  </mc:AlternateContent>
  <xr:revisionPtr revIDLastSave="0" documentId="8_{9198CC05-83BD-47F8-B65E-D8732E811C7E}" xr6:coauthVersionLast="47" xr6:coauthVersionMax="47" xr10:uidLastSave="{00000000-0000-0000-0000-000000000000}"/>
  <bookViews>
    <workbookView xWindow="-120" yWindow="-120" windowWidth="29040" windowHeight="17520" tabRatio="391" activeTab="4" xr2:uid="{00000000-000D-0000-FFFF-FFFF00000000}"/>
  </bookViews>
  <sheets>
    <sheet name="data" sheetId="1" r:id="rId1"/>
    <sheet name="data peach removed" sheetId="16" r:id="rId2"/>
    <sheet name="AM conversions" sheetId="10" r:id="rId3"/>
    <sheet name="calculatedMic" sheetId="11" r:id="rId4"/>
    <sheet name="FINAL_CLEAN" sheetId="12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99" i="11" l="1"/>
  <c r="BF99" i="11"/>
  <c r="AY8" i="11"/>
  <c r="BF3" i="11"/>
  <c r="AS3" i="11"/>
  <c r="BE194" i="11" l="1"/>
  <c r="BE193" i="11"/>
  <c r="BG193" i="11" s="1"/>
  <c r="BH193" i="11" s="1"/>
  <c r="BE192" i="11"/>
  <c r="BE191" i="11"/>
  <c r="BG191" i="11" s="1"/>
  <c r="BH191" i="11" s="1"/>
  <c r="BE190" i="11"/>
  <c r="BG190" i="11" s="1"/>
  <c r="BH190" i="11" s="1"/>
  <c r="BE189" i="11"/>
  <c r="BG189" i="11" s="1"/>
  <c r="BH189" i="11" s="1"/>
  <c r="BE188" i="11"/>
  <c r="BE187" i="11"/>
  <c r="BE186" i="11"/>
  <c r="BG186" i="11" s="1"/>
  <c r="BH186" i="11" s="1"/>
  <c r="BE185" i="11"/>
  <c r="BE184" i="11"/>
  <c r="BG184" i="11" s="1"/>
  <c r="BH184" i="11" s="1"/>
  <c r="BE183" i="11"/>
  <c r="BG183" i="11" s="1"/>
  <c r="BH183" i="11" s="1"/>
  <c r="BE182" i="11"/>
  <c r="BE181" i="11"/>
  <c r="BE180" i="11"/>
  <c r="BE179" i="11"/>
  <c r="BE178" i="11"/>
  <c r="BG178" i="11" s="1"/>
  <c r="BH178" i="11" s="1"/>
  <c r="BE177" i="11"/>
  <c r="BG177" i="11" s="1"/>
  <c r="BH177" i="11" s="1"/>
  <c r="BE176" i="11"/>
  <c r="BE175" i="11"/>
  <c r="BE174" i="11"/>
  <c r="BG174" i="11" s="1"/>
  <c r="BH174" i="11" s="1"/>
  <c r="BE173" i="11"/>
  <c r="BG173" i="11" s="1"/>
  <c r="BH173" i="11" s="1"/>
  <c r="BE172" i="11"/>
  <c r="BE171" i="11"/>
  <c r="BG171" i="11" s="1"/>
  <c r="BH171" i="11" s="1"/>
  <c r="BE170" i="11"/>
  <c r="BE169" i="11"/>
  <c r="BG169" i="11" s="1"/>
  <c r="BH169" i="11" s="1"/>
  <c r="BE168" i="11"/>
  <c r="BG168" i="11" s="1"/>
  <c r="BH168" i="11" s="1"/>
  <c r="BE167" i="11"/>
  <c r="BG167" i="11" s="1"/>
  <c r="BH167" i="11" s="1"/>
  <c r="BE166" i="11"/>
  <c r="BG166" i="11" s="1"/>
  <c r="BH166" i="11" s="1"/>
  <c r="BE165" i="11"/>
  <c r="BG165" i="11" s="1"/>
  <c r="BH165" i="11" s="1"/>
  <c r="BE164" i="11"/>
  <c r="BE163" i="11"/>
  <c r="BE162" i="11"/>
  <c r="BG162" i="11" s="1"/>
  <c r="BH162" i="11" s="1"/>
  <c r="BE161" i="11"/>
  <c r="BE160" i="11"/>
  <c r="BG160" i="11" s="1"/>
  <c r="BH160" i="11" s="1"/>
  <c r="BE159" i="11"/>
  <c r="BG159" i="11" s="1"/>
  <c r="BH159" i="11" s="1"/>
  <c r="BE158" i="11"/>
  <c r="BE157" i="11"/>
  <c r="BE156" i="11"/>
  <c r="BE155" i="11"/>
  <c r="BE154" i="11"/>
  <c r="BG154" i="11" s="1"/>
  <c r="BH154" i="11" s="1"/>
  <c r="BE153" i="11"/>
  <c r="BG153" i="11" s="1"/>
  <c r="BH153" i="11" s="1"/>
  <c r="BE152" i="11"/>
  <c r="BE151" i="11"/>
  <c r="BE150" i="11"/>
  <c r="BG150" i="11" s="1"/>
  <c r="BH150" i="11" s="1"/>
  <c r="BE149" i="11"/>
  <c r="BG149" i="11" s="1"/>
  <c r="BH149" i="11" s="1"/>
  <c r="BE148" i="11"/>
  <c r="BE147" i="11"/>
  <c r="BE146" i="11"/>
  <c r="BE145" i="11"/>
  <c r="BG145" i="11" s="1"/>
  <c r="BH145" i="11" s="1"/>
  <c r="BE144" i="11"/>
  <c r="BG144" i="11" s="1"/>
  <c r="BH144" i="11" s="1"/>
  <c r="BE143" i="11"/>
  <c r="BG143" i="11" s="1"/>
  <c r="BH143" i="11" s="1"/>
  <c r="BE142" i="11"/>
  <c r="BG142" i="11" s="1"/>
  <c r="BH142" i="11" s="1"/>
  <c r="BE141" i="11"/>
  <c r="BG141" i="11" s="1"/>
  <c r="BH141" i="11" s="1"/>
  <c r="BE140" i="11"/>
  <c r="BE139" i="11"/>
  <c r="BE138" i="11"/>
  <c r="BG138" i="11" s="1"/>
  <c r="BH138" i="11" s="1"/>
  <c r="BE137" i="11"/>
  <c r="BE136" i="11"/>
  <c r="BG136" i="11" s="1"/>
  <c r="BH136" i="11" s="1"/>
  <c r="BE135" i="11"/>
  <c r="BG135" i="11" s="1"/>
  <c r="BH135" i="11" s="1"/>
  <c r="BE134" i="11"/>
  <c r="BE133" i="11"/>
  <c r="BE132" i="11"/>
  <c r="BE130" i="11"/>
  <c r="BE129" i="11"/>
  <c r="BG129" i="11" s="1"/>
  <c r="BH129" i="11" s="1"/>
  <c r="BE128" i="11"/>
  <c r="BG128" i="11" s="1"/>
  <c r="BH128" i="11" s="1"/>
  <c r="BE127" i="11"/>
  <c r="BE126" i="11"/>
  <c r="BE125" i="11"/>
  <c r="BG125" i="11" s="1"/>
  <c r="BH125" i="11" s="1"/>
  <c r="BE124" i="11"/>
  <c r="BG124" i="11" s="1"/>
  <c r="BH124" i="11" s="1"/>
  <c r="BE123" i="11"/>
  <c r="BG123" i="11" s="1"/>
  <c r="BH123" i="11" s="1"/>
  <c r="BE122" i="11"/>
  <c r="BG122" i="11" s="1"/>
  <c r="BH122" i="11" s="1"/>
  <c r="BE121" i="11"/>
  <c r="BE120" i="11"/>
  <c r="BG120" i="11" s="1"/>
  <c r="BH120" i="11" s="1"/>
  <c r="BE119" i="11"/>
  <c r="BG119" i="11" s="1"/>
  <c r="BH119" i="11" s="1"/>
  <c r="BE118" i="11"/>
  <c r="BG118" i="11" s="1"/>
  <c r="BH118" i="11" s="1"/>
  <c r="BE117" i="11"/>
  <c r="BG117" i="11" s="1"/>
  <c r="BH117" i="11" s="1"/>
  <c r="BE116" i="11"/>
  <c r="BG116" i="11" s="1"/>
  <c r="BH116" i="11" s="1"/>
  <c r="BE115" i="11"/>
  <c r="BE114" i="11"/>
  <c r="BE113" i="11"/>
  <c r="BG113" i="11" s="1"/>
  <c r="BH113" i="11" s="1"/>
  <c r="BE112" i="11"/>
  <c r="BE111" i="11"/>
  <c r="BG111" i="11" s="1"/>
  <c r="BH111" i="11" s="1"/>
  <c r="BE110" i="11"/>
  <c r="BG110" i="11" s="1"/>
  <c r="BH110" i="11" s="1"/>
  <c r="BE109" i="11"/>
  <c r="BE108" i="11"/>
  <c r="BE107" i="11"/>
  <c r="BE106" i="11"/>
  <c r="BE105" i="11"/>
  <c r="BG105" i="11" s="1"/>
  <c r="BH105" i="11" s="1"/>
  <c r="BE104" i="11"/>
  <c r="BG104" i="11" s="1"/>
  <c r="BH104" i="11" s="1"/>
  <c r="BE103" i="11"/>
  <c r="BE102" i="11"/>
  <c r="BE101" i="11"/>
  <c r="BG101" i="11" s="1"/>
  <c r="BH101" i="11" s="1"/>
  <c r="BE100" i="11"/>
  <c r="BG100" i="11" s="1"/>
  <c r="BH100" i="11" s="1"/>
  <c r="BE99" i="11"/>
  <c r="BG194" i="11"/>
  <c r="BG192" i="11"/>
  <c r="BH192" i="11" s="1"/>
  <c r="BG188" i="11"/>
  <c r="BH188" i="11" s="1"/>
  <c r="BG187" i="11"/>
  <c r="BH187" i="11" s="1"/>
  <c r="BG185" i="11"/>
  <c r="BH185" i="11" s="1"/>
  <c r="BG182" i="11"/>
  <c r="BG181" i="11"/>
  <c r="BH181" i="11" s="1"/>
  <c r="BG180" i="11"/>
  <c r="BG179" i="11"/>
  <c r="BH179" i="11" s="1"/>
  <c r="BG176" i="11"/>
  <c r="BH176" i="11" s="1"/>
  <c r="BG175" i="11"/>
  <c r="BG172" i="11"/>
  <c r="BG170" i="11"/>
  <c r="BG164" i="11"/>
  <c r="BH164" i="11" s="1"/>
  <c r="BG163" i="11"/>
  <c r="BH163" i="11" s="1"/>
  <c r="BG161" i="11"/>
  <c r="BH161" i="11" s="1"/>
  <c r="BG158" i="11"/>
  <c r="BH158" i="11" s="1"/>
  <c r="BG157" i="11"/>
  <c r="BH157" i="11" s="1"/>
  <c r="BG156" i="11"/>
  <c r="BG155" i="11"/>
  <c r="BG152" i="11"/>
  <c r="BH152" i="11" s="1"/>
  <c r="BG151" i="11"/>
  <c r="BG148" i="11"/>
  <c r="BH148" i="11" s="1"/>
  <c r="BG147" i="11"/>
  <c r="BH147" i="11" s="1"/>
  <c r="BG146" i="11"/>
  <c r="BH146" i="11" s="1"/>
  <c r="BG140" i="11"/>
  <c r="BH140" i="11" s="1"/>
  <c r="BG139" i="11"/>
  <c r="BG137" i="11"/>
  <c r="BH137" i="11" s="1"/>
  <c r="BG134" i="11"/>
  <c r="BG133" i="11"/>
  <c r="BH133" i="11" s="1"/>
  <c r="BG132" i="11"/>
  <c r="BH132" i="11" s="1"/>
  <c r="BG130" i="11"/>
  <c r="BH130" i="11" s="1"/>
  <c r="BG127" i="11"/>
  <c r="BH127" i="11" s="1"/>
  <c r="BG126" i="11"/>
  <c r="BG121" i="11"/>
  <c r="BH121" i="11" s="1"/>
  <c r="BG115" i="11"/>
  <c r="BH115" i="11" s="1"/>
  <c r="BG114" i="11"/>
  <c r="BG112" i="11"/>
  <c r="BH112" i="11" s="1"/>
  <c r="BG109" i="11"/>
  <c r="BH109" i="11" s="1"/>
  <c r="BG108" i="11"/>
  <c r="BH108" i="11" s="1"/>
  <c r="BG107" i="11"/>
  <c r="BH107" i="11" s="1"/>
  <c r="BG106" i="11"/>
  <c r="BH106" i="11" s="1"/>
  <c r="BG103" i="11"/>
  <c r="BH103" i="11" s="1"/>
  <c r="BG102" i="11"/>
  <c r="BG99" i="11"/>
  <c r="BH99" i="11" s="1"/>
  <c r="BH194" i="11"/>
  <c r="BH182" i="11"/>
  <c r="BH180" i="11"/>
  <c r="BH175" i="11"/>
  <c r="BH172" i="11"/>
  <c r="BH170" i="11"/>
  <c r="BH156" i="11"/>
  <c r="BH155" i="11"/>
  <c r="BH151" i="11"/>
  <c r="BH139" i="11"/>
  <c r="BH134" i="11"/>
  <c r="BH126" i="11"/>
  <c r="BH114" i="11"/>
  <c r="BH102" i="11"/>
  <c r="BG98" i="11" l="1"/>
  <c r="BH98" i="11" s="1"/>
  <c r="BE98" i="11"/>
  <c r="BE97" i="11"/>
  <c r="BG97" i="11" s="1"/>
  <c r="BH97" i="11" s="1"/>
  <c r="BE96" i="11"/>
  <c r="BG96" i="11" s="1"/>
  <c r="BH96" i="11" s="1"/>
  <c r="BE95" i="11"/>
  <c r="BG95" i="11" s="1"/>
  <c r="BH95" i="11" s="1"/>
  <c r="BG94" i="11"/>
  <c r="BH94" i="11" s="1"/>
  <c r="BE94" i="11"/>
  <c r="BE93" i="11"/>
  <c r="BG93" i="11" s="1"/>
  <c r="BH93" i="11" s="1"/>
  <c r="BE92" i="11"/>
  <c r="BG92" i="11" s="1"/>
  <c r="BH92" i="11" s="1"/>
  <c r="BE91" i="11"/>
  <c r="BG91" i="11" s="1"/>
  <c r="BH91" i="11" s="1"/>
  <c r="BE90" i="11"/>
  <c r="BG90" i="11" s="1"/>
  <c r="BH90" i="11" s="1"/>
  <c r="BE89" i="11"/>
  <c r="BG89" i="11" s="1"/>
  <c r="BH89" i="11" s="1"/>
  <c r="BE88" i="11"/>
  <c r="BG88" i="11" s="1"/>
  <c r="BH88" i="11" s="1"/>
  <c r="BE87" i="11"/>
  <c r="BG87" i="11" s="1"/>
  <c r="BH87" i="11" s="1"/>
  <c r="BG86" i="11"/>
  <c r="BH86" i="11" s="1"/>
  <c r="BE86" i="11"/>
  <c r="BE85" i="11"/>
  <c r="BG85" i="11" s="1"/>
  <c r="BH85" i="11" s="1"/>
  <c r="BE84" i="11"/>
  <c r="BG84" i="11" s="1"/>
  <c r="BH84" i="11" s="1"/>
  <c r="BG83" i="11"/>
  <c r="BH83" i="11" s="1"/>
  <c r="BE83" i="11"/>
  <c r="BE82" i="11"/>
  <c r="BG82" i="11" s="1"/>
  <c r="BH82" i="11" s="1"/>
  <c r="BE81" i="11"/>
  <c r="BG81" i="11" s="1"/>
  <c r="BH81" i="11" s="1"/>
  <c r="BE80" i="11"/>
  <c r="BG80" i="11" s="1"/>
  <c r="BH80" i="11" s="1"/>
  <c r="BE79" i="11"/>
  <c r="BG79" i="11" s="1"/>
  <c r="BH79" i="11" s="1"/>
  <c r="BE78" i="11"/>
  <c r="BG78" i="11" s="1"/>
  <c r="BH78" i="11" s="1"/>
  <c r="BE77" i="11"/>
  <c r="BG77" i="11" s="1"/>
  <c r="BH77" i="11" s="1"/>
  <c r="BE76" i="11"/>
  <c r="BG76" i="11" s="1"/>
  <c r="BH76" i="11" s="1"/>
  <c r="BE75" i="11"/>
  <c r="BG75" i="11" s="1"/>
  <c r="BH75" i="11" s="1"/>
  <c r="BE74" i="11"/>
  <c r="BG74" i="11" s="1"/>
  <c r="BH74" i="11" s="1"/>
  <c r="BE73" i="11"/>
  <c r="BG73" i="11" s="1"/>
  <c r="BH73" i="11" s="1"/>
  <c r="BE72" i="11"/>
  <c r="BG72" i="11" s="1"/>
  <c r="BH72" i="11" s="1"/>
  <c r="BE71" i="11"/>
  <c r="BG71" i="11" s="1"/>
  <c r="BH71" i="11" s="1"/>
  <c r="BE70" i="11"/>
  <c r="BG70" i="11" s="1"/>
  <c r="BH70" i="11" s="1"/>
  <c r="BE69" i="11"/>
  <c r="BG69" i="11" s="1"/>
  <c r="BH69" i="11" s="1"/>
  <c r="BE68" i="11"/>
  <c r="BG68" i="11" s="1"/>
  <c r="BH68" i="11" s="1"/>
  <c r="BE67" i="11"/>
  <c r="BG67" i="11" s="1"/>
  <c r="BH67" i="11" s="1"/>
  <c r="BG66" i="11"/>
  <c r="BH66" i="11" s="1"/>
  <c r="BE66" i="11"/>
  <c r="BE65" i="11"/>
  <c r="BG65" i="11" s="1"/>
  <c r="BH65" i="11" s="1"/>
  <c r="BE64" i="11"/>
  <c r="BG64" i="11" s="1"/>
  <c r="BH64" i="11" s="1"/>
  <c r="BE63" i="11"/>
  <c r="BG63" i="11" s="1"/>
  <c r="BH63" i="11" s="1"/>
  <c r="BE62" i="11"/>
  <c r="BG62" i="11" s="1"/>
  <c r="BH62" i="11" s="1"/>
  <c r="BE61" i="11"/>
  <c r="BG61" i="11" s="1"/>
  <c r="BH61" i="11" s="1"/>
  <c r="BE60" i="11"/>
  <c r="BG60" i="11" s="1"/>
  <c r="BH60" i="11" s="1"/>
  <c r="BE59" i="11"/>
  <c r="BG59" i="11" s="1"/>
  <c r="BH59" i="11" s="1"/>
  <c r="BE58" i="11"/>
  <c r="BG58" i="11" s="1"/>
  <c r="BH58" i="11" s="1"/>
  <c r="BE57" i="11"/>
  <c r="BG57" i="11" s="1"/>
  <c r="BH57" i="11" s="1"/>
  <c r="BE56" i="11"/>
  <c r="BG56" i="11" s="1"/>
  <c r="BH56" i="11" s="1"/>
  <c r="BE55" i="11"/>
  <c r="BG55" i="11" s="1"/>
  <c r="BH55" i="11" s="1"/>
  <c r="BE54" i="11"/>
  <c r="BG54" i="11" s="1"/>
  <c r="BH54" i="11" s="1"/>
  <c r="BE53" i="11"/>
  <c r="BG53" i="11" s="1"/>
  <c r="BH53" i="11" s="1"/>
  <c r="BE52" i="11"/>
  <c r="BG52" i="11" s="1"/>
  <c r="BH52" i="11" s="1"/>
  <c r="BE51" i="11"/>
  <c r="BG51" i="11" s="1"/>
  <c r="BH51" i="11" s="1"/>
  <c r="BE50" i="11"/>
  <c r="BG50" i="11" s="1"/>
  <c r="BH50" i="11" s="1"/>
  <c r="BE49" i="11"/>
  <c r="BG49" i="11" s="1"/>
  <c r="BH49" i="11" s="1"/>
  <c r="BE48" i="11"/>
  <c r="BG48" i="11" s="1"/>
  <c r="BH48" i="11" s="1"/>
  <c r="BE47" i="11"/>
  <c r="BG47" i="11" s="1"/>
  <c r="BH47" i="11" s="1"/>
  <c r="BE46" i="11"/>
  <c r="BG46" i="11" s="1"/>
  <c r="BH46" i="11" s="1"/>
  <c r="BE45" i="11"/>
  <c r="BG45" i="11" s="1"/>
  <c r="BH45" i="11" s="1"/>
  <c r="BE44" i="11"/>
  <c r="BG44" i="11" s="1"/>
  <c r="BH44" i="11" s="1"/>
  <c r="BG43" i="11"/>
  <c r="BH43" i="11" s="1"/>
  <c r="BE43" i="11"/>
  <c r="BE42" i="11"/>
  <c r="BG42" i="11" s="1"/>
  <c r="BH42" i="11" s="1"/>
  <c r="BE41" i="11"/>
  <c r="BG41" i="11" s="1"/>
  <c r="BH41" i="11" s="1"/>
  <c r="BE40" i="11"/>
  <c r="BG40" i="11" s="1"/>
  <c r="BH40" i="11" s="1"/>
  <c r="BE39" i="11"/>
  <c r="BG39" i="11" s="1"/>
  <c r="BH39" i="11" s="1"/>
  <c r="BE38" i="11"/>
  <c r="BG38" i="11" s="1"/>
  <c r="BH38" i="11" s="1"/>
  <c r="BE37" i="11"/>
  <c r="BG37" i="11" s="1"/>
  <c r="BH37" i="11" s="1"/>
  <c r="BE36" i="11"/>
  <c r="BG36" i="11" s="1"/>
  <c r="BH36" i="11" s="1"/>
  <c r="BE35" i="11"/>
  <c r="BG35" i="11" s="1"/>
  <c r="BH35" i="11" s="1"/>
  <c r="AY35" i="11"/>
  <c r="BE34" i="11"/>
  <c r="BG34" i="11" s="1"/>
  <c r="BH34" i="11" s="1"/>
  <c r="BE33" i="11"/>
  <c r="BG33" i="11" s="1"/>
  <c r="BH33" i="11" s="1"/>
  <c r="BE32" i="11"/>
  <c r="BG32" i="11" s="1"/>
  <c r="BH32" i="11" s="1"/>
  <c r="BE31" i="11"/>
  <c r="BG31" i="11" s="1"/>
  <c r="BH31" i="11" s="1"/>
  <c r="BE30" i="11"/>
  <c r="BG30" i="11" s="1"/>
  <c r="BH30" i="11" s="1"/>
  <c r="BE29" i="11"/>
  <c r="BG29" i="11" s="1"/>
  <c r="BH29" i="11" s="1"/>
  <c r="BE28" i="11"/>
  <c r="BG28" i="11" s="1"/>
  <c r="BH28" i="11" s="1"/>
  <c r="BG27" i="11"/>
  <c r="BH27" i="11" s="1"/>
  <c r="BE27" i="11"/>
  <c r="BE26" i="11"/>
  <c r="BG26" i="11" s="1"/>
  <c r="BH26" i="11" s="1"/>
  <c r="BE25" i="11"/>
  <c r="BG25" i="11" s="1"/>
  <c r="BH25" i="11" s="1"/>
  <c r="BE24" i="11"/>
  <c r="BG24" i="11" s="1"/>
  <c r="BH24" i="11" s="1"/>
  <c r="BE23" i="11"/>
  <c r="BG23" i="11" s="1"/>
  <c r="BH23" i="11" s="1"/>
  <c r="BE22" i="11"/>
  <c r="BG22" i="11" s="1"/>
  <c r="BH22" i="11" s="1"/>
  <c r="BE21" i="11"/>
  <c r="BG21" i="11" s="1"/>
  <c r="BH21" i="11" s="1"/>
  <c r="BE20" i="11"/>
  <c r="BG20" i="11" s="1"/>
  <c r="BH20" i="11" s="1"/>
  <c r="BE19" i="11"/>
  <c r="BG19" i="11" s="1"/>
  <c r="BH19" i="11" s="1"/>
  <c r="BK19" i="11" s="1"/>
  <c r="BE18" i="11"/>
  <c r="BG18" i="11" s="1"/>
  <c r="BH18" i="11" s="1"/>
  <c r="BE17" i="11"/>
  <c r="BG17" i="11" s="1"/>
  <c r="BH17" i="11" s="1"/>
  <c r="BE16" i="11"/>
  <c r="BG16" i="11" s="1"/>
  <c r="BH16" i="11" s="1"/>
  <c r="BE15" i="11"/>
  <c r="BG15" i="11" s="1"/>
  <c r="BH15" i="11" s="1"/>
  <c r="BE14" i="11"/>
  <c r="BG14" i="11" s="1"/>
  <c r="BH14" i="11" s="1"/>
  <c r="BE13" i="11"/>
  <c r="BG13" i="11" s="1"/>
  <c r="BH13" i="11" s="1"/>
  <c r="BE12" i="11"/>
  <c r="BG12" i="11" s="1"/>
  <c r="BH12" i="11" s="1"/>
  <c r="BE11" i="11"/>
  <c r="BG11" i="11" s="1"/>
  <c r="BH11" i="11" s="1"/>
  <c r="BE10" i="11"/>
  <c r="BG10" i="11" s="1"/>
  <c r="BH10" i="11" s="1"/>
  <c r="BE9" i="11"/>
  <c r="BG9" i="11" s="1"/>
  <c r="BH9" i="11" s="1"/>
  <c r="BE8" i="11"/>
  <c r="BG8" i="11" s="1"/>
  <c r="BH8" i="11" s="1"/>
  <c r="BE7" i="11"/>
  <c r="BG7" i="11" s="1"/>
  <c r="BH7" i="11" s="1"/>
  <c r="BE6" i="11"/>
  <c r="BG6" i="11" s="1"/>
  <c r="BH6" i="11" s="1"/>
  <c r="BE5" i="11"/>
  <c r="BG5" i="11" s="1"/>
  <c r="BH5" i="11" s="1"/>
  <c r="BE4" i="11"/>
  <c r="BG4" i="11" s="1"/>
  <c r="BH4" i="11" s="1"/>
  <c r="AR194" i="11"/>
  <c r="AT194" i="11" s="1"/>
  <c r="AU194" i="11" s="1"/>
  <c r="AH194" i="11"/>
  <c r="AJ194" i="11" s="1"/>
  <c r="AG194" i="11"/>
  <c r="AI194" i="11" s="1"/>
  <c r="AR193" i="11"/>
  <c r="AT193" i="11" s="1"/>
  <c r="AU193" i="11" s="1"/>
  <c r="AH193" i="11"/>
  <c r="AJ193" i="11" s="1"/>
  <c r="AG193" i="11"/>
  <c r="AI193" i="11" s="1"/>
  <c r="AT192" i="11"/>
  <c r="AU192" i="11" s="1"/>
  <c r="AR192" i="11"/>
  <c r="AH192" i="11"/>
  <c r="AJ192" i="11" s="1"/>
  <c r="AP192" i="11" s="1"/>
  <c r="AG192" i="11"/>
  <c r="AI192" i="11" s="1"/>
  <c r="AR191" i="11"/>
  <c r="AT191" i="11" s="1"/>
  <c r="AU191" i="11" s="1"/>
  <c r="AH191" i="11"/>
  <c r="AJ191" i="11" s="1"/>
  <c r="AG191" i="11"/>
  <c r="AI191" i="11" s="1"/>
  <c r="AX191" i="11" s="1"/>
  <c r="AR190" i="11"/>
  <c r="AT190" i="11" s="1"/>
  <c r="AU190" i="11" s="1"/>
  <c r="AH190" i="11"/>
  <c r="AJ190" i="11" s="1"/>
  <c r="AG190" i="11"/>
  <c r="AI190" i="11" s="1"/>
  <c r="AR189" i="11"/>
  <c r="AT189" i="11" s="1"/>
  <c r="AU189" i="11" s="1"/>
  <c r="AH189" i="11"/>
  <c r="AJ189" i="11" s="1"/>
  <c r="AG189" i="11"/>
  <c r="AI189" i="11" s="1"/>
  <c r="AR188" i="11"/>
  <c r="AT188" i="11" s="1"/>
  <c r="AU188" i="11" s="1"/>
  <c r="AJ188" i="11"/>
  <c r="AP188" i="11" s="1"/>
  <c r="AH188" i="11"/>
  <c r="AG188" i="11"/>
  <c r="AI188" i="11" s="1"/>
  <c r="AR187" i="11"/>
  <c r="AT187" i="11" s="1"/>
  <c r="AU187" i="11" s="1"/>
  <c r="AH187" i="11"/>
  <c r="AJ187" i="11" s="1"/>
  <c r="AG187" i="11"/>
  <c r="AI187" i="11" s="1"/>
  <c r="AR186" i="11"/>
  <c r="AT186" i="11" s="1"/>
  <c r="AU186" i="11" s="1"/>
  <c r="AH186" i="11"/>
  <c r="AJ186" i="11" s="1"/>
  <c r="AG186" i="11"/>
  <c r="AI186" i="11" s="1"/>
  <c r="AX186" i="11" s="1"/>
  <c r="AR185" i="11"/>
  <c r="AT185" i="11" s="1"/>
  <c r="AU185" i="11" s="1"/>
  <c r="AH185" i="11"/>
  <c r="AJ185" i="11" s="1"/>
  <c r="AG185" i="11"/>
  <c r="AI185" i="11" s="1"/>
  <c r="AR184" i="11"/>
  <c r="AT184" i="11" s="1"/>
  <c r="AU184" i="11" s="1"/>
  <c r="AJ184" i="11"/>
  <c r="AP184" i="11" s="1"/>
  <c r="AI184" i="11"/>
  <c r="AH184" i="11"/>
  <c r="AG184" i="11"/>
  <c r="AR183" i="11"/>
  <c r="AT183" i="11" s="1"/>
  <c r="AU183" i="11" s="1"/>
  <c r="AH183" i="11"/>
  <c r="AJ183" i="11" s="1"/>
  <c r="AG183" i="11"/>
  <c r="AI183" i="11" s="1"/>
  <c r="AR182" i="11"/>
  <c r="AT182" i="11" s="1"/>
  <c r="AU182" i="11" s="1"/>
  <c r="AH182" i="11"/>
  <c r="AJ182" i="11" s="1"/>
  <c r="AG182" i="11"/>
  <c r="AI182" i="11" s="1"/>
  <c r="AR181" i="11"/>
  <c r="AT181" i="11" s="1"/>
  <c r="AU181" i="11" s="1"/>
  <c r="AH181" i="11"/>
  <c r="AJ181" i="11" s="1"/>
  <c r="AG181" i="11"/>
  <c r="AI181" i="11" s="1"/>
  <c r="AR180" i="11"/>
  <c r="AT180" i="11" s="1"/>
  <c r="AU180" i="11" s="1"/>
  <c r="AH180" i="11"/>
  <c r="AJ180" i="11" s="1"/>
  <c r="AP180" i="11" s="1"/>
  <c r="AG180" i="11"/>
  <c r="AI180" i="11" s="1"/>
  <c r="AR179" i="11"/>
  <c r="AT179" i="11" s="1"/>
  <c r="AU179" i="11" s="1"/>
  <c r="AH179" i="11"/>
  <c r="AJ179" i="11" s="1"/>
  <c r="AG179" i="11"/>
  <c r="AI179" i="11" s="1"/>
  <c r="AT178" i="11"/>
  <c r="AU178" i="11" s="1"/>
  <c r="AR178" i="11"/>
  <c r="AH178" i="11"/>
  <c r="AJ178" i="11" s="1"/>
  <c r="AG178" i="11"/>
  <c r="AI178" i="11" s="1"/>
  <c r="AR177" i="11"/>
  <c r="AT177" i="11" s="1"/>
  <c r="AU177" i="11" s="1"/>
  <c r="AH177" i="11"/>
  <c r="AJ177" i="11" s="1"/>
  <c r="AG177" i="11"/>
  <c r="AI177" i="11" s="1"/>
  <c r="AR176" i="11"/>
  <c r="AT176" i="11" s="1"/>
  <c r="AU176" i="11" s="1"/>
  <c r="AJ176" i="11"/>
  <c r="AP176" i="11" s="1"/>
  <c r="AH176" i="11"/>
  <c r="AG176" i="11"/>
  <c r="AI176" i="11" s="1"/>
  <c r="AR175" i="11"/>
  <c r="AT175" i="11" s="1"/>
  <c r="AU175" i="11" s="1"/>
  <c r="AH175" i="11"/>
  <c r="AJ175" i="11" s="1"/>
  <c r="AG175" i="11"/>
  <c r="AI175" i="11" s="1"/>
  <c r="AR174" i="11"/>
  <c r="AT174" i="11" s="1"/>
  <c r="AU174" i="11" s="1"/>
  <c r="AH174" i="11"/>
  <c r="AJ174" i="11" s="1"/>
  <c r="AG174" i="11"/>
  <c r="AI174" i="11" s="1"/>
  <c r="AR173" i="11"/>
  <c r="AT173" i="11" s="1"/>
  <c r="AU173" i="11" s="1"/>
  <c r="AH173" i="11"/>
  <c r="AJ173" i="11" s="1"/>
  <c r="AG173" i="11"/>
  <c r="AI173" i="11" s="1"/>
  <c r="AR172" i="11"/>
  <c r="AT172" i="11" s="1"/>
  <c r="AU172" i="11" s="1"/>
  <c r="AH172" i="11"/>
  <c r="AJ172" i="11" s="1"/>
  <c r="AP172" i="11" s="1"/>
  <c r="AG172" i="11"/>
  <c r="AI172" i="11" s="1"/>
  <c r="AT171" i="11"/>
  <c r="AU171" i="11" s="1"/>
  <c r="AR171" i="11"/>
  <c r="AH171" i="11"/>
  <c r="AJ171" i="11" s="1"/>
  <c r="AG171" i="11"/>
  <c r="AI171" i="11" s="1"/>
  <c r="AR170" i="11"/>
  <c r="AT170" i="11" s="1"/>
  <c r="AU170" i="11" s="1"/>
  <c r="AH170" i="11"/>
  <c r="AJ170" i="11" s="1"/>
  <c r="AG170" i="11"/>
  <c r="AI170" i="11" s="1"/>
  <c r="AR169" i="11"/>
  <c r="AT169" i="11" s="1"/>
  <c r="AU169" i="11" s="1"/>
  <c r="AH169" i="11"/>
  <c r="AJ169" i="11" s="1"/>
  <c r="AG169" i="11"/>
  <c r="AI169" i="11" s="1"/>
  <c r="AR168" i="11"/>
  <c r="AT168" i="11" s="1"/>
  <c r="AU168" i="11" s="1"/>
  <c r="AI168" i="11"/>
  <c r="AH168" i="11"/>
  <c r="AJ168" i="11" s="1"/>
  <c r="AP168" i="11" s="1"/>
  <c r="AG168" i="11"/>
  <c r="AR167" i="11"/>
  <c r="AT167" i="11" s="1"/>
  <c r="AU167" i="11" s="1"/>
  <c r="AI167" i="11"/>
  <c r="AH167" i="11"/>
  <c r="AJ167" i="11" s="1"/>
  <c r="AQ167" i="11" s="1"/>
  <c r="AG167" i="11"/>
  <c r="AR166" i="11"/>
  <c r="AT166" i="11" s="1"/>
  <c r="AU166" i="11" s="1"/>
  <c r="AH166" i="11"/>
  <c r="AJ166" i="11" s="1"/>
  <c r="AG166" i="11"/>
  <c r="AI166" i="11" s="1"/>
  <c r="AR165" i="11"/>
  <c r="AT165" i="11" s="1"/>
  <c r="AU165" i="11" s="1"/>
  <c r="AH165" i="11"/>
  <c r="AJ165" i="11" s="1"/>
  <c r="AG165" i="11"/>
  <c r="AI165" i="11" s="1"/>
  <c r="AR164" i="11"/>
  <c r="AT164" i="11" s="1"/>
  <c r="AU164" i="11" s="1"/>
  <c r="AH164" i="11"/>
  <c r="AJ164" i="11" s="1"/>
  <c r="AP164" i="11" s="1"/>
  <c r="AG164" i="11"/>
  <c r="AI164" i="11" s="1"/>
  <c r="AR163" i="11"/>
  <c r="AT163" i="11" s="1"/>
  <c r="AU163" i="11" s="1"/>
  <c r="AH163" i="11"/>
  <c r="AJ163" i="11" s="1"/>
  <c r="AG163" i="11"/>
  <c r="AI163" i="11" s="1"/>
  <c r="AR162" i="11"/>
  <c r="AT162" i="11" s="1"/>
  <c r="AU162" i="11" s="1"/>
  <c r="AH162" i="11"/>
  <c r="AJ162" i="11" s="1"/>
  <c r="AG162" i="11"/>
  <c r="AI162" i="11" s="1"/>
  <c r="AR161" i="11"/>
  <c r="AT161" i="11" s="1"/>
  <c r="AU161" i="11" s="1"/>
  <c r="AH161" i="11"/>
  <c r="AJ161" i="11" s="1"/>
  <c r="AG161" i="11"/>
  <c r="AI161" i="11" s="1"/>
  <c r="AR160" i="11"/>
  <c r="AT160" i="11" s="1"/>
  <c r="AU160" i="11" s="1"/>
  <c r="AH160" i="11"/>
  <c r="AJ160" i="11" s="1"/>
  <c r="AP160" i="11" s="1"/>
  <c r="AG160" i="11"/>
  <c r="AI160" i="11" s="1"/>
  <c r="AR159" i="11"/>
  <c r="AT159" i="11" s="1"/>
  <c r="AU159" i="11" s="1"/>
  <c r="AI159" i="11"/>
  <c r="AH159" i="11"/>
  <c r="AJ159" i="11" s="1"/>
  <c r="AG159" i="11"/>
  <c r="AR158" i="11"/>
  <c r="AT158" i="11" s="1"/>
  <c r="AU158" i="11" s="1"/>
  <c r="AH158" i="11"/>
  <c r="AJ158" i="11" s="1"/>
  <c r="AG158" i="11"/>
  <c r="AI158" i="11" s="1"/>
  <c r="AR157" i="11"/>
  <c r="AT157" i="11" s="1"/>
  <c r="AU157" i="11" s="1"/>
  <c r="AH157" i="11"/>
  <c r="AJ157" i="11" s="1"/>
  <c r="AG157" i="11"/>
  <c r="AI157" i="11" s="1"/>
  <c r="AR156" i="11"/>
  <c r="AT156" i="11" s="1"/>
  <c r="AU156" i="11" s="1"/>
  <c r="AH156" i="11"/>
  <c r="AJ156" i="11" s="1"/>
  <c r="AP156" i="11" s="1"/>
  <c r="AG156" i="11"/>
  <c r="AI156" i="11" s="1"/>
  <c r="AT155" i="11"/>
  <c r="AU155" i="11" s="1"/>
  <c r="AR155" i="11"/>
  <c r="AH155" i="11"/>
  <c r="AJ155" i="11" s="1"/>
  <c r="AG155" i="11"/>
  <c r="AI155" i="11" s="1"/>
  <c r="AX155" i="11" s="1"/>
  <c r="AR154" i="11"/>
  <c r="AT154" i="11" s="1"/>
  <c r="AU154" i="11" s="1"/>
  <c r="AH154" i="11"/>
  <c r="AJ154" i="11" s="1"/>
  <c r="AG154" i="11"/>
  <c r="AI154" i="11" s="1"/>
  <c r="AR153" i="11"/>
  <c r="AT153" i="11" s="1"/>
  <c r="AU153" i="11" s="1"/>
  <c r="AH153" i="11"/>
  <c r="AJ153" i="11" s="1"/>
  <c r="AG153" i="11"/>
  <c r="AI153" i="11" s="1"/>
  <c r="AR152" i="11"/>
  <c r="AT152" i="11" s="1"/>
  <c r="AU152" i="11" s="1"/>
  <c r="AH152" i="11"/>
  <c r="AJ152" i="11" s="1"/>
  <c r="AP152" i="11" s="1"/>
  <c r="AG152" i="11"/>
  <c r="AI152" i="11" s="1"/>
  <c r="AR151" i="11"/>
  <c r="AT151" i="11" s="1"/>
  <c r="AU151" i="11" s="1"/>
  <c r="AH151" i="11"/>
  <c r="AJ151" i="11" s="1"/>
  <c r="AG151" i="11"/>
  <c r="AI151" i="11" s="1"/>
  <c r="AR150" i="11"/>
  <c r="AT150" i="11" s="1"/>
  <c r="AU150" i="11" s="1"/>
  <c r="AH150" i="11"/>
  <c r="AJ150" i="11" s="1"/>
  <c r="AG150" i="11"/>
  <c r="AI150" i="11" s="1"/>
  <c r="AR149" i="11"/>
  <c r="AT149" i="11" s="1"/>
  <c r="AU149" i="11" s="1"/>
  <c r="AH149" i="11"/>
  <c r="AJ149" i="11" s="1"/>
  <c r="AG149" i="11"/>
  <c r="AI149" i="11" s="1"/>
  <c r="AT148" i="11"/>
  <c r="AU148" i="11" s="1"/>
  <c r="AR148" i="11"/>
  <c r="AH148" i="11"/>
  <c r="AJ148" i="11" s="1"/>
  <c r="AP148" i="11" s="1"/>
  <c r="AG148" i="11"/>
  <c r="AI148" i="11" s="1"/>
  <c r="AR147" i="11"/>
  <c r="AT147" i="11" s="1"/>
  <c r="AU147" i="11" s="1"/>
  <c r="AH147" i="11"/>
  <c r="AJ147" i="11" s="1"/>
  <c r="AG147" i="11"/>
  <c r="AI147" i="11" s="1"/>
  <c r="AR146" i="11"/>
  <c r="AT146" i="11" s="1"/>
  <c r="AU146" i="11" s="1"/>
  <c r="AH146" i="11"/>
  <c r="AJ146" i="11" s="1"/>
  <c r="AG146" i="11"/>
  <c r="AI146" i="11" s="1"/>
  <c r="AO146" i="11" s="1"/>
  <c r="AR145" i="11"/>
  <c r="AT145" i="11" s="1"/>
  <c r="AU145" i="11" s="1"/>
  <c r="AH145" i="11"/>
  <c r="AJ145" i="11" s="1"/>
  <c r="AG145" i="11"/>
  <c r="AI145" i="11" s="1"/>
  <c r="AR144" i="11"/>
  <c r="AT144" i="11" s="1"/>
  <c r="AU144" i="11" s="1"/>
  <c r="AH144" i="11"/>
  <c r="AJ144" i="11" s="1"/>
  <c r="AP144" i="11" s="1"/>
  <c r="AG144" i="11"/>
  <c r="AI144" i="11" s="1"/>
  <c r="AT143" i="11"/>
  <c r="AU143" i="11" s="1"/>
  <c r="AR143" i="11"/>
  <c r="AH143" i="11"/>
  <c r="AJ143" i="11" s="1"/>
  <c r="AQ143" i="11" s="1"/>
  <c r="AG143" i="11"/>
  <c r="AI143" i="11" s="1"/>
  <c r="AR142" i="11"/>
  <c r="AT142" i="11" s="1"/>
  <c r="AU142" i="11" s="1"/>
  <c r="AO142" i="11"/>
  <c r="AH142" i="11"/>
  <c r="AJ142" i="11" s="1"/>
  <c r="AG142" i="11"/>
  <c r="AI142" i="11" s="1"/>
  <c r="AR141" i="11"/>
  <c r="AT141" i="11" s="1"/>
  <c r="AU141" i="11" s="1"/>
  <c r="AH141" i="11"/>
  <c r="AJ141" i="11" s="1"/>
  <c r="AG141" i="11"/>
  <c r="AI141" i="11" s="1"/>
  <c r="AR140" i="11"/>
  <c r="AT140" i="11" s="1"/>
  <c r="AU140" i="11" s="1"/>
  <c r="AH140" i="11"/>
  <c r="AJ140" i="11" s="1"/>
  <c r="AG140" i="11"/>
  <c r="AI140" i="11" s="1"/>
  <c r="AR139" i="11"/>
  <c r="AT139" i="11" s="1"/>
  <c r="AU139" i="11" s="1"/>
  <c r="AH139" i="11"/>
  <c r="AJ139" i="11" s="1"/>
  <c r="AG139" i="11"/>
  <c r="AI139" i="11" s="1"/>
  <c r="AR138" i="11"/>
  <c r="AT138" i="11" s="1"/>
  <c r="AU138" i="11" s="1"/>
  <c r="AH138" i="11"/>
  <c r="AJ138" i="11" s="1"/>
  <c r="AG138" i="11"/>
  <c r="AI138" i="11" s="1"/>
  <c r="AR137" i="11"/>
  <c r="AT137" i="11" s="1"/>
  <c r="AU137" i="11" s="1"/>
  <c r="AH137" i="11"/>
  <c r="AJ137" i="11" s="1"/>
  <c r="AG137" i="11"/>
  <c r="AI137" i="11" s="1"/>
  <c r="AT136" i="11"/>
  <c r="AU136" i="11" s="1"/>
  <c r="AR136" i="11"/>
  <c r="AH136" i="11"/>
  <c r="AJ136" i="11" s="1"/>
  <c r="AG136" i="11"/>
  <c r="AI136" i="11" s="1"/>
  <c r="AR135" i="11"/>
  <c r="AT135" i="11" s="1"/>
  <c r="AU135" i="11" s="1"/>
  <c r="AH135" i="11"/>
  <c r="AJ135" i="11" s="1"/>
  <c r="AP135" i="11" s="1"/>
  <c r="AG135" i="11"/>
  <c r="AI135" i="11" s="1"/>
  <c r="AR134" i="11"/>
  <c r="AT134" i="11" s="1"/>
  <c r="AU134" i="11" s="1"/>
  <c r="AH134" i="11"/>
  <c r="AJ134" i="11" s="1"/>
  <c r="AG134" i="11"/>
  <c r="AI134" i="11" s="1"/>
  <c r="AR133" i="11"/>
  <c r="AT133" i="11" s="1"/>
  <c r="AU133" i="11" s="1"/>
  <c r="AH133" i="11"/>
  <c r="AJ133" i="11" s="1"/>
  <c r="AG133" i="11"/>
  <c r="AI133" i="11" s="1"/>
  <c r="AR132" i="11"/>
  <c r="AT132" i="11" s="1"/>
  <c r="AU132" i="11" s="1"/>
  <c r="AH132" i="11"/>
  <c r="AJ132" i="11" s="1"/>
  <c r="AP132" i="11" s="1"/>
  <c r="AG132" i="11"/>
  <c r="AI132" i="11" s="1"/>
  <c r="AR130" i="11"/>
  <c r="AT130" i="11" s="1"/>
  <c r="AU130" i="11" s="1"/>
  <c r="AH130" i="11"/>
  <c r="AJ130" i="11" s="1"/>
  <c r="AG130" i="11"/>
  <c r="AI130" i="11" s="1"/>
  <c r="AR129" i="11"/>
  <c r="AT129" i="11" s="1"/>
  <c r="AU129" i="11" s="1"/>
  <c r="AH129" i="11"/>
  <c r="AJ129" i="11" s="1"/>
  <c r="AG129" i="11"/>
  <c r="AI129" i="11" s="1"/>
  <c r="AR128" i="11"/>
  <c r="AT128" i="11" s="1"/>
  <c r="AU128" i="11" s="1"/>
  <c r="AH128" i="11"/>
  <c r="AJ128" i="11" s="1"/>
  <c r="AP128" i="11" s="1"/>
  <c r="AG128" i="11"/>
  <c r="AI128" i="11" s="1"/>
  <c r="AR127" i="11"/>
  <c r="AT127" i="11" s="1"/>
  <c r="AU127" i="11" s="1"/>
  <c r="AI127" i="11"/>
  <c r="AH127" i="11"/>
  <c r="AJ127" i="11" s="1"/>
  <c r="AP127" i="11" s="1"/>
  <c r="AG127" i="11"/>
  <c r="AR126" i="11"/>
  <c r="AT126" i="11" s="1"/>
  <c r="AU126" i="11" s="1"/>
  <c r="AH126" i="11"/>
  <c r="AJ126" i="11" s="1"/>
  <c r="AG126" i="11"/>
  <c r="AI126" i="11" s="1"/>
  <c r="AR125" i="11"/>
  <c r="AT125" i="11" s="1"/>
  <c r="AU125" i="11" s="1"/>
  <c r="AH125" i="11"/>
  <c r="AJ125" i="11" s="1"/>
  <c r="AG125" i="11"/>
  <c r="AI125" i="11" s="1"/>
  <c r="AT124" i="11"/>
  <c r="AU124" i="11" s="1"/>
  <c r="AR124" i="11"/>
  <c r="AH124" i="11"/>
  <c r="AJ124" i="11" s="1"/>
  <c r="AP124" i="11" s="1"/>
  <c r="AG124" i="11"/>
  <c r="AI124" i="11" s="1"/>
  <c r="AR123" i="11"/>
  <c r="AT123" i="11" s="1"/>
  <c r="AU123" i="11" s="1"/>
  <c r="AH123" i="11"/>
  <c r="AJ123" i="11" s="1"/>
  <c r="AP123" i="11" s="1"/>
  <c r="AG123" i="11"/>
  <c r="AI123" i="11" s="1"/>
  <c r="AR122" i="11"/>
  <c r="AT122" i="11" s="1"/>
  <c r="AU122" i="11" s="1"/>
  <c r="AI122" i="11"/>
  <c r="AH122" i="11"/>
  <c r="AJ122" i="11" s="1"/>
  <c r="AG122" i="11"/>
  <c r="AR121" i="11"/>
  <c r="AT121" i="11" s="1"/>
  <c r="AU121" i="11" s="1"/>
  <c r="AH121" i="11"/>
  <c r="AJ121" i="11" s="1"/>
  <c r="AG121" i="11"/>
  <c r="AI121" i="11" s="1"/>
  <c r="AR120" i="11"/>
  <c r="AT120" i="11" s="1"/>
  <c r="AU120" i="11" s="1"/>
  <c r="AH120" i="11"/>
  <c r="AJ120" i="11" s="1"/>
  <c r="AG120" i="11"/>
  <c r="AI120" i="11" s="1"/>
  <c r="AT119" i="11"/>
  <c r="AU119" i="11" s="1"/>
  <c r="AR119" i="11"/>
  <c r="AH119" i="11"/>
  <c r="AJ119" i="11" s="1"/>
  <c r="AP119" i="11" s="1"/>
  <c r="AG119" i="11"/>
  <c r="AI119" i="11" s="1"/>
  <c r="AR118" i="11"/>
  <c r="AT118" i="11" s="1"/>
  <c r="AU118" i="11" s="1"/>
  <c r="AH118" i="11"/>
  <c r="AJ118" i="11" s="1"/>
  <c r="AG118" i="11"/>
  <c r="AI118" i="11" s="1"/>
  <c r="AR117" i="11"/>
  <c r="AT117" i="11" s="1"/>
  <c r="AU117" i="11" s="1"/>
  <c r="AH117" i="11"/>
  <c r="AJ117" i="11" s="1"/>
  <c r="AG117" i="11"/>
  <c r="AI117" i="11" s="1"/>
  <c r="AO117" i="11" s="1"/>
  <c r="AR116" i="11"/>
  <c r="AT116" i="11" s="1"/>
  <c r="AU116" i="11" s="1"/>
  <c r="AI116" i="11"/>
  <c r="AH116" i="11"/>
  <c r="AJ116" i="11" s="1"/>
  <c r="AG116" i="11"/>
  <c r="AR115" i="11"/>
  <c r="AT115" i="11" s="1"/>
  <c r="AU115" i="11" s="1"/>
  <c r="AJ115" i="11"/>
  <c r="AP115" i="11" s="1"/>
  <c r="AI115" i="11"/>
  <c r="AH115" i="11"/>
  <c r="AG115" i="11"/>
  <c r="AR114" i="11"/>
  <c r="AT114" i="11" s="1"/>
  <c r="AU114" i="11" s="1"/>
  <c r="AH114" i="11"/>
  <c r="AJ114" i="11" s="1"/>
  <c r="AG114" i="11"/>
  <c r="AI114" i="11" s="1"/>
  <c r="AR113" i="11"/>
  <c r="AT113" i="11" s="1"/>
  <c r="AU113" i="11" s="1"/>
  <c r="AO113" i="11"/>
  <c r="AH113" i="11"/>
  <c r="AJ113" i="11" s="1"/>
  <c r="AG113" i="11"/>
  <c r="AI113" i="11" s="1"/>
  <c r="AR112" i="11"/>
  <c r="AT112" i="11" s="1"/>
  <c r="AU112" i="11" s="1"/>
  <c r="AH112" i="11"/>
  <c r="AJ112" i="11" s="1"/>
  <c r="AG112" i="11"/>
  <c r="AI112" i="11" s="1"/>
  <c r="AR111" i="11"/>
  <c r="AT111" i="11" s="1"/>
  <c r="AU111" i="11" s="1"/>
  <c r="AH111" i="11"/>
  <c r="AJ111" i="11" s="1"/>
  <c r="AP111" i="11" s="1"/>
  <c r="AG111" i="11"/>
  <c r="AI111" i="11" s="1"/>
  <c r="AR110" i="11"/>
  <c r="AT110" i="11" s="1"/>
  <c r="AU110" i="11" s="1"/>
  <c r="AH110" i="11"/>
  <c r="AJ110" i="11" s="1"/>
  <c r="AG110" i="11"/>
  <c r="AI110" i="11" s="1"/>
  <c r="AR109" i="11"/>
  <c r="AT109" i="11" s="1"/>
  <c r="AU109" i="11" s="1"/>
  <c r="AH109" i="11"/>
  <c r="AJ109" i="11" s="1"/>
  <c r="AG109" i="11"/>
  <c r="AI109" i="11" s="1"/>
  <c r="AO109" i="11" s="1"/>
  <c r="AT108" i="11"/>
  <c r="AU108" i="11" s="1"/>
  <c r="AR108" i="11"/>
  <c r="AH108" i="11"/>
  <c r="AJ108" i="11" s="1"/>
  <c r="AG108" i="11"/>
  <c r="AI108" i="11" s="1"/>
  <c r="AR107" i="11"/>
  <c r="AT107" i="11" s="1"/>
  <c r="AU107" i="11" s="1"/>
  <c r="AH107" i="11"/>
  <c r="AJ107" i="11" s="1"/>
  <c r="AP107" i="11" s="1"/>
  <c r="AG107" i="11"/>
  <c r="AI107" i="11" s="1"/>
  <c r="AR106" i="11"/>
  <c r="AT106" i="11" s="1"/>
  <c r="AU106" i="11" s="1"/>
  <c r="AI106" i="11"/>
  <c r="AH106" i="11"/>
  <c r="AJ106" i="11" s="1"/>
  <c r="AQ106" i="11" s="1"/>
  <c r="AG106" i="11"/>
  <c r="AT105" i="11"/>
  <c r="AU105" i="11" s="1"/>
  <c r="AR105" i="11"/>
  <c r="AH105" i="11"/>
  <c r="AJ105" i="11" s="1"/>
  <c r="AG105" i="11"/>
  <c r="AI105" i="11" s="1"/>
  <c r="AR104" i="11"/>
  <c r="AH104" i="11"/>
  <c r="AJ104" i="11" s="1"/>
  <c r="AP104" i="11" s="1"/>
  <c r="AG104" i="11"/>
  <c r="AI104" i="11" s="1"/>
  <c r="AT103" i="11"/>
  <c r="AU103" i="11" s="1"/>
  <c r="AR103" i="11"/>
  <c r="AH103" i="11"/>
  <c r="AJ103" i="11" s="1"/>
  <c r="AG103" i="11"/>
  <c r="AI103" i="11" s="1"/>
  <c r="AR102" i="11"/>
  <c r="AT102" i="11" s="1"/>
  <c r="AU102" i="11" s="1"/>
  <c r="AH102" i="11"/>
  <c r="AJ102" i="11" s="1"/>
  <c r="AP102" i="11" s="1"/>
  <c r="AG102" i="11"/>
  <c r="AI102" i="11" s="1"/>
  <c r="AR101" i="11"/>
  <c r="AT101" i="11" s="1"/>
  <c r="AU101" i="11" s="1"/>
  <c r="AH101" i="11"/>
  <c r="AJ101" i="11" s="1"/>
  <c r="AG101" i="11"/>
  <c r="AI101" i="11" s="1"/>
  <c r="AR100" i="11"/>
  <c r="AT100" i="11" s="1"/>
  <c r="AU100" i="11" s="1"/>
  <c r="AJ100" i="11"/>
  <c r="AP100" i="11" s="1"/>
  <c r="AH100" i="11"/>
  <c r="AG100" i="11"/>
  <c r="AI100" i="11" s="1"/>
  <c r="AT99" i="11"/>
  <c r="AU99" i="11" s="1"/>
  <c r="AR99" i="11"/>
  <c r="AH99" i="11"/>
  <c r="AJ99" i="11" s="1"/>
  <c r="AG99" i="11"/>
  <c r="AI99" i="11" s="1"/>
  <c r="AR98" i="11"/>
  <c r="AT98" i="11" s="1"/>
  <c r="AU98" i="11" s="1"/>
  <c r="AP98" i="11"/>
  <c r="AH98" i="11"/>
  <c r="AJ98" i="11" s="1"/>
  <c r="AG98" i="11"/>
  <c r="AI98" i="11" s="1"/>
  <c r="AR97" i="11"/>
  <c r="AT97" i="11" s="1"/>
  <c r="AU97" i="11" s="1"/>
  <c r="AH97" i="11"/>
  <c r="AJ97" i="11" s="1"/>
  <c r="BK97" i="11" s="1"/>
  <c r="AG97" i="11"/>
  <c r="AI97" i="11" s="1"/>
  <c r="AO97" i="11" s="1"/>
  <c r="AR96" i="11"/>
  <c r="AT96" i="11" s="1"/>
  <c r="AU96" i="11" s="1"/>
  <c r="AH96" i="11"/>
  <c r="AJ96" i="11" s="1"/>
  <c r="AG96" i="11"/>
  <c r="AI96" i="11" s="1"/>
  <c r="AR95" i="11"/>
  <c r="AT95" i="11" s="1"/>
  <c r="AU95" i="11" s="1"/>
  <c r="AH95" i="11"/>
  <c r="AJ95" i="11" s="1"/>
  <c r="AG95" i="11"/>
  <c r="AI95" i="11" s="1"/>
  <c r="AR94" i="11"/>
  <c r="AT94" i="11" s="1"/>
  <c r="AU94" i="11" s="1"/>
  <c r="AJ94" i="11"/>
  <c r="AP94" i="11" s="1"/>
  <c r="AH94" i="11"/>
  <c r="AG94" i="11"/>
  <c r="AI94" i="11" s="1"/>
  <c r="AR93" i="11"/>
  <c r="AT93" i="11" s="1"/>
  <c r="AU93" i="11" s="1"/>
  <c r="AH93" i="11"/>
  <c r="AJ93" i="11" s="1"/>
  <c r="AP93" i="11" s="1"/>
  <c r="AG93" i="11"/>
  <c r="AI93" i="11" s="1"/>
  <c r="AR92" i="11"/>
  <c r="AT92" i="11" s="1"/>
  <c r="AU92" i="11" s="1"/>
  <c r="AI92" i="11"/>
  <c r="AO92" i="11" s="1"/>
  <c r="AH92" i="11"/>
  <c r="AJ92" i="11" s="1"/>
  <c r="AG92" i="11"/>
  <c r="AT91" i="11"/>
  <c r="AU91" i="11" s="1"/>
  <c r="AR91" i="11"/>
  <c r="AH91" i="11"/>
  <c r="AJ91" i="11" s="1"/>
  <c r="AG91" i="11"/>
  <c r="AI91" i="11" s="1"/>
  <c r="AR90" i="11"/>
  <c r="AT90" i="11" s="1"/>
  <c r="AU90" i="11" s="1"/>
  <c r="AH90" i="11"/>
  <c r="AJ90" i="11" s="1"/>
  <c r="AG90" i="11"/>
  <c r="AI90" i="11" s="1"/>
  <c r="AR89" i="11"/>
  <c r="AT89" i="11" s="1"/>
  <c r="AU89" i="11" s="1"/>
  <c r="AH89" i="11"/>
  <c r="AJ89" i="11" s="1"/>
  <c r="AP89" i="11" s="1"/>
  <c r="AG89" i="11"/>
  <c r="AI89" i="11" s="1"/>
  <c r="AR88" i="11"/>
  <c r="AT88" i="11" s="1"/>
  <c r="AU88" i="11" s="1"/>
  <c r="AH88" i="11"/>
  <c r="AJ88" i="11" s="1"/>
  <c r="AG88" i="11"/>
  <c r="AI88" i="11" s="1"/>
  <c r="AO88" i="11" s="1"/>
  <c r="AR87" i="11"/>
  <c r="AT87" i="11" s="1"/>
  <c r="AU87" i="11" s="1"/>
  <c r="AH87" i="11"/>
  <c r="AJ87" i="11" s="1"/>
  <c r="AP87" i="11" s="1"/>
  <c r="AG87" i="11"/>
  <c r="AI87" i="11" s="1"/>
  <c r="AR86" i="11"/>
  <c r="AT86" i="11" s="1"/>
  <c r="AU86" i="11" s="1"/>
  <c r="AH86" i="11"/>
  <c r="AJ86" i="11" s="1"/>
  <c r="AP86" i="11" s="1"/>
  <c r="AG86" i="11"/>
  <c r="AI86" i="11" s="1"/>
  <c r="AR85" i="11"/>
  <c r="AT85" i="11" s="1"/>
  <c r="AU85" i="11" s="1"/>
  <c r="AH85" i="11"/>
  <c r="AJ85" i="11" s="1"/>
  <c r="AG85" i="11"/>
  <c r="AI85" i="11" s="1"/>
  <c r="AO85" i="11" s="1"/>
  <c r="AT84" i="11"/>
  <c r="AU84" i="11" s="1"/>
  <c r="AR84" i="11"/>
  <c r="AH84" i="11"/>
  <c r="AJ84" i="11" s="1"/>
  <c r="AP84" i="11" s="1"/>
  <c r="AG84" i="11"/>
  <c r="AI84" i="11" s="1"/>
  <c r="AO84" i="11" s="1"/>
  <c r="AR83" i="11"/>
  <c r="AT83" i="11" s="1"/>
  <c r="AU83" i="11" s="1"/>
  <c r="AH83" i="11"/>
  <c r="AJ83" i="11" s="1"/>
  <c r="AG83" i="11"/>
  <c r="AI83" i="11" s="1"/>
  <c r="AR82" i="11"/>
  <c r="AT82" i="11" s="1"/>
  <c r="AU82" i="11" s="1"/>
  <c r="AH82" i="11"/>
  <c r="AJ82" i="11" s="1"/>
  <c r="AG82" i="11"/>
  <c r="AI82" i="11" s="1"/>
  <c r="AR81" i="11"/>
  <c r="AT81" i="11" s="1"/>
  <c r="AU81" i="11" s="1"/>
  <c r="AH81" i="11"/>
  <c r="AJ81" i="11" s="1"/>
  <c r="AG81" i="11"/>
  <c r="AI81" i="11" s="1"/>
  <c r="AR80" i="11"/>
  <c r="AT80" i="11" s="1"/>
  <c r="AU80" i="11" s="1"/>
  <c r="AH80" i="11"/>
  <c r="AJ80" i="11" s="1"/>
  <c r="AP80" i="11" s="1"/>
  <c r="AG80" i="11"/>
  <c r="AI80" i="11" s="1"/>
  <c r="AR79" i="11"/>
  <c r="AT79" i="11" s="1"/>
  <c r="AU79" i="11" s="1"/>
  <c r="AH79" i="11"/>
  <c r="AJ79" i="11" s="1"/>
  <c r="AG79" i="11"/>
  <c r="AI79" i="11" s="1"/>
  <c r="AR78" i="11"/>
  <c r="AT78" i="11" s="1"/>
  <c r="AU78" i="11" s="1"/>
  <c r="AJ78" i="11"/>
  <c r="AH78" i="11"/>
  <c r="AG78" i="11"/>
  <c r="AI78" i="11" s="1"/>
  <c r="AR77" i="11"/>
  <c r="AT77" i="11" s="1"/>
  <c r="AU77" i="11" s="1"/>
  <c r="AH77" i="11"/>
  <c r="AJ77" i="11" s="1"/>
  <c r="AG77" i="11"/>
  <c r="AI77" i="11" s="1"/>
  <c r="AO77" i="11" s="1"/>
  <c r="AR76" i="11"/>
  <c r="AT76" i="11" s="1"/>
  <c r="AU76" i="11" s="1"/>
  <c r="AH76" i="11"/>
  <c r="AJ76" i="11" s="1"/>
  <c r="AG76" i="11"/>
  <c r="AI76" i="11" s="1"/>
  <c r="AR75" i="11"/>
  <c r="AT75" i="11" s="1"/>
  <c r="AU75" i="11" s="1"/>
  <c r="AH75" i="11"/>
  <c r="AJ75" i="11" s="1"/>
  <c r="AG75" i="11"/>
  <c r="AI75" i="11" s="1"/>
  <c r="AR74" i="11"/>
  <c r="AT74" i="11" s="1"/>
  <c r="AU74" i="11" s="1"/>
  <c r="AH74" i="11"/>
  <c r="AJ74" i="11" s="1"/>
  <c r="AP74" i="11" s="1"/>
  <c r="AG74" i="11"/>
  <c r="AI74" i="11" s="1"/>
  <c r="AO74" i="11" s="1"/>
  <c r="AR73" i="11"/>
  <c r="AT73" i="11" s="1"/>
  <c r="AU73" i="11" s="1"/>
  <c r="AH73" i="11"/>
  <c r="AJ73" i="11" s="1"/>
  <c r="AP73" i="11" s="1"/>
  <c r="AG73" i="11"/>
  <c r="AI73" i="11" s="1"/>
  <c r="AO73" i="11" s="1"/>
  <c r="AR72" i="11"/>
  <c r="AT72" i="11" s="1"/>
  <c r="AU72" i="11" s="1"/>
  <c r="AJ72" i="11"/>
  <c r="AP72" i="11" s="1"/>
  <c r="AH72" i="11"/>
  <c r="AG72" i="11"/>
  <c r="AI72" i="11" s="1"/>
  <c r="AR71" i="11"/>
  <c r="AT71" i="11" s="1"/>
  <c r="AU71" i="11" s="1"/>
  <c r="AH71" i="11"/>
  <c r="AJ71" i="11" s="1"/>
  <c r="AP71" i="11" s="1"/>
  <c r="AG71" i="11"/>
  <c r="AI71" i="11" s="1"/>
  <c r="AR70" i="11"/>
  <c r="AT70" i="11" s="1"/>
  <c r="AU70" i="11" s="1"/>
  <c r="AH70" i="11"/>
  <c r="AJ70" i="11" s="1"/>
  <c r="AG70" i="11"/>
  <c r="AI70" i="11" s="1"/>
  <c r="AR69" i="11"/>
  <c r="AT69" i="11" s="1"/>
  <c r="AU69" i="11" s="1"/>
  <c r="AH69" i="11"/>
  <c r="AJ69" i="11" s="1"/>
  <c r="AG69" i="11"/>
  <c r="AI69" i="11" s="1"/>
  <c r="AR68" i="11"/>
  <c r="AT68" i="11" s="1"/>
  <c r="AU68" i="11" s="1"/>
  <c r="AH68" i="11"/>
  <c r="AJ68" i="11" s="1"/>
  <c r="AP68" i="11" s="1"/>
  <c r="AG68" i="11"/>
  <c r="AI68" i="11" s="1"/>
  <c r="AO68" i="11" s="1"/>
  <c r="AR67" i="11"/>
  <c r="AT67" i="11" s="1"/>
  <c r="AU67" i="11" s="1"/>
  <c r="AH67" i="11"/>
  <c r="AJ67" i="11" s="1"/>
  <c r="AP67" i="11" s="1"/>
  <c r="AG67" i="11"/>
  <c r="AI67" i="11" s="1"/>
  <c r="AR66" i="11"/>
  <c r="AT66" i="11" s="1"/>
  <c r="AU66" i="11" s="1"/>
  <c r="AH66" i="11"/>
  <c r="AJ66" i="11" s="1"/>
  <c r="AG66" i="11"/>
  <c r="AI66" i="11" s="1"/>
  <c r="AT65" i="11"/>
  <c r="AU65" i="11" s="1"/>
  <c r="AR65" i="11"/>
  <c r="AH65" i="11"/>
  <c r="AJ65" i="11" s="1"/>
  <c r="BK65" i="11" s="1"/>
  <c r="AG65" i="11"/>
  <c r="AI65" i="11" s="1"/>
  <c r="AO65" i="11" s="1"/>
  <c r="AR64" i="11"/>
  <c r="AT64" i="11" s="1"/>
  <c r="AU64" i="11" s="1"/>
  <c r="AJ64" i="11"/>
  <c r="AP64" i="11" s="1"/>
  <c r="AH64" i="11"/>
  <c r="AG64" i="11"/>
  <c r="AI64" i="11" s="1"/>
  <c r="AR63" i="11"/>
  <c r="AT63" i="11" s="1"/>
  <c r="AU63" i="11" s="1"/>
  <c r="AH63" i="11"/>
  <c r="AJ63" i="11" s="1"/>
  <c r="AP63" i="11" s="1"/>
  <c r="AG63" i="11"/>
  <c r="AI63" i="11" s="1"/>
  <c r="AR62" i="11"/>
  <c r="AT62" i="11" s="1"/>
  <c r="AU62" i="11" s="1"/>
  <c r="AH62" i="11"/>
  <c r="AJ62" i="11" s="1"/>
  <c r="AG62" i="11"/>
  <c r="AI62" i="11" s="1"/>
  <c r="AO62" i="11" s="1"/>
  <c r="AT61" i="11"/>
  <c r="AU61" i="11" s="1"/>
  <c r="AR61" i="11"/>
  <c r="AH61" i="11"/>
  <c r="AJ61" i="11" s="1"/>
  <c r="AP61" i="11" s="1"/>
  <c r="AG61" i="11"/>
  <c r="AI61" i="11" s="1"/>
  <c r="AR60" i="11"/>
  <c r="AT60" i="11" s="1"/>
  <c r="AU60" i="11" s="1"/>
  <c r="AH60" i="11"/>
  <c r="AJ60" i="11" s="1"/>
  <c r="AP60" i="11" s="1"/>
  <c r="AG60" i="11"/>
  <c r="AI60" i="11" s="1"/>
  <c r="AR59" i="11"/>
  <c r="AT59" i="11" s="1"/>
  <c r="AU59" i="11" s="1"/>
  <c r="AH59" i="11"/>
  <c r="AJ59" i="11" s="1"/>
  <c r="AG59" i="11"/>
  <c r="AI59" i="11" s="1"/>
  <c r="AR58" i="11"/>
  <c r="AT58" i="11" s="1"/>
  <c r="AU58" i="11" s="1"/>
  <c r="AH58" i="11"/>
  <c r="AJ58" i="11" s="1"/>
  <c r="AG58" i="11"/>
  <c r="AI58" i="11" s="1"/>
  <c r="AR57" i="11"/>
  <c r="AT57" i="11" s="1"/>
  <c r="AU57" i="11" s="1"/>
  <c r="AH57" i="11"/>
  <c r="AJ57" i="11" s="1"/>
  <c r="AG57" i="11"/>
  <c r="AI57" i="11" s="1"/>
  <c r="AO57" i="11" s="1"/>
  <c r="AR56" i="11"/>
  <c r="AT56" i="11" s="1"/>
  <c r="AU56" i="11" s="1"/>
  <c r="AH56" i="11"/>
  <c r="AJ56" i="11" s="1"/>
  <c r="AP56" i="11" s="1"/>
  <c r="AG56" i="11"/>
  <c r="AI56" i="11" s="1"/>
  <c r="AO56" i="11" s="1"/>
  <c r="AR55" i="11"/>
  <c r="AT55" i="11" s="1"/>
  <c r="AU55" i="11" s="1"/>
  <c r="AH55" i="11"/>
  <c r="AJ55" i="11" s="1"/>
  <c r="AP55" i="11" s="1"/>
  <c r="AG55" i="11"/>
  <c r="AI55" i="11" s="1"/>
  <c r="AR54" i="11"/>
  <c r="AT54" i="11" s="1"/>
  <c r="AU54" i="11" s="1"/>
  <c r="AH54" i="11"/>
  <c r="AJ54" i="11" s="1"/>
  <c r="AG54" i="11"/>
  <c r="AI54" i="11" s="1"/>
  <c r="AO54" i="11" s="1"/>
  <c r="AR53" i="11"/>
  <c r="AT53" i="11" s="1"/>
  <c r="AU53" i="11" s="1"/>
  <c r="AH53" i="11"/>
  <c r="AJ53" i="11" s="1"/>
  <c r="AP53" i="11" s="1"/>
  <c r="AG53" i="11"/>
  <c r="AI53" i="11" s="1"/>
  <c r="AO53" i="11" s="1"/>
  <c r="AR52" i="11"/>
  <c r="AT52" i="11" s="1"/>
  <c r="AU52" i="11" s="1"/>
  <c r="AH52" i="11"/>
  <c r="AJ52" i="11" s="1"/>
  <c r="AP52" i="11" s="1"/>
  <c r="AG52" i="11"/>
  <c r="AI52" i="11" s="1"/>
  <c r="AR51" i="11"/>
  <c r="AT51" i="11" s="1"/>
  <c r="AU51" i="11" s="1"/>
  <c r="AH51" i="11"/>
  <c r="AJ51" i="11" s="1"/>
  <c r="AP51" i="11" s="1"/>
  <c r="AG51" i="11"/>
  <c r="AI51" i="11" s="1"/>
  <c r="AR50" i="11"/>
  <c r="AT50" i="11" s="1"/>
  <c r="AU50" i="11" s="1"/>
  <c r="AX50" i="11" s="1"/>
  <c r="AH50" i="11"/>
  <c r="AJ50" i="11" s="1"/>
  <c r="AG50" i="11"/>
  <c r="AI50" i="11" s="1"/>
  <c r="AO50" i="11" s="1"/>
  <c r="AT49" i="11"/>
  <c r="AU49" i="11" s="1"/>
  <c r="AR49" i="11"/>
  <c r="AP49" i="11"/>
  <c r="AH49" i="11"/>
  <c r="AJ49" i="11" s="1"/>
  <c r="BK49" i="11" s="1"/>
  <c r="AG49" i="11"/>
  <c r="AI49" i="11" s="1"/>
  <c r="AO49" i="11" s="1"/>
  <c r="AT48" i="11"/>
  <c r="AU48" i="11" s="1"/>
  <c r="AR48" i="11"/>
  <c r="AI48" i="11"/>
  <c r="AO48" i="11" s="1"/>
  <c r="AH48" i="11"/>
  <c r="AJ48" i="11" s="1"/>
  <c r="AP48" i="11" s="1"/>
  <c r="AG48" i="11"/>
  <c r="AR47" i="11"/>
  <c r="AT47" i="11" s="1"/>
  <c r="AU47" i="11" s="1"/>
  <c r="AH47" i="11"/>
  <c r="AJ47" i="11" s="1"/>
  <c r="AP47" i="11" s="1"/>
  <c r="AG47" i="11"/>
  <c r="AI47" i="11" s="1"/>
  <c r="AR46" i="11"/>
  <c r="AT46" i="11" s="1"/>
  <c r="AU46" i="11" s="1"/>
  <c r="AH46" i="11"/>
  <c r="AJ46" i="11" s="1"/>
  <c r="AG46" i="11"/>
  <c r="AI46" i="11" s="1"/>
  <c r="AT45" i="11"/>
  <c r="AU45" i="11" s="1"/>
  <c r="AR45" i="11"/>
  <c r="AH45" i="11"/>
  <c r="AJ45" i="11" s="1"/>
  <c r="AG45" i="11"/>
  <c r="AI45" i="11" s="1"/>
  <c r="AR44" i="11"/>
  <c r="AT44" i="11" s="1"/>
  <c r="AU44" i="11" s="1"/>
  <c r="AI44" i="11"/>
  <c r="AH44" i="11"/>
  <c r="AJ44" i="11" s="1"/>
  <c r="AP44" i="11" s="1"/>
  <c r="AG44" i="11"/>
  <c r="AR43" i="11"/>
  <c r="AT43" i="11" s="1"/>
  <c r="AU43" i="11" s="1"/>
  <c r="AH43" i="11"/>
  <c r="AJ43" i="11" s="1"/>
  <c r="AG43" i="11"/>
  <c r="AI43" i="11" s="1"/>
  <c r="AR42" i="11"/>
  <c r="AT42" i="11" s="1"/>
  <c r="AU42" i="11" s="1"/>
  <c r="AH42" i="11"/>
  <c r="AJ42" i="11" s="1"/>
  <c r="AP42" i="11" s="1"/>
  <c r="AG42" i="11"/>
  <c r="AI42" i="11" s="1"/>
  <c r="AR41" i="11"/>
  <c r="AT41" i="11" s="1"/>
  <c r="AU41" i="11" s="1"/>
  <c r="AH41" i="11"/>
  <c r="AJ41" i="11" s="1"/>
  <c r="AG41" i="11"/>
  <c r="AI41" i="11" s="1"/>
  <c r="AR40" i="11"/>
  <c r="AT40" i="11" s="1"/>
  <c r="AU40" i="11" s="1"/>
  <c r="AH40" i="11"/>
  <c r="AJ40" i="11" s="1"/>
  <c r="AG40" i="11"/>
  <c r="AI40" i="11" s="1"/>
  <c r="AR39" i="11"/>
  <c r="AT39" i="11" s="1"/>
  <c r="AU39" i="11" s="1"/>
  <c r="AH39" i="11"/>
  <c r="AJ39" i="11" s="1"/>
  <c r="AG39" i="11"/>
  <c r="AI39" i="11" s="1"/>
  <c r="AR38" i="11"/>
  <c r="AT38" i="11" s="1"/>
  <c r="AU38" i="11" s="1"/>
  <c r="AO38" i="11"/>
  <c r="AH38" i="11"/>
  <c r="AJ38" i="11" s="1"/>
  <c r="AP38" i="11" s="1"/>
  <c r="AG38" i="11"/>
  <c r="AI38" i="11" s="1"/>
  <c r="AR37" i="11"/>
  <c r="AT37" i="11" s="1"/>
  <c r="AU37" i="11" s="1"/>
  <c r="AH37" i="11"/>
  <c r="AJ37" i="11" s="1"/>
  <c r="AG37" i="11"/>
  <c r="AI37" i="11" s="1"/>
  <c r="AR36" i="11"/>
  <c r="AT36" i="11" s="1"/>
  <c r="AU36" i="11" s="1"/>
  <c r="AX36" i="11" s="1"/>
  <c r="AH36" i="11"/>
  <c r="AJ36" i="11" s="1"/>
  <c r="AG36" i="11"/>
  <c r="AI36" i="11" s="1"/>
  <c r="AO36" i="11" s="1"/>
  <c r="AR35" i="11"/>
  <c r="AT35" i="11" s="1"/>
  <c r="AU35" i="11" s="1"/>
  <c r="AJ35" i="11"/>
  <c r="AH35" i="11"/>
  <c r="AG35" i="11"/>
  <c r="AI35" i="11" s="1"/>
  <c r="AR34" i="11"/>
  <c r="AT34" i="11" s="1"/>
  <c r="AU34" i="11" s="1"/>
  <c r="AH34" i="11"/>
  <c r="AJ34" i="11" s="1"/>
  <c r="AP34" i="11" s="1"/>
  <c r="AG34" i="11"/>
  <c r="AI34" i="11" s="1"/>
  <c r="AO34" i="11" s="1"/>
  <c r="AR33" i="11"/>
  <c r="AT33" i="11" s="1"/>
  <c r="AU33" i="11" s="1"/>
  <c r="AH33" i="11"/>
  <c r="AJ33" i="11" s="1"/>
  <c r="AG33" i="11"/>
  <c r="AI33" i="11" s="1"/>
  <c r="AX33" i="11" s="1"/>
  <c r="AR32" i="11"/>
  <c r="AT32" i="11" s="1"/>
  <c r="AU32" i="11" s="1"/>
  <c r="AH32" i="11"/>
  <c r="AJ32" i="11" s="1"/>
  <c r="AG32" i="11"/>
  <c r="AI32" i="11" s="1"/>
  <c r="AO32" i="11" s="1"/>
  <c r="AR31" i="11"/>
  <c r="AT31" i="11" s="1"/>
  <c r="AU31" i="11" s="1"/>
  <c r="AH31" i="11"/>
  <c r="AJ31" i="11" s="1"/>
  <c r="AG31" i="11"/>
  <c r="AI31" i="11" s="1"/>
  <c r="AR30" i="11"/>
  <c r="AT30" i="11" s="1"/>
  <c r="AU30" i="11" s="1"/>
  <c r="AH30" i="11"/>
  <c r="AJ30" i="11" s="1"/>
  <c r="AG30" i="11"/>
  <c r="AI30" i="11" s="1"/>
  <c r="AR29" i="11"/>
  <c r="AT29" i="11" s="1"/>
  <c r="AU29" i="11" s="1"/>
  <c r="AH29" i="11"/>
  <c r="AJ29" i="11" s="1"/>
  <c r="AG29" i="11"/>
  <c r="AI29" i="11" s="1"/>
  <c r="AR28" i="11"/>
  <c r="AT28" i="11" s="1"/>
  <c r="AU28" i="11" s="1"/>
  <c r="AH28" i="11"/>
  <c r="AJ28" i="11" s="1"/>
  <c r="AG28" i="11"/>
  <c r="AI28" i="11" s="1"/>
  <c r="AO28" i="11" s="1"/>
  <c r="AR27" i="11"/>
  <c r="AT27" i="11" s="1"/>
  <c r="AU27" i="11" s="1"/>
  <c r="AH27" i="11"/>
  <c r="AJ27" i="11" s="1"/>
  <c r="AG27" i="11"/>
  <c r="AI27" i="11" s="1"/>
  <c r="AR26" i="11"/>
  <c r="AT26" i="11" s="1"/>
  <c r="AU26" i="11" s="1"/>
  <c r="AH26" i="11"/>
  <c r="AJ26" i="11" s="1"/>
  <c r="AP26" i="11" s="1"/>
  <c r="AG26" i="11"/>
  <c r="AI26" i="11" s="1"/>
  <c r="AR25" i="11"/>
  <c r="AT25" i="11" s="1"/>
  <c r="AU25" i="11" s="1"/>
  <c r="AH25" i="11"/>
  <c r="AJ25" i="11" s="1"/>
  <c r="AG25" i="11"/>
  <c r="AI25" i="11" s="1"/>
  <c r="AR24" i="11"/>
  <c r="AT24" i="11" s="1"/>
  <c r="AU24" i="11" s="1"/>
  <c r="AH24" i="11"/>
  <c r="AJ24" i="11" s="1"/>
  <c r="AG24" i="11"/>
  <c r="AI24" i="11" s="1"/>
  <c r="AO24" i="11" s="1"/>
  <c r="AR23" i="11"/>
  <c r="AT23" i="11" s="1"/>
  <c r="AU23" i="11" s="1"/>
  <c r="AH23" i="11"/>
  <c r="AJ23" i="11" s="1"/>
  <c r="AG23" i="11"/>
  <c r="AI23" i="11" s="1"/>
  <c r="AR22" i="11"/>
  <c r="AT22" i="11" s="1"/>
  <c r="AU22" i="11" s="1"/>
  <c r="AH22" i="11"/>
  <c r="AJ22" i="11" s="1"/>
  <c r="AG22" i="11"/>
  <c r="AI22" i="11" s="1"/>
  <c r="AX22" i="11" s="1"/>
  <c r="AR21" i="11"/>
  <c r="AT21" i="11" s="1"/>
  <c r="AU21" i="11" s="1"/>
  <c r="AH21" i="11"/>
  <c r="AJ21" i="11" s="1"/>
  <c r="AG21" i="11"/>
  <c r="AI21" i="11" s="1"/>
  <c r="AR20" i="11"/>
  <c r="AT20" i="11" s="1"/>
  <c r="AU20" i="11" s="1"/>
  <c r="AH20" i="11"/>
  <c r="AJ20" i="11" s="1"/>
  <c r="AG20" i="11"/>
  <c r="AI20" i="11" s="1"/>
  <c r="AO20" i="11" s="1"/>
  <c r="AR19" i="11"/>
  <c r="AT19" i="11" s="1"/>
  <c r="AU19" i="11" s="1"/>
  <c r="AH19" i="11"/>
  <c r="AJ19" i="11" s="1"/>
  <c r="AG19" i="11"/>
  <c r="AI19" i="11" s="1"/>
  <c r="AR18" i="11"/>
  <c r="AT18" i="11" s="1"/>
  <c r="AU18" i="11" s="1"/>
  <c r="AH18" i="11"/>
  <c r="AJ18" i="11" s="1"/>
  <c r="AG18" i="11"/>
  <c r="AI18" i="11" s="1"/>
  <c r="AR17" i="11"/>
  <c r="AT17" i="11" s="1"/>
  <c r="AU17" i="11" s="1"/>
  <c r="AH17" i="11"/>
  <c r="AJ17" i="11" s="1"/>
  <c r="AG17" i="11"/>
  <c r="AI17" i="11" s="1"/>
  <c r="AR16" i="11"/>
  <c r="AT16" i="11" s="1"/>
  <c r="AU16" i="11" s="1"/>
  <c r="AH16" i="11"/>
  <c r="AJ16" i="11" s="1"/>
  <c r="AG16" i="11"/>
  <c r="AI16" i="11" s="1"/>
  <c r="AO16" i="11" s="1"/>
  <c r="AR15" i="11"/>
  <c r="AT15" i="11" s="1"/>
  <c r="AU15" i="11" s="1"/>
  <c r="AH15" i="11"/>
  <c r="AJ15" i="11" s="1"/>
  <c r="AG15" i="11"/>
  <c r="AI15" i="11" s="1"/>
  <c r="AR14" i="11"/>
  <c r="AT14" i="11" s="1"/>
  <c r="AU14" i="11" s="1"/>
  <c r="AH14" i="11"/>
  <c r="AJ14" i="11" s="1"/>
  <c r="AG14" i="11"/>
  <c r="AI14" i="11" s="1"/>
  <c r="AR13" i="11"/>
  <c r="AT13" i="11" s="1"/>
  <c r="AU13" i="11" s="1"/>
  <c r="AH13" i="11"/>
  <c r="AJ13" i="11" s="1"/>
  <c r="AG13" i="11"/>
  <c r="AI13" i="11" s="1"/>
  <c r="AR12" i="11"/>
  <c r="AT12" i="11" s="1"/>
  <c r="AU12" i="11" s="1"/>
  <c r="AH12" i="11"/>
  <c r="AJ12" i="11" s="1"/>
  <c r="AG12" i="11"/>
  <c r="AI12" i="11" s="1"/>
  <c r="AR11" i="11"/>
  <c r="AT11" i="11" s="1"/>
  <c r="AU11" i="11" s="1"/>
  <c r="AH11" i="11"/>
  <c r="AJ11" i="11" s="1"/>
  <c r="AG11" i="11"/>
  <c r="AI11" i="11" s="1"/>
  <c r="AT10" i="11"/>
  <c r="AU10" i="11" s="1"/>
  <c r="AR10" i="11"/>
  <c r="AH10" i="11"/>
  <c r="AJ10" i="11" s="1"/>
  <c r="AP10" i="11" s="1"/>
  <c r="AG10" i="11"/>
  <c r="AI10" i="11" s="1"/>
  <c r="AR9" i="11"/>
  <c r="AT9" i="11" s="1"/>
  <c r="AU9" i="11" s="1"/>
  <c r="AH9" i="11"/>
  <c r="AJ9" i="11" s="1"/>
  <c r="AG9" i="11"/>
  <c r="AI9" i="11" s="1"/>
  <c r="AR8" i="11"/>
  <c r="AT8" i="11" s="1"/>
  <c r="AU8" i="11" s="1"/>
  <c r="AH8" i="11"/>
  <c r="AJ8" i="11" s="1"/>
  <c r="AG8" i="11"/>
  <c r="AI8" i="11" s="1"/>
  <c r="AO8" i="11" s="1"/>
  <c r="AR7" i="11"/>
  <c r="AT7" i="11" s="1"/>
  <c r="AU7" i="11" s="1"/>
  <c r="AH7" i="11"/>
  <c r="AJ7" i="11" s="1"/>
  <c r="AG7" i="11"/>
  <c r="AI7" i="11" s="1"/>
  <c r="AR6" i="11"/>
  <c r="AT6" i="11" s="1"/>
  <c r="AU6" i="11" s="1"/>
  <c r="AJ6" i="11"/>
  <c r="AH6" i="11"/>
  <c r="AG6" i="11"/>
  <c r="AI6" i="11" s="1"/>
  <c r="AR5" i="11"/>
  <c r="AT5" i="11" s="1"/>
  <c r="AU5" i="11" s="1"/>
  <c r="AH5" i="11"/>
  <c r="AJ5" i="11" s="1"/>
  <c r="AG5" i="11"/>
  <c r="AI5" i="11" s="1"/>
  <c r="AR4" i="11"/>
  <c r="AT4" i="11" s="1"/>
  <c r="AU4" i="11" s="1"/>
  <c r="AH4" i="11"/>
  <c r="AJ4" i="11" s="1"/>
  <c r="AG4" i="11"/>
  <c r="AI4" i="11" s="1"/>
  <c r="AL141" i="11"/>
  <c r="AL137" i="11"/>
  <c r="AK97" i="11"/>
  <c r="AK57" i="11"/>
  <c r="AK53" i="11"/>
  <c r="AL52" i="11"/>
  <c r="AL21" i="11"/>
  <c r="AK8" i="11"/>
  <c r="AY194" i="16"/>
  <c r="BA194" i="16" s="1"/>
  <c r="BB194" i="16" s="1"/>
  <c r="AR194" i="16"/>
  <c r="AT194" i="16" s="1"/>
  <c r="AU194" i="16" s="1"/>
  <c r="AH194" i="16"/>
  <c r="AJ194" i="16" s="1"/>
  <c r="AG194" i="16"/>
  <c r="AI194" i="16" s="1"/>
  <c r="S194" i="16"/>
  <c r="AY193" i="16"/>
  <c r="BA193" i="16" s="1"/>
  <c r="BB193" i="16" s="1"/>
  <c r="AR193" i="16"/>
  <c r="AT193" i="16" s="1"/>
  <c r="AU193" i="16" s="1"/>
  <c r="AH193" i="16"/>
  <c r="AJ193" i="16" s="1"/>
  <c r="AG193" i="16"/>
  <c r="AI193" i="16" s="1"/>
  <c r="S193" i="16"/>
  <c r="AY192" i="16"/>
  <c r="BA192" i="16" s="1"/>
  <c r="BB192" i="16" s="1"/>
  <c r="AR192" i="16"/>
  <c r="AT192" i="16" s="1"/>
  <c r="AU192" i="16" s="1"/>
  <c r="AH192" i="16"/>
  <c r="AJ192" i="16" s="1"/>
  <c r="AG192" i="16"/>
  <c r="AI192" i="16" s="1"/>
  <c r="AO192" i="16" s="1"/>
  <c r="S192" i="16"/>
  <c r="AY191" i="16"/>
  <c r="BA191" i="16" s="1"/>
  <c r="BB191" i="16" s="1"/>
  <c r="AR191" i="16"/>
  <c r="AT191" i="16" s="1"/>
  <c r="AU191" i="16" s="1"/>
  <c r="AH191" i="16"/>
  <c r="AJ191" i="16" s="1"/>
  <c r="AP191" i="16" s="1"/>
  <c r="AG191" i="16"/>
  <c r="AI191" i="16" s="1"/>
  <c r="S191" i="16"/>
  <c r="AY190" i="16"/>
  <c r="BA190" i="16" s="1"/>
  <c r="BB190" i="16" s="1"/>
  <c r="AR190" i="16"/>
  <c r="AT190" i="16" s="1"/>
  <c r="AU190" i="16" s="1"/>
  <c r="AH190" i="16"/>
  <c r="AJ190" i="16" s="1"/>
  <c r="AG190" i="16"/>
  <c r="AI190" i="16" s="1"/>
  <c r="S190" i="16"/>
  <c r="AY189" i="16"/>
  <c r="BA189" i="16" s="1"/>
  <c r="BB189" i="16" s="1"/>
  <c r="AR189" i="16"/>
  <c r="AT189" i="16" s="1"/>
  <c r="AU189" i="16" s="1"/>
  <c r="AH189" i="16"/>
  <c r="AJ189" i="16" s="1"/>
  <c r="AG189" i="16"/>
  <c r="AI189" i="16" s="1"/>
  <c r="S189" i="16"/>
  <c r="AY188" i="16"/>
  <c r="BA188" i="16" s="1"/>
  <c r="BB188" i="16" s="1"/>
  <c r="AR188" i="16"/>
  <c r="AT188" i="16" s="1"/>
  <c r="AU188" i="16" s="1"/>
  <c r="AH188" i="16"/>
  <c r="AJ188" i="16" s="1"/>
  <c r="AG188" i="16"/>
  <c r="AI188" i="16" s="1"/>
  <c r="AO188" i="16" s="1"/>
  <c r="S188" i="16"/>
  <c r="AY187" i="16"/>
  <c r="BA187" i="16" s="1"/>
  <c r="BB187" i="16" s="1"/>
  <c r="AR187" i="16"/>
  <c r="AT187" i="16" s="1"/>
  <c r="AU187" i="16" s="1"/>
  <c r="AH187" i="16"/>
  <c r="AJ187" i="16" s="1"/>
  <c r="AP187" i="16" s="1"/>
  <c r="AG187" i="16"/>
  <c r="AI187" i="16" s="1"/>
  <c r="S187" i="16"/>
  <c r="AY186" i="16"/>
  <c r="BA186" i="16" s="1"/>
  <c r="BB186" i="16" s="1"/>
  <c r="AR186" i="16"/>
  <c r="AT186" i="16" s="1"/>
  <c r="AU186" i="16" s="1"/>
  <c r="AH186" i="16"/>
  <c r="AJ186" i="16" s="1"/>
  <c r="AG186" i="16"/>
  <c r="AI186" i="16" s="1"/>
  <c r="S186" i="16"/>
  <c r="AY185" i="16"/>
  <c r="BA185" i="16" s="1"/>
  <c r="BB185" i="16" s="1"/>
  <c r="AR185" i="16"/>
  <c r="AT185" i="16" s="1"/>
  <c r="AU185" i="16" s="1"/>
  <c r="AH185" i="16"/>
  <c r="AJ185" i="16" s="1"/>
  <c r="AG185" i="16"/>
  <c r="AI185" i="16" s="1"/>
  <c r="AO185" i="16" s="1"/>
  <c r="S185" i="16"/>
  <c r="AY184" i="16"/>
  <c r="BA184" i="16" s="1"/>
  <c r="BB184" i="16" s="1"/>
  <c r="AR184" i="16"/>
  <c r="AT184" i="16" s="1"/>
  <c r="AU184" i="16" s="1"/>
  <c r="AH184" i="16"/>
  <c r="AJ184" i="16" s="1"/>
  <c r="AP184" i="16" s="1"/>
  <c r="AG184" i="16"/>
  <c r="AI184" i="16" s="1"/>
  <c r="S184" i="16"/>
  <c r="AY183" i="16"/>
  <c r="BA183" i="16" s="1"/>
  <c r="BB183" i="16" s="1"/>
  <c r="AR183" i="16"/>
  <c r="AT183" i="16" s="1"/>
  <c r="AU183" i="16" s="1"/>
  <c r="AH183" i="16"/>
  <c r="AJ183" i="16" s="1"/>
  <c r="AG183" i="16"/>
  <c r="AI183" i="16" s="1"/>
  <c r="S183" i="16"/>
  <c r="AY182" i="16"/>
  <c r="BA182" i="16" s="1"/>
  <c r="BB182" i="16" s="1"/>
  <c r="AR182" i="16"/>
  <c r="AT182" i="16" s="1"/>
  <c r="AU182" i="16" s="1"/>
  <c r="AH182" i="16"/>
  <c r="AJ182" i="16" s="1"/>
  <c r="AG182" i="16"/>
  <c r="AI182" i="16" s="1"/>
  <c r="S182" i="16"/>
  <c r="AY181" i="16"/>
  <c r="BA181" i="16" s="1"/>
  <c r="BB181" i="16" s="1"/>
  <c r="AR181" i="16"/>
  <c r="AT181" i="16" s="1"/>
  <c r="AU181" i="16" s="1"/>
  <c r="AH181" i="16"/>
  <c r="AJ181" i="16" s="1"/>
  <c r="AG181" i="16"/>
  <c r="AI181" i="16" s="1"/>
  <c r="AO181" i="16" s="1"/>
  <c r="S181" i="16"/>
  <c r="AY180" i="16"/>
  <c r="BA180" i="16" s="1"/>
  <c r="BB180" i="16" s="1"/>
  <c r="AR180" i="16"/>
  <c r="AT180" i="16" s="1"/>
  <c r="AU180" i="16" s="1"/>
  <c r="AH180" i="16"/>
  <c r="AJ180" i="16" s="1"/>
  <c r="AP180" i="16" s="1"/>
  <c r="AG180" i="16"/>
  <c r="AI180" i="16" s="1"/>
  <c r="S180" i="16"/>
  <c r="AY179" i="16"/>
  <c r="BA179" i="16" s="1"/>
  <c r="BB179" i="16" s="1"/>
  <c r="AR179" i="16"/>
  <c r="AT179" i="16" s="1"/>
  <c r="AU179" i="16" s="1"/>
  <c r="AH179" i="16"/>
  <c r="AJ179" i="16" s="1"/>
  <c r="AP179" i="16" s="1"/>
  <c r="AG179" i="16"/>
  <c r="AI179" i="16" s="1"/>
  <c r="S179" i="16"/>
  <c r="AY178" i="16"/>
  <c r="BA178" i="16" s="1"/>
  <c r="BB178" i="16" s="1"/>
  <c r="AR178" i="16"/>
  <c r="AT178" i="16" s="1"/>
  <c r="AU178" i="16" s="1"/>
  <c r="AH178" i="16"/>
  <c r="AJ178" i="16" s="1"/>
  <c r="AG178" i="16"/>
  <c r="AI178" i="16" s="1"/>
  <c r="S178" i="16"/>
  <c r="AY177" i="16"/>
  <c r="BA177" i="16" s="1"/>
  <c r="BB177" i="16" s="1"/>
  <c r="AR177" i="16"/>
  <c r="AT177" i="16" s="1"/>
  <c r="AU177" i="16" s="1"/>
  <c r="AH177" i="16"/>
  <c r="AJ177" i="16" s="1"/>
  <c r="AG177" i="16"/>
  <c r="AI177" i="16" s="1"/>
  <c r="AO177" i="16" s="1"/>
  <c r="S177" i="16"/>
  <c r="AY176" i="16"/>
  <c r="BA176" i="16" s="1"/>
  <c r="BB176" i="16" s="1"/>
  <c r="AR176" i="16"/>
  <c r="AT176" i="16" s="1"/>
  <c r="AU176" i="16" s="1"/>
  <c r="AH176" i="16"/>
  <c r="AJ176" i="16" s="1"/>
  <c r="AG176" i="16"/>
  <c r="AI176" i="16" s="1"/>
  <c r="S176" i="16"/>
  <c r="AY175" i="16"/>
  <c r="BA175" i="16" s="1"/>
  <c r="BB175" i="16" s="1"/>
  <c r="AR175" i="16"/>
  <c r="AT175" i="16" s="1"/>
  <c r="AU175" i="16" s="1"/>
  <c r="AH175" i="16"/>
  <c r="AJ175" i="16" s="1"/>
  <c r="AG175" i="16"/>
  <c r="AI175" i="16" s="1"/>
  <c r="S175" i="16"/>
  <c r="AY174" i="16"/>
  <c r="BA174" i="16" s="1"/>
  <c r="BB174" i="16" s="1"/>
  <c r="AR174" i="16"/>
  <c r="AT174" i="16" s="1"/>
  <c r="AU174" i="16" s="1"/>
  <c r="AH174" i="16"/>
  <c r="AJ174" i="16" s="1"/>
  <c r="AG174" i="16"/>
  <c r="AI174" i="16" s="1"/>
  <c r="AO174" i="16" s="1"/>
  <c r="S174" i="16"/>
  <c r="AY173" i="16"/>
  <c r="BA173" i="16" s="1"/>
  <c r="BB173" i="16" s="1"/>
  <c r="AR173" i="16"/>
  <c r="AT173" i="16" s="1"/>
  <c r="AU173" i="16" s="1"/>
  <c r="AH173" i="16"/>
  <c r="AJ173" i="16" s="1"/>
  <c r="AG173" i="16"/>
  <c r="AI173" i="16" s="1"/>
  <c r="S173" i="16"/>
  <c r="AY172" i="16"/>
  <c r="BA172" i="16" s="1"/>
  <c r="BB172" i="16" s="1"/>
  <c r="AR172" i="16"/>
  <c r="AT172" i="16" s="1"/>
  <c r="AU172" i="16" s="1"/>
  <c r="AH172" i="16"/>
  <c r="AJ172" i="16" s="1"/>
  <c r="AG172" i="16"/>
  <c r="AI172" i="16" s="1"/>
  <c r="S172" i="16"/>
  <c r="AY171" i="16"/>
  <c r="BA171" i="16" s="1"/>
  <c r="BB171" i="16" s="1"/>
  <c r="AR171" i="16"/>
  <c r="AT171" i="16" s="1"/>
  <c r="AU171" i="16" s="1"/>
  <c r="AH171" i="16"/>
  <c r="AJ171" i="16" s="1"/>
  <c r="AG171" i="16"/>
  <c r="AI171" i="16" s="1"/>
  <c r="S171" i="16"/>
  <c r="AY170" i="16"/>
  <c r="BA170" i="16" s="1"/>
  <c r="BB170" i="16" s="1"/>
  <c r="AR170" i="16"/>
  <c r="AT170" i="16" s="1"/>
  <c r="AU170" i="16" s="1"/>
  <c r="AH170" i="16"/>
  <c r="AJ170" i="16" s="1"/>
  <c r="AG170" i="16"/>
  <c r="AI170" i="16" s="1"/>
  <c r="S170" i="16"/>
  <c r="AY169" i="16"/>
  <c r="BA169" i="16" s="1"/>
  <c r="BB169" i="16" s="1"/>
  <c r="AR169" i="16"/>
  <c r="AT169" i="16" s="1"/>
  <c r="AU169" i="16" s="1"/>
  <c r="AH169" i="16"/>
  <c r="AJ169" i="16" s="1"/>
  <c r="AG169" i="16"/>
  <c r="AI169" i="16" s="1"/>
  <c r="S169" i="16"/>
  <c r="AY168" i="16"/>
  <c r="BA168" i="16" s="1"/>
  <c r="BB168" i="16" s="1"/>
  <c r="AR168" i="16"/>
  <c r="AT168" i="16" s="1"/>
  <c r="AU168" i="16" s="1"/>
  <c r="AH168" i="16"/>
  <c r="AJ168" i="16" s="1"/>
  <c r="AG168" i="16"/>
  <c r="AI168" i="16" s="1"/>
  <c r="S168" i="16"/>
  <c r="AY167" i="16"/>
  <c r="BA167" i="16" s="1"/>
  <c r="BB167" i="16" s="1"/>
  <c r="AR167" i="16"/>
  <c r="AT167" i="16" s="1"/>
  <c r="AU167" i="16" s="1"/>
  <c r="AH167" i="16"/>
  <c r="AJ167" i="16" s="1"/>
  <c r="AG167" i="16"/>
  <c r="AI167" i="16" s="1"/>
  <c r="S167" i="16"/>
  <c r="AY166" i="16"/>
  <c r="BA166" i="16" s="1"/>
  <c r="BB166" i="16" s="1"/>
  <c r="AR166" i="16"/>
  <c r="AT166" i="16" s="1"/>
  <c r="AU166" i="16" s="1"/>
  <c r="AH166" i="16"/>
  <c r="AJ166" i="16" s="1"/>
  <c r="AG166" i="16"/>
  <c r="AI166" i="16" s="1"/>
  <c r="AO166" i="16" s="1"/>
  <c r="S166" i="16"/>
  <c r="AY165" i="16"/>
  <c r="BA165" i="16" s="1"/>
  <c r="BB165" i="16" s="1"/>
  <c r="AR165" i="16"/>
  <c r="AT165" i="16" s="1"/>
  <c r="AU165" i="16" s="1"/>
  <c r="AH165" i="16"/>
  <c r="AJ165" i="16" s="1"/>
  <c r="AG165" i="16"/>
  <c r="AI165" i="16" s="1"/>
  <c r="S165" i="16"/>
  <c r="AY164" i="16"/>
  <c r="BA164" i="16" s="1"/>
  <c r="BB164" i="16" s="1"/>
  <c r="AR164" i="16"/>
  <c r="AT164" i="16" s="1"/>
  <c r="AU164" i="16" s="1"/>
  <c r="AH164" i="16"/>
  <c r="AJ164" i="16" s="1"/>
  <c r="AG164" i="16"/>
  <c r="AI164" i="16" s="1"/>
  <c r="S164" i="16"/>
  <c r="AY163" i="16"/>
  <c r="BA163" i="16" s="1"/>
  <c r="BB163" i="16" s="1"/>
  <c r="AR163" i="16"/>
  <c r="AT163" i="16" s="1"/>
  <c r="AU163" i="16" s="1"/>
  <c r="AH163" i="16"/>
  <c r="AJ163" i="16" s="1"/>
  <c r="AG163" i="16"/>
  <c r="AI163" i="16" s="1"/>
  <c r="S163" i="16"/>
  <c r="AY162" i="16"/>
  <c r="BA162" i="16" s="1"/>
  <c r="BB162" i="16" s="1"/>
  <c r="AR162" i="16"/>
  <c r="AT162" i="16" s="1"/>
  <c r="AU162" i="16" s="1"/>
  <c r="AH162" i="16"/>
  <c r="AJ162" i="16" s="1"/>
  <c r="AG162" i="16"/>
  <c r="AI162" i="16" s="1"/>
  <c r="S162" i="16"/>
  <c r="AY161" i="16"/>
  <c r="BA161" i="16" s="1"/>
  <c r="BB161" i="16" s="1"/>
  <c r="AR161" i="16"/>
  <c r="AT161" i="16" s="1"/>
  <c r="AU161" i="16" s="1"/>
  <c r="AH161" i="16"/>
  <c r="AJ161" i="16" s="1"/>
  <c r="AG161" i="16"/>
  <c r="AI161" i="16" s="1"/>
  <c r="S161" i="16"/>
  <c r="AY160" i="16"/>
  <c r="BA160" i="16" s="1"/>
  <c r="BB160" i="16" s="1"/>
  <c r="AR160" i="16"/>
  <c r="AT160" i="16" s="1"/>
  <c r="AU160" i="16" s="1"/>
  <c r="AH160" i="16"/>
  <c r="AJ160" i="16" s="1"/>
  <c r="AG160" i="16"/>
  <c r="AI160" i="16" s="1"/>
  <c r="S160" i="16"/>
  <c r="AY159" i="16"/>
  <c r="BA159" i="16" s="1"/>
  <c r="BB159" i="16" s="1"/>
  <c r="AR159" i="16"/>
  <c r="AT159" i="16" s="1"/>
  <c r="AU159" i="16" s="1"/>
  <c r="AH159" i="16"/>
  <c r="AJ159" i="16" s="1"/>
  <c r="AG159" i="16"/>
  <c r="AI159" i="16" s="1"/>
  <c r="S159" i="16"/>
  <c r="AY158" i="16"/>
  <c r="BA158" i="16" s="1"/>
  <c r="BB158" i="16" s="1"/>
  <c r="AR158" i="16"/>
  <c r="AT158" i="16" s="1"/>
  <c r="AU158" i="16" s="1"/>
  <c r="AH158" i="16"/>
  <c r="AJ158" i="16" s="1"/>
  <c r="AG158" i="16"/>
  <c r="AI158" i="16" s="1"/>
  <c r="S158" i="16"/>
  <c r="AY157" i="16"/>
  <c r="BA157" i="16" s="1"/>
  <c r="BB157" i="16" s="1"/>
  <c r="AR157" i="16"/>
  <c r="AT157" i="16" s="1"/>
  <c r="AU157" i="16" s="1"/>
  <c r="AH157" i="16"/>
  <c r="AJ157" i="16" s="1"/>
  <c r="AG157" i="16"/>
  <c r="AI157" i="16" s="1"/>
  <c r="AO157" i="16" s="1"/>
  <c r="S157" i="16"/>
  <c r="AY156" i="16"/>
  <c r="BA156" i="16" s="1"/>
  <c r="BB156" i="16" s="1"/>
  <c r="AR156" i="16"/>
  <c r="AT156" i="16" s="1"/>
  <c r="AU156" i="16" s="1"/>
  <c r="AH156" i="16"/>
  <c r="AJ156" i="16" s="1"/>
  <c r="AG156" i="16"/>
  <c r="AI156" i="16" s="1"/>
  <c r="S156" i="16"/>
  <c r="AY155" i="16"/>
  <c r="BA155" i="16" s="1"/>
  <c r="BB155" i="16" s="1"/>
  <c r="AR155" i="16"/>
  <c r="AT155" i="16" s="1"/>
  <c r="AU155" i="16" s="1"/>
  <c r="AH155" i="16"/>
  <c r="AJ155" i="16" s="1"/>
  <c r="AG155" i="16"/>
  <c r="AI155" i="16" s="1"/>
  <c r="AO155" i="16" s="1"/>
  <c r="S155" i="16"/>
  <c r="AY154" i="16"/>
  <c r="BA154" i="16" s="1"/>
  <c r="BB154" i="16" s="1"/>
  <c r="AR154" i="16"/>
  <c r="AT154" i="16" s="1"/>
  <c r="AU154" i="16" s="1"/>
  <c r="AH154" i="16"/>
  <c r="AJ154" i="16" s="1"/>
  <c r="AG154" i="16"/>
  <c r="AI154" i="16" s="1"/>
  <c r="S154" i="16"/>
  <c r="AY153" i="16"/>
  <c r="BA153" i="16" s="1"/>
  <c r="BB153" i="16" s="1"/>
  <c r="AR153" i="16"/>
  <c r="AT153" i="16" s="1"/>
  <c r="AU153" i="16" s="1"/>
  <c r="AH153" i="16"/>
  <c r="AJ153" i="16" s="1"/>
  <c r="AG153" i="16"/>
  <c r="AI153" i="16" s="1"/>
  <c r="S153" i="16"/>
  <c r="AY152" i="16"/>
  <c r="BA152" i="16" s="1"/>
  <c r="BB152" i="16" s="1"/>
  <c r="AR152" i="16"/>
  <c r="AT152" i="16" s="1"/>
  <c r="AU152" i="16" s="1"/>
  <c r="AH152" i="16"/>
  <c r="AJ152" i="16" s="1"/>
  <c r="AG152" i="16"/>
  <c r="AI152" i="16" s="1"/>
  <c r="S152" i="16"/>
  <c r="AY151" i="16"/>
  <c r="BA151" i="16" s="1"/>
  <c r="BB151" i="16" s="1"/>
  <c r="AR151" i="16"/>
  <c r="AT151" i="16" s="1"/>
  <c r="AU151" i="16" s="1"/>
  <c r="AH151" i="16"/>
  <c r="AJ151" i="16" s="1"/>
  <c r="AG151" i="16"/>
  <c r="AI151" i="16" s="1"/>
  <c r="S151" i="16"/>
  <c r="AY150" i="16"/>
  <c r="BA150" i="16" s="1"/>
  <c r="BB150" i="16" s="1"/>
  <c r="AR150" i="16"/>
  <c r="AT150" i="16" s="1"/>
  <c r="AU150" i="16" s="1"/>
  <c r="AH150" i="16"/>
  <c r="AJ150" i="16" s="1"/>
  <c r="AG150" i="16"/>
  <c r="AI150" i="16" s="1"/>
  <c r="AO150" i="16" s="1"/>
  <c r="S150" i="16"/>
  <c r="AY149" i="16"/>
  <c r="BA149" i="16" s="1"/>
  <c r="BB149" i="16" s="1"/>
  <c r="AR149" i="16"/>
  <c r="AT149" i="16" s="1"/>
  <c r="AU149" i="16" s="1"/>
  <c r="AH149" i="16"/>
  <c r="AJ149" i="16" s="1"/>
  <c r="AG149" i="16"/>
  <c r="AI149" i="16" s="1"/>
  <c r="S149" i="16"/>
  <c r="AY148" i="16"/>
  <c r="BA148" i="16" s="1"/>
  <c r="BB148" i="16" s="1"/>
  <c r="AR148" i="16"/>
  <c r="AT148" i="16" s="1"/>
  <c r="AU148" i="16" s="1"/>
  <c r="AH148" i="16"/>
  <c r="AJ148" i="16" s="1"/>
  <c r="AP148" i="16" s="1"/>
  <c r="AG148" i="16"/>
  <c r="AI148" i="16" s="1"/>
  <c r="S148" i="16"/>
  <c r="AY147" i="16"/>
  <c r="BA147" i="16" s="1"/>
  <c r="BB147" i="16" s="1"/>
  <c r="AR147" i="16"/>
  <c r="AT147" i="16" s="1"/>
  <c r="AU147" i="16" s="1"/>
  <c r="AH147" i="16"/>
  <c r="AJ147" i="16" s="1"/>
  <c r="AG147" i="16"/>
  <c r="AI147" i="16" s="1"/>
  <c r="S147" i="16"/>
  <c r="AY146" i="16"/>
  <c r="BA146" i="16" s="1"/>
  <c r="BB146" i="16" s="1"/>
  <c r="AR146" i="16"/>
  <c r="AT146" i="16" s="1"/>
  <c r="AU146" i="16" s="1"/>
  <c r="AH146" i="16"/>
  <c r="AJ146" i="16" s="1"/>
  <c r="AG146" i="16"/>
  <c r="AI146" i="16" s="1"/>
  <c r="AO146" i="16" s="1"/>
  <c r="S146" i="16"/>
  <c r="AY145" i="16"/>
  <c r="BA145" i="16" s="1"/>
  <c r="BB145" i="16" s="1"/>
  <c r="AR145" i="16"/>
  <c r="AT145" i="16" s="1"/>
  <c r="AU145" i="16" s="1"/>
  <c r="AH145" i="16"/>
  <c r="AJ145" i="16" s="1"/>
  <c r="AG145" i="16"/>
  <c r="AI145" i="16" s="1"/>
  <c r="S145" i="16"/>
  <c r="AY144" i="16"/>
  <c r="BA144" i="16" s="1"/>
  <c r="BB144" i="16" s="1"/>
  <c r="AR144" i="16"/>
  <c r="AT144" i="16" s="1"/>
  <c r="AU144" i="16" s="1"/>
  <c r="AH144" i="16"/>
  <c r="AJ144" i="16" s="1"/>
  <c r="AP144" i="16" s="1"/>
  <c r="AG144" i="16"/>
  <c r="AI144" i="16" s="1"/>
  <c r="S144" i="16"/>
  <c r="AY143" i="16"/>
  <c r="BA143" i="16" s="1"/>
  <c r="BB143" i="16" s="1"/>
  <c r="AR143" i="16"/>
  <c r="AT143" i="16" s="1"/>
  <c r="AU143" i="16" s="1"/>
  <c r="AH143" i="16"/>
  <c r="AJ143" i="16" s="1"/>
  <c r="AG143" i="16"/>
  <c r="AI143" i="16" s="1"/>
  <c r="S143" i="16"/>
  <c r="AY142" i="16"/>
  <c r="BA142" i="16" s="1"/>
  <c r="BB142" i="16" s="1"/>
  <c r="AR142" i="16"/>
  <c r="AT142" i="16" s="1"/>
  <c r="AU142" i="16" s="1"/>
  <c r="AH142" i="16"/>
  <c r="AJ142" i="16" s="1"/>
  <c r="AP142" i="16" s="1"/>
  <c r="AG142" i="16"/>
  <c r="AI142" i="16" s="1"/>
  <c r="S142" i="16"/>
  <c r="AY141" i="16"/>
  <c r="BA141" i="16" s="1"/>
  <c r="BB141" i="16" s="1"/>
  <c r="AR141" i="16"/>
  <c r="AT141" i="16" s="1"/>
  <c r="AU141" i="16" s="1"/>
  <c r="AH141" i="16"/>
  <c r="AJ141" i="16" s="1"/>
  <c r="AG141" i="16"/>
  <c r="AI141" i="16" s="1"/>
  <c r="S141" i="16"/>
  <c r="AY140" i="16"/>
  <c r="BA140" i="16" s="1"/>
  <c r="BB140" i="16" s="1"/>
  <c r="AR140" i="16"/>
  <c r="AT140" i="16" s="1"/>
  <c r="AU140" i="16" s="1"/>
  <c r="AH140" i="16"/>
  <c r="AJ140" i="16" s="1"/>
  <c r="AG140" i="16"/>
  <c r="AI140" i="16" s="1"/>
  <c r="S140" i="16"/>
  <c r="AY139" i="16"/>
  <c r="BA139" i="16" s="1"/>
  <c r="BB139" i="16" s="1"/>
  <c r="AR139" i="16"/>
  <c r="AT139" i="16" s="1"/>
  <c r="AU139" i="16" s="1"/>
  <c r="AH139" i="16"/>
  <c r="AJ139" i="16" s="1"/>
  <c r="AG139" i="16"/>
  <c r="AI139" i="16" s="1"/>
  <c r="S139" i="16"/>
  <c r="AY138" i="16"/>
  <c r="BA138" i="16" s="1"/>
  <c r="BB138" i="16" s="1"/>
  <c r="AR138" i="16"/>
  <c r="AT138" i="16" s="1"/>
  <c r="AU138" i="16" s="1"/>
  <c r="AH138" i="16"/>
  <c r="AJ138" i="16" s="1"/>
  <c r="AG138" i="16"/>
  <c r="AI138" i="16" s="1"/>
  <c r="S138" i="16"/>
  <c r="AY137" i="16"/>
  <c r="BA137" i="16" s="1"/>
  <c r="BB137" i="16" s="1"/>
  <c r="AR137" i="16"/>
  <c r="AT137" i="16" s="1"/>
  <c r="AU137" i="16" s="1"/>
  <c r="AH137" i="16"/>
  <c r="AJ137" i="16" s="1"/>
  <c r="AP137" i="16" s="1"/>
  <c r="AG137" i="16"/>
  <c r="AI137" i="16" s="1"/>
  <c r="S137" i="16"/>
  <c r="AY136" i="16"/>
  <c r="BA136" i="16" s="1"/>
  <c r="BB136" i="16" s="1"/>
  <c r="AR136" i="16"/>
  <c r="AT136" i="16" s="1"/>
  <c r="AU136" i="16" s="1"/>
  <c r="AH136" i="16"/>
  <c r="AJ136" i="16" s="1"/>
  <c r="AG136" i="16"/>
  <c r="AI136" i="16" s="1"/>
  <c r="S136" i="16"/>
  <c r="AY135" i="16"/>
  <c r="BA135" i="16" s="1"/>
  <c r="BB135" i="16" s="1"/>
  <c r="AR135" i="16"/>
  <c r="AT135" i="16" s="1"/>
  <c r="AU135" i="16" s="1"/>
  <c r="AH135" i="16"/>
  <c r="AJ135" i="16" s="1"/>
  <c r="AG135" i="16"/>
  <c r="AI135" i="16" s="1"/>
  <c r="AO135" i="16" s="1"/>
  <c r="S135" i="16"/>
  <c r="AY134" i="16"/>
  <c r="BA134" i="16" s="1"/>
  <c r="BB134" i="16" s="1"/>
  <c r="AR134" i="16"/>
  <c r="AT134" i="16" s="1"/>
  <c r="AU134" i="16" s="1"/>
  <c r="AH134" i="16"/>
  <c r="AJ134" i="16" s="1"/>
  <c r="AG134" i="16"/>
  <c r="AI134" i="16" s="1"/>
  <c r="S134" i="16"/>
  <c r="AY133" i="16"/>
  <c r="BA133" i="16" s="1"/>
  <c r="BB133" i="16" s="1"/>
  <c r="AR133" i="16"/>
  <c r="AT133" i="16" s="1"/>
  <c r="AU133" i="16" s="1"/>
  <c r="AH133" i="16"/>
  <c r="AJ133" i="16" s="1"/>
  <c r="AP133" i="16" s="1"/>
  <c r="AG133" i="16"/>
  <c r="AI133" i="16" s="1"/>
  <c r="S133" i="16"/>
  <c r="AY132" i="16"/>
  <c r="BA132" i="16" s="1"/>
  <c r="BB132" i="16" s="1"/>
  <c r="AR132" i="16"/>
  <c r="AT132" i="16" s="1"/>
  <c r="AU132" i="16" s="1"/>
  <c r="AH132" i="16"/>
  <c r="AJ132" i="16" s="1"/>
  <c r="AG132" i="16"/>
  <c r="AI132" i="16" s="1"/>
  <c r="S132" i="16"/>
  <c r="AY131" i="16"/>
  <c r="BA131" i="16" s="1"/>
  <c r="BB131" i="16" s="1"/>
  <c r="AR131" i="16"/>
  <c r="AT131" i="16" s="1"/>
  <c r="AU131" i="16" s="1"/>
  <c r="AH131" i="16"/>
  <c r="AJ131" i="16" s="1"/>
  <c r="AG131" i="16"/>
  <c r="AI131" i="16" s="1"/>
  <c r="S131" i="16"/>
  <c r="AY130" i="16"/>
  <c r="BA130" i="16" s="1"/>
  <c r="BB130" i="16" s="1"/>
  <c r="AR130" i="16"/>
  <c r="AT130" i="16" s="1"/>
  <c r="AU130" i="16" s="1"/>
  <c r="AH130" i="16"/>
  <c r="AJ130" i="16" s="1"/>
  <c r="AP130" i="16" s="1"/>
  <c r="AG130" i="16"/>
  <c r="AI130" i="16" s="1"/>
  <c r="S130" i="16"/>
  <c r="AY129" i="16"/>
  <c r="BA129" i="16" s="1"/>
  <c r="BB129" i="16" s="1"/>
  <c r="AR129" i="16"/>
  <c r="AT129" i="16" s="1"/>
  <c r="AU129" i="16" s="1"/>
  <c r="AH129" i="16"/>
  <c r="AJ129" i="16" s="1"/>
  <c r="AG129" i="16"/>
  <c r="AI129" i="16" s="1"/>
  <c r="S129" i="16"/>
  <c r="AY128" i="16"/>
  <c r="BA128" i="16" s="1"/>
  <c r="BB128" i="16" s="1"/>
  <c r="AR128" i="16"/>
  <c r="AT128" i="16" s="1"/>
  <c r="AU128" i="16" s="1"/>
  <c r="AH128" i="16"/>
  <c r="AJ128" i="16" s="1"/>
  <c r="AG128" i="16"/>
  <c r="AI128" i="16" s="1"/>
  <c r="AO128" i="16" s="1"/>
  <c r="S128" i="16"/>
  <c r="AY127" i="16"/>
  <c r="BA127" i="16" s="1"/>
  <c r="BB127" i="16" s="1"/>
  <c r="AR127" i="16"/>
  <c r="AT127" i="16" s="1"/>
  <c r="AU127" i="16" s="1"/>
  <c r="AH127" i="16"/>
  <c r="AJ127" i="16" s="1"/>
  <c r="AP127" i="16" s="1"/>
  <c r="AG127" i="16"/>
  <c r="AI127" i="16" s="1"/>
  <c r="S127" i="16"/>
  <c r="AY126" i="16"/>
  <c r="BA126" i="16" s="1"/>
  <c r="BB126" i="16" s="1"/>
  <c r="AR126" i="16"/>
  <c r="AT126" i="16" s="1"/>
  <c r="AU126" i="16" s="1"/>
  <c r="AH126" i="16"/>
  <c r="AJ126" i="16" s="1"/>
  <c r="AG126" i="16"/>
  <c r="AI126" i="16" s="1"/>
  <c r="S126" i="16"/>
  <c r="AY125" i="16"/>
  <c r="BA125" i="16" s="1"/>
  <c r="BB125" i="16" s="1"/>
  <c r="AR125" i="16"/>
  <c r="AT125" i="16" s="1"/>
  <c r="AU125" i="16" s="1"/>
  <c r="AH125" i="16"/>
  <c r="AJ125" i="16" s="1"/>
  <c r="AG125" i="16"/>
  <c r="AI125" i="16" s="1"/>
  <c r="S125" i="16"/>
  <c r="AY124" i="16"/>
  <c r="BA124" i="16" s="1"/>
  <c r="BB124" i="16" s="1"/>
  <c r="AR124" i="16"/>
  <c r="AT124" i="16" s="1"/>
  <c r="AU124" i="16" s="1"/>
  <c r="AH124" i="16"/>
  <c r="AJ124" i="16" s="1"/>
  <c r="AG124" i="16"/>
  <c r="AI124" i="16" s="1"/>
  <c r="S124" i="16"/>
  <c r="AY123" i="16"/>
  <c r="BA123" i="16" s="1"/>
  <c r="BB123" i="16" s="1"/>
  <c r="AR123" i="16"/>
  <c r="AT123" i="16" s="1"/>
  <c r="AU123" i="16" s="1"/>
  <c r="AH123" i="16"/>
  <c r="AJ123" i="16" s="1"/>
  <c r="AG123" i="16"/>
  <c r="AI123" i="16" s="1"/>
  <c r="S123" i="16"/>
  <c r="AY122" i="16"/>
  <c r="BA122" i="16" s="1"/>
  <c r="BB122" i="16" s="1"/>
  <c r="AR122" i="16"/>
  <c r="AT122" i="16" s="1"/>
  <c r="AU122" i="16" s="1"/>
  <c r="AH122" i="16"/>
  <c r="AJ122" i="16" s="1"/>
  <c r="AG122" i="16"/>
  <c r="AI122" i="16" s="1"/>
  <c r="S122" i="16"/>
  <c r="AY121" i="16"/>
  <c r="BA121" i="16" s="1"/>
  <c r="BB121" i="16" s="1"/>
  <c r="AR121" i="16"/>
  <c r="AT121" i="16" s="1"/>
  <c r="AU121" i="16" s="1"/>
  <c r="AH121" i="16"/>
  <c r="AJ121" i="16" s="1"/>
  <c r="AG121" i="16"/>
  <c r="AI121" i="16" s="1"/>
  <c r="S121" i="16"/>
  <c r="AY120" i="16"/>
  <c r="BA120" i="16" s="1"/>
  <c r="BB120" i="16" s="1"/>
  <c r="AR120" i="16"/>
  <c r="AT120" i="16" s="1"/>
  <c r="AU120" i="16" s="1"/>
  <c r="AH120" i="16"/>
  <c r="AJ120" i="16" s="1"/>
  <c r="AG120" i="16"/>
  <c r="AI120" i="16" s="1"/>
  <c r="S120" i="16"/>
  <c r="AY119" i="16"/>
  <c r="BA119" i="16" s="1"/>
  <c r="BB119" i="16" s="1"/>
  <c r="AR119" i="16"/>
  <c r="AT119" i="16" s="1"/>
  <c r="AU119" i="16" s="1"/>
  <c r="AH119" i="16"/>
  <c r="AJ119" i="16" s="1"/>
  <c r="AP119" i="16" s="1"/>
  <c r="AG119" i="16"/>
  <c r="AI119" i="16" s="1"/>
  <c r="S119" i="16"/>
  <c r="AY118" i="16"/>
  <c r="BA118" i="16" s="1"/>
  <c r="BB118" i="16" s="1"/>
  <c r="AR118" i="16"/>
  <c r="AT118" i="16" s="1"/>
  <c r="AU118" i="16" s="1"/>
  <c r="AH118" i="16"/>
  <c r="AJ118" i="16" s="1"/>
  <c r="AG118" i="16"/>
  <c r="AI118" i="16" s="1"/>
  <c r="AO118" i="16" s="1"/>
  <c r="S118" i="16"/>
  <c r="AY117" i="16"/>
  <c r="BA117" i="16" s="1"/>
  <c r="BB117" i="16" s="1"/>
  <c r="AR117" i="16"/>
  <c r="AT117" i="16" s="1"/>
  <c r="AU117" i="16" s="1"/>
  <c r="AH117" i="16"/>
  <c r="AJ117" i="16" s="1"/>
  <c r="AG117" i="16"/>
  <c r="AI117" i="16" s="1"/>
  <c r="AO117" i="16" s="1"/>
  <c r="S117" i="16"/>
  <c r="AY116" i="16"/>
  <c r="BA116" i="16" s="1"/>
  <c r="BB116" i="16" s="1"/>
  <c r="AR116" i="16"/>
  <c r="AT116" i="16" s="1"/>
  <c r="AU116" i="16" s="1"/>
  <c r="AH116" i="16"/>
  <c r="AJ116" i="16" s="1"/>
  <c r="AG116" i="16"/>
  <c r="AI116" i="16" s="1"/>
  <c r="S116" i="16"/>
  <c r="AY115" i="16"/>
  <c r="BA115" i="16" s="1"/>
  <c r="BB115" i="16" s="1"/>
  <c r="AR115" i="16"/>
  <c r="AT115" i="16" s="1"/>
  <c r="AU115" i="16" s="1"/>
  <c r="AH115" i="16"/>
  <c r="AJ115" i="16" s="1"/>
  <c r="AP115" i="16" s="1"/>
  <c r="AG115" i="16"/>
  <c r="AI115" i="16" s="1"/>
  <c r="S115" i="16"/>
  <c r="AY114" i="16"/>
  <c r="BA114" i="16" s="1"/>
  <c r="BB114" i="16" s="1"/>
  <c r="AR114" i="16"/>
  <c r="AT114" i="16" s="1"/>
  <c r="AU114" i="16" s="1"/>
  <c r="AH114" i="16"/>
  <c r="AJ114" i="16" s="1"/>
  <c r="AG114" i="16"/>
  <c r="AI114" i="16" s="1"/>
  <c r="S114" i="16"/>
  <c r="AY113" i="16"/>
  <c r="BA113" i="16" s="1"/>
  <c r="BB113" i="16" s="1"/>
  <c r="AR113" i="16"/>
  <c r="AT113" i="16" s="1"/>
  <c r="AU113" i="16" s="1"/>
  <c r="AH113" i="16"/>
  <c r="AJ113" i="16" s="1"/>
  <c r="AG113" i="16"/>
  <c r="AI113" i="16" s="1"/>
  <c r="AO113" i="16" s="1"/>
  <c r="S113" i="16"/>
  <c r="AY112" i="16"/>
  <c r="BA112" i="16" s="1"/>
  <c r="BB112" i="16" s="1"/>
  <c r="AR112" i="16"/>
  <c r="AT112" i="16" s="1"/>
  <c r="AU112" i="16" s="1"/>
  <c r="AH112" i="16"/>
  <c r="AJ112" i="16" s="1"/>
  <c r="AG112" i="16"/>
  <c r="AI112" i="16" s="1"/>
  <c r="S112" i="16"/>
  <c r="AY111" i="16"/>
  <c r="BA111" i="16" s="1"/>
  <c r="BB111" i="16" s="1"/>
  <c r="AR111" i="16"/>
  <c r="AT111" i="16" s="1"/>
  <c r="AU111" i="16" s="1"/>
  <c r="AH111" i="16"/>
  <c r="AJ111" i="16" s="1"/>
  <c r="AP111" i="16" s="1"/>
  <c r="AG111" i="16"/>
  <c r="AI111" i="16" s="1"/>
  <c r="S111" i="16"/>
  <c r="AY110" i="16"/>
  <c r="BA110" i="16" s="1"/>
  <c r="BB110" i="16" s="1"/>
  <c r="AR110" i="16"/>
  <c r="AT110" i="16" s="1"/>
  <c r="AU110" i="16" s="1"/>
  <c r="AH110" i="16"/>
  <c r="AJ110" i="16" s="1"/>
  <c r="AG110" i="16"/>
  <c r="AI110" i="16" s="1"/>
  <c r="AO110" i="16" s="1"/>
  <c r="S110" i="16"/>
  <c r="AY109" i="16"/>
  <c r="BA109" i="16" s="1"/>
  <c r="BB109" i="16" s="1"/>
  <c r="AR109" i="16"/>
  <c r="AT109" i="16" s="1"/>
  <c r="AU109" i="16" s="1"/>
  <c r="AH109" i="16"/>
  <c r="AJ109" i="16" s="1"/>
  <c r="AG109" i="16"/>
  <c r="AI109" i="16" s="1"/>
  <c r="S109" i="16"/>
  <c r="AY108" i="16"/>
  <c r="BA108" i="16" s="1"/>
  <c r="BB108" i="16" s="1"/>
  <c r="AR108" i="16"/>
  <c r="AT108" i="16" s="1"/>
  <c r="AU108" i="16" s="1"/>
  <c r="AH108" i="16"/>
  <c r="AJ108" i="16" s="1"/>
  <c r="AG108" i="16"/>
  <c r="AI108" i="16" s="1"/>
  <c r="S108" i="16"/>
  <c r="AY107" i="16"/>
  <c r="BA107" i="16" s="1"/>
  <c r="BB107" i="16" s="1"/>
  <c r="AR107" i="16"/>
  <c r="AT107" i="16" s="1"/>
  <c r="AU107" i="16" s="1"/>
  <c r="AH107" i="16"/>
  <c r="AJ107" i="16" s="1"/>
  <c r="AG107" i="16"/>
  <c r="AI107" i="16" s="1"/>
  <c r="S107" i="16"/>
  <c r="AY106" i="16"/>
  <c r="BA106" i="16" s="1"/>
  <c r="BB106" i="16" s="1"/>
  <c r="AR106" i="16"/>
  <c r="AT106" i="16" s="1"/>
  <c r="AU106" i="16" s="1"/>
  <c r="AH106" i="16"/>
  <c r="AJ106" i="16" s="1"/>
  <c r="AG106" i="16"/>
  <c r="AI106" i="16" s="1"/>
  <c r="S106" i="16"/>
  <c r="AY105" i="16"/>
  <c r="BA105" i="16" s="1"/>
  <c r="BB105" i="16" s="1"/>
  <c r="AR105" i="16"/>
  <c r="AT105" i="16" s="1"/>
  <c r="AU105" i="16" s="1"/>
  <c r="AH105" i="16"/>
  <c r="AJ105" i="16" s="1"/>
  <c r="AG105" i="16"/>
  <c r="AI105" i="16" s="1"/>
  <c r="S105" i="16"/>
  <c r="AY104" i="16"/>
  <c r="BA104" i="16" s="1"/>
  <c r="BB104" i="16" s="1"/>
  <c r="AR104" i="16"/>
  <c r="AT104" i="16" s="1"/>
  <c r="AU104" i="16" s="1"/>
  <c r="AH104" i="16"/>
  <c r="AJ104" i="16" s="1"/>
  <c r="AG104" i="16"/>
  <c r="AI104" i="16" s="1"/>
  <c r="S104" i="16"/>
  <c r="AY103" i="16"/>
  <c r="BA103" i="16" s="1"/>
  <c r="BB103" i="16" s="1"/>
  <c r="AR103" i="16"/>
  <c r="AT103" i="16" s="1"/>
  <c r="AU103" i="16" s="1"/>
  <c r="AH103" i="16"/>
  <c r="AJ103" i="16" s="1"/>
  <c r="AG103" i="16"/>
  <c r="AI103" i="16" s="1"/>
  <c r="S103" i="16"/>
  <c r="AY102" i="16"/>
  <c r="BA102" i="16" s="1"/>
  <c r="BB102" i="16" s="1"/>
  <c r="AR102" i="16"/>
  <c r="AT102" i="16" s="1"/>
  <c r="AU102" i="16" s="1"/>
  <c r="AH102" i="16"/>
  <c r="AJ102" i="16" s="1"/>
  <c r="AP102" i="16" s="1"/>
  <c r="AG102" i="16"/>
  <c r="AI102" i="16" s="1"/>
  <c r="S102" i="16"/>
  <c r="AY101" i="16"/>
  <c r="BA101" i="16" s="1"/>
  <c r="BB101" i="16" s="1"/>
  <c r="AR101" i="16"/>
  <c r="AT101" i="16" s="1"/>
  <c r="AU101" i="16" s="1"/>
  <c r="AH101" i="16"/>
  <c r="AJ101" i="16" s="1"/>
  <c r="AG101" i="16"/>
  <c r="AI101" i="16" s="1"/>
  <c r="AO101" i="16" s="1"/>
  <c r="S101" i="16"/>
  <c r="AY100" i="16"/>
  <c r="BA100" i="16" s="1"/>
  <c r="BB100" i="16" s="1"/>
  <c r="AR100" i="16"/>
  <c r="AT100" i="16" s="1"/>
  <c r="AU100" i="16" s="1"/>
  <c r="AH100" i="16"/>
  <c r="AJ100" i="16" s="1"/>
  <c r="AP100" i="16" s="1"/>
  <c r="AG100" i="16"/>
  <c r="AI100" i="16" s="1"/>
  <c r="S100" i="16"/>
  <c r="AY99" i="16"/>
  <c r="BA99" i="16" s="1"/>
  <c r="BB99" i="16" s="1"/>
  <c r="AR99" i="16"/>
  <c r="AT99" i="16" s="1"/>
  <c r="AU99" i="16" s="1"/>
  <c r="AH99" i="16"/>
  <c r="AJ99" i="16" s="1"/>
  <c r="AG99" i="16"/>
  <c r="AI99" i="16" s="1"/>
  <c r="S99" i="16"/>
  <c r="AY98" i="16"/>
  <c r="BA98" i="16" s="1"/>
  <c r="BB98" i="16" s="1"/>
  <c r="AR98" i="16"/>
  <c r="AT98" i="16" s="1"/>
  <c r="AU98" i="16" s="1"/>
  <c r="AH98" i="16"/>
  <c r="AJ98" i="16" s="1"/>
  <c r="AG98" i="16"/>
  <c r="AI98" i="16" s="1"/>
  <c r="S98" i="16"/>
  <c r="AY97" i="16"/>
  <c r="BA97" i="16" s="1"/>
  <c r="BB97" i="16" s="1"/>
  <c r="AR97" i="16"/>
  <c r="AT97" i="16" s="1"/>
  <c r="AU97" i="16" s="1"/>
  <c r="AH97" i="16"/>
  <c r="AJ97" i="16" s="1"/>
  <c r="AG97" i="16"/>
  <c r="AI97" i="16" s="1"/>
  <c r="S97" i="16"/>
  <c r="AY96" i="16"/>
  <c r="BA96" i="16" s="1"/>
  <c r="BB96" i="16" s="1"/>
  <c r="AR96" i="16"/>
  <c r="AT96" i="16" s="1"/>
  <c r="AU96" i="16" s="1"/>
  <c r="AH96" i="16"/>
  <c r="AJ96" i="16" s="1"/>
  <c r="AG96" i="16"/>
  <c r="AI96" i="16" s="1"/>
  <c r="S96" i="16"/>
  <c r="AY95" i="16"/>
  <c r="BA95" i="16" s="1"/>
  <c r="BB95" i="16" s="1"/>
  <c r="AR95" i="16"/>
  <c r="AT95" i="16" s="1"/>
  <c r="AU95" i="16" s="1"/>
  <c r="AH95" i="16"/>
  <c r="AJ95" i="16" s="1"/>
  <c r="AG95" i="16"/>
  <c r="AI95" i="16" s="1"/>
  <c r="S95" i="16"/>
  <c r="AY94" i="16"/>
  <c r="BA94" i="16" s="1"/>
  <c r="BB94" i="16" s="1"/>
  <c r="AR94" i="16"/>
  <c r="AT94" i="16" s="1"/>
  <c r="AU94" i="16" s="1"/>
  <c r="AH94" i="16"/>
  <c r="AJ94" i="16" s="1"/>
  <c r="AG94" i="16"/>
  <c r="AI94" i="16" s="1"/>
  <c r="S94" i="16"/>
  <c r="AY93" i="16"/>
  <c r="BA93" i="16" s="1"/>
  <c r="BB93" i="16" s="1"/>
  <c r="AR93" i="16"/>
  <c r="AT93" i="16" s="1"/>
  <c r="AU93" i="16" s="1"/>
  <c r="AH93" i="16"/>
  <c r="AJ93" i="16" s="1"/>
  <c r="AG93" i="16"/>
  <c r="AI93" i="16" s="1"/>
  <c r="S93" i="16"/>
  <c r="AY92" i="16"/>
  <c r="BA92" i="16" s="1"/>
  <c r="BB92" i="16" s="1"/>
  <c r="AH92" i="16"/>
  <c r="AJ92" i="16" s="1"/>
  <c r="AG92" i="16"/>
  <c r="AI92" i="16" s="1"/>
  <c r="S92" i="16"/>
  <c r="AY91" i="16"/>
  <c r="BA91" i="16" s="1"/>
  <c r="BB91" i="16" s="1"/>
  <c r="AR91" i="16"/>
  <c r="AT91" i="16" s="1"/>
  <c r="AU91" i="16" s="1"/>
  <c r="AH91" i="16"/>
  <c r="AJ91" i="16" s="1"/>
  <c r="AG91" i="16"/>
  <c r="AI91" i="16" s="1"/>
  <c r="AO91" i="16" s="1"/>
  <c r="S91" i="16"/>
  <c r="AY90" i="16"/>
  <c r="BA90" i="16" s="1"/>
  <c r="BB90" i="16" s="1"/>
  <c r="AR90" i="16"/>
  <c r="AT90" i="16" s="1"/>
  <c r="AU90" i="16" s="1"/>
  <c r="AH90" i="16"/>
  <c r="AJ90" i="16" s="1"/>
  <c r="AG90" i="16"/>
  <c r="AI90" i="16" s="1"/>
  <c r="AO90" i="16" s="1"/>
  <c r="S90" i="16"/>
  <c r="AY89" i="16"/>
  <c r="BA89" i="16" s="1"/>
  <c r="BB89" i="16" s="1"/>
  <c r="AR89" i="16"/>
  <c r="AT89" i="16" s="1"/>
  <c r="AU89" i="16" s="1"/>
  <c r="AH89" i="16"/>
  <c r="AJ89" i="16" s="1"/>
  <c r="AG89" i="16"/>
  <c r="AI89" i="16" s="1"/>
  <c r="S89" i="16"/>
  <c r="AY88" i="16"/>
  <c r="BA88" i="16" s="1"/>
  <c r="BB88" i="16" s="1"/>
  <c r="AR88" i="16"/>
  <c r="AT88" i="16" s="1"/>
  <c r="AU88" i="16" s="1"/>
  <c r="AH88" i="16"/>
  <c r="AJ88" i="16" s="1"/>
  <c r="AG88" i="16"/>
  <c r="AI88" i="16" s="1"/>
  <c r="S88" i="16"/>
  <c r="AY87" i="16"/>
  <c r="BA87" i="16" s="1"/>
  <c r="BB87" i="16" s="1"/>
  <c r="AR87" i="16"/>
  <c r="AT87" i="16" s="1"/>
  <c r="AU87" i="16" s="1"/>
  <c r="AH87" i="16"/>
  <c r="AJ87" i="16" s="1"/>
  <c r="AG87" i="16"/>
  <c r="AI87" i="16" s="1"/>
  <c r="AO87" i="16" s="1"/>
  <c r="S87" i="16"/>
  <c r="AY86" i="16"/>
  <c r="BA86" i="16" s="1"/>
  <c r="BB86" i="16" s="1"/>
  <c r="AR86" i="16"/>
  <c r="AT86" i="16" s="1"/>
  <c r="AU86" i="16" s="1"/>
  <c r="AH86" i="16"/>
  <c r="AJ86" i="16" s="1"/>
  <c r="AG86" i="16"/>
  <c r="AI86" i="16" s="1"/>
  <c r="S86" i="16"/>
  <c r="AY85" i="16"/>
  <c r="BA85" i="16" s="1"/>
  <c r="BB85" i="16" s="1"/>
  <c r="AR85" i="16"/>
  <c r="AT85" i="16" s="1"/>
  <c r="AU85" i="16" s="1"/>
  <c r="AH85" i="16"/>
  <c r="AJ85" i="16" s="1"/>
  <c r="AG85" i="16"/>
  <c r="AI85" i="16" s="1"/>
  <c r="AO85" i="16" s="1"/>
  <c r="S85" i="16"/>
  <c r="AY84" i="16"/>
  <c r="BA84" i="16" s="1"/>
  <c r="BB84" i="16" s="1"/>
  <c r="AR84" i="16"/>
  <c r="AT84" i="16" s="1"/>
  <c r="AU84" i="16" s="1"/>
  <c r="AH84" i="16"/>
  <c r="AJ84" i="16" s="1"/>
  <c r="AG84" i="16"/>
  <c r="AI84" i="16" s="1"/>
  <c r="S84" i="16"/>
  <c r="AY83" i="16"/>
  <c r="BA83" i="16" s="1"/>
  <c r="BB83" i="16" s="1"/>
  <c r="AR83" i="16"/>
  <c r="AT83" i="16" s="1"/>
  <c r="AU83" i="16" s="1"/>
  <c r="AH83" i="16"/>
  <c r="AJ83" i="16" s="1"/>
  <c r="AG83" i="16"/>
  <c r="AI83" i="16" s="1"/>
  <c r="S83" i="16"/>
  <c r="AY82" i="16"/>
  <c r="BA82" i="16" s="1"/>
  <c r="BB82" i="16" s="1"/>
  <c r="AR82" i="16"/>
  <c r="AT82" i="16" s="1"/>
  <c r="AU82" i="16" s="1"/>
  <c r="AH82" i="16"/>
  <c r="AJ82" i="16" s="1"/>
  <c r="AG82" i="16"/>
  <c r="AI82" i="16" s="1"/>
  <c r="AO82" i="16" s="1"/>
  <c r="S82" i="16"/>
  <c r="AY81" i="16"/>
  <c r="BA81" i="16" s="1"/>
  <c r="BB81" i="16" s="1"/>
  <c r="AR81" i="16"/>
  <c r="AT81" i="16" s="1"/>
  <c r="AU81" i="16" s="1"/>
  <c r="AH81" i="16"/>
  <c r="AJ81" i="16" s="1"/>
  <c r="AG81" i="16"/>
  <c r="AI81" i="16" s="1"/>
  <c r="S81" i="16"/>
  <c r="AY80" i="16"/>
  <c r="BA80" i="16" s="1"/>
  <c r="BB80" i="16" s="1"/>
  <c r="AR80" i="16"/>
  <c r="AT80" i="16" s="1"/>
  <c r="AU80" i="16" s="1"/>
  <c r="AH80" i="16"/>
  <c r="AJ80" i="16" s="1"/>
  <c r="AG80" i="16"/>
  <c r="AI80" i="16" s="1"/>
  <c r="S80" i="16"/>
  <c r="AY79" i="16"/>
  <c r="BA79" i="16" s="1"/>
  <c r="BB79" i="16" s="1"/>
  <c r="AR79" i="16"/>
  <c r="AT79" i="16" s="1"/>
  <c r="AU79" i="16" s="1"/>
  <c r="AH79" i="16"/>
  <c r="AJ79" i="16" s="1"/>
  <c r="AP79" i="16" s="1"/>
  <c r="AG79" i="16"/>
  <c r="AI79" i="16" s="1"/>
  <c r="AO79" i="16" s="1"/>
  <c r="S79" i="16"/>
  <c r="AY78" i="16"/>
  <c r="BA78" i="16" s="1"/>
  <c r="BB78" i="16" s="1"/>
  <c r="AR78" i="16"/>
  <c r="AT78" i="16" s="1"/>
  <c r="AU78" i="16" s="1"/>
  <c r="AH78" i="16"/>
  <c r="AJ78" i="16" s="1"/>
  <c r="AG78" i="16"/>
  <c r="AI78" i="16" s="1"/>
  <c r="S78" i="16"/>
  <c r="AY77" i="16"/>
  <c r="BA77" i="16" s="1"/>
  <c r="BB77" i="16" s="1"/>
  <c r="AR77" i="16"/>
  <c r="AT77" i="16" s="1"/>
  <c r="AU77" i="16" s="1"/>
  <c r="AH77" i="16"/>
  <c r="AJ77" i="16" s="1"/>
  <c r="AG77" i="16"/>
  <c r="AI77" i="16" s="1"/>
  <c r="S77" i="16"/>
  <c r="AY76" i="16"/>
  <c r="BA76" i="16" s="1"/>
  <c r="BB76" i="16" s="1"/>
  <c r="AR76" i="16"/>
  <c r="AT76" i="16" s="1"/>
  <c r="AU76" i="16" s="1"/>
  <c r="AH76" i="16"/>
  <c r="AJ76" i="16" s="1"/>
  <c r="AG76" i="16"/>
  <c r="AI76" i="16" s="1"/>
  <c r="S76" i="16"/>
  <c r="AY75" i="16"/>
  <c r="BA75" i="16" s="1"/>
  <c r="BB75" i="16" s="1"/>
  <c r="AR75" i="16"/>
  <c r="AT75" i="16" s="1"/>
  <c r="AU75" i="16" s="1"/>
  <c r="AH75" i="16"/>
  <c r="AJ75" i="16" s="1"/>
  <c r="AG75" i="16"/>
  <c r="AI75" i="16" s="1"/>
  <c r="S75" i="16"/>
  <c r="AY74" i="16"/>
  <c r="BA74" i="16" s="1"/>
  <c r="BB74" i="16" s="1"/>
  <c r="AR74" i="16"/>
  <c r="AT74" i="16" s="1"/>
  <c r="AU74" i="16" s="1"/>
  <c r="AH74" i="16"/>
  <c r="AJ74" i="16" s="1"/>
  <c r="AP74" i="16" s="1"/>
  <c r="AG74" i="16"/>
  <c r="AI74" i="16" s="1"/>
  <c r="S74" i="16"/>
  <c r="AY73" i="16"/>
  <c r="BA73" i="16" s="1"/>
  <c r="BB73" i="16" s="1"/>
  <c r="AR73" i="16"/>
  <c r="AT73" i="16" s="1"/>
  <c r="AU73" i="16" s="1"/>
  <c r="AH73" i="16"/>
  <c r="AJ73" i="16" s="1"/>
  <c r="AG73" i="16"/>
  <c r="AI73" i="16" s="1"/>
  <c r="S73" i="16"/>
  <c r="AY72" i="16"/>
  <c r="BA72" i="16" s="1"/>
  <c r="BB72" i="16" s="1"/>
  <c r="AR72" i="16"/>
  <c r="AT72" i="16" s="1"/>
  <c r="AU72" i="16" s="1"/>
  <c r="AH72" i="16"/>
  <c r="AJ72" i="16" s="1"/>
  <c r="AP72" i="16" s="1"/>
  <c r="AG72" i="16"/>
  <c r="AI72" i="16" s="1"/>
  <c r="S72" i="16"/>
  <c r="AY71" i="16"/>
  <c r="BA71" i="16" s="1"/>
  <c r="BB71" i="16" s="1"/>
  <c r="AR71" i="16"/>
  <c r="AT71" i="16" s="1"/>
  <c r="AU71" i="16" s="1"/>
  <c r="AH71" i="16"/>
  <c r="AJ71" i="16" s="1"/>
  <c r="AG71" i="16"/>
  <c r="AI71" i="16" s="1"/>
  <c r="S71" i="16"/>
  <c r="AY70" i="16"/>
  <c r="BA70" i="16" s="1"/>
  <c r="BB70" i="16" s="1"/>
  <c r="AR70" i="16"/>
  <c r="AT70" i="16" s="1"/>
  <c r="AU70" i="16" s="1"/>
  <c r="AH70" i="16"/>
  <c r="AJ70" i="16" s="1"/>
  <c r="AP70" i="16" s="1"/>
  <c r="AG70" i="16"/>
  <c r="AI70" i="16" s="1"/>
  <c r="S70" i="16"/>
  <c r="AY69" i="16"/>
  <c r="BA69" i="16" s="1"/>
  <c r="BB69" i="16" s="1"/>
  <c r="AR69" i="16"/>
  <c r="AT69" i="16" s="1"/>
  <c r="AU69" i="16" s="1"/>
  <c r="AH69" i="16"/>
  <c r="AJ69" i="16" s="1"/>
  <c r="AG69" i="16"/>
  <c r="AI69" i="16" s="1"/>
  <c r="S69" i="16"/>
  <c r="AY68" i="16"/>
  <c r="BA68" i="16" s="1"/>
  <c r="BB68" i="16" s="1"/>
  <c r="AR68" i="16"/>
  <c r="AT68" i="16" s="1"/>
  <c r="AU68" i="16" s="1"/>
  <c r="AH68" i="16"/>
  <c r="AJ68" i="16" s="1"/>
  <c r="AG68" i="16"/>
  <c r="AI68" i="16" s="1"/>
  <c r="S68" i="16"/>
  <c r="AY67" i="16"/>
  <c r="BA67" i="16" s="1"/>
  <c r="BB67" i="16" s="1"/>
  <c r="AR67" i="16"/>
  <c r="AT67" i="16" s="1"/>
  <c r="AU67" i="16" s="1"/>
  <c r="AH67" i="16"/>
  <c r="AJ67" i="16" s="1"/>
  <c r="AP67" i="16" s="1"/>
  <c r="AG67" i="16"/>
  <c r="AI67" i="16" s="1"/>
  <c r="S67" i="16"/>
  <c r="AY66" i="16"/>
  <c r="BA66" i="16" s="1"/>
  <c r="BB66" i="16" s="1"/>
  <c r="AR66" i="16"/>
  <c r="AT66" i="16" s="1"/>
  <c r="AU66" i="16" s="1"/>
  <c r="AH66" i="16"/>
  <c r="AJ66" i="16" s="1"/>
  <c r="AG66" i="16"/>
  <c r="AI66" i="16" s="1"/>
  <c r="S66" i="16"/>
  <c r="AY65" i="16"/>
  <c r="BA65" i="16" s="1"/>
  <c r="BB65" i="16" s="1"/>
  <c r="AR65" i="16"/>
  <c r="AT65" i="16" s="1"/>
  <c r="AU65" i="16" s="1"/>
  <c r="AH65" i="16"/>
  <c r="AJ65" i="16" s="1"/>
  <c r="AP65" i="16" s="1"/>
  <c r="AG65" i="16"/>
  <c r="AI65" i="16" s="1"/>
  <c r="S65" i="16"/>
  <c r="AY64" i="16"/>
  <c r="BA64" i="16" s="1"/>
  <c r="BB64" i="16" s="1"/>
  <c r="AR64" i="16"/>
  <c r="AT64" i="16" s="1"/>
  <c r="AU64" i="16" s="1"/>
  <c r="AH64" i="16"/>
  <c r="AJ64" i="16" s="1"/>
  <c r="AG64" i="16"/>
  <c r="AI64" i="16" s="1"/>
  <c r="S64" i="16"/>
  <c r="AY63" i="16"/>
  <c r="BA63" i="16" s="1"/>
  <c r="BB63" i="16" s="1"/>
  <c r="AR63" i="16"/>
  <c r="AT63" i="16" s="1"/>
  <c r="AU63" i="16" s="1"/>
  <c r="AH63" i="16"/>
  <c r="AJ63" i="16" s="1"/>
  <c r="AP63" i="16" s="1"/>
  <c r="AG63" i="16"/>
  <c r="AI63" i="16" s="1"/>
  <c r="S63" i="16"/>
  <c r="AY62" i="16"/>
  <c r="BA62" i="16" s="1"/>
  <c r="BB62" i="16" s="1"/>
  <c r="AR62" i="16"/>
  <c r="AT62" i="16" s="1"/>
  <c r="AU62" i="16" s="1"/>
  <c r="AH62" i="16"/>
  <c r="AJ62" i="16" s="1"/>
  <c r="AG62" i="16"/>
  <c r="AI62" i="16" s="1"/>
  <c r="S62" i="16"/>
  <c r="AY61" i="16"/>
  <c r="BA61" i="16" s="1"/>
  <c r="BB61" i="16" s="1"/>
  <c r="AR61" i="16"/>
  <c r="AT61" i="16" s="1"/>
  <c r="AU61" i="16" s="1"/>
  <c r="AH61" i="16"/>
  <c r="AJ61" i="16" s="1"/>
  <c r="AP61" i="16" s="1"/>
  <c r="AG61" i="16"/>
  <c r="AI61" i="16" s="1"/>
  <c r="S61" i="16"/>
  <c r="AY60" i="16"/>
  <c r="BA60" i="16" s="1"/>
  <c r="BB60" i="16" s="1"/>
  <c r="AR60" i="16"/>
  <c r="AT60" i="16" s="1"/>
  <c r="AU60" i="16" s="1"/>
  <c r="AH60" i="16"/>
  <c r="AJ60" i="16" s="1"/>
  <c r="AG60" i="16"/>
  <c r="AI60" i="16" s="1"/>
  <c r="S60" i="16"/>
  <c r="AY59" i="16"/>
  <c r="BA59" i="16" s="1"/>
  <c r="BB59" i="16" s="1"/>
  <c r="AR59" i="16"/>
  <c r="AT59" i="16" s="1"/>
  <c r="AU59" i="16" s="1"/>
  <c r="AH59" i="16"/>
  <c r="AJ59" i="16" s="1"/>
  <c r="AP59" i="16" s="1"/>
  <c r="AG59" i="16"/>
  <c r="AI59" i="16" s="1"/>
  <c r="S59" i="16"/>
  <c r="AY58" i="16"/>
  <c r="BA58" i="16" s="1"/>
  <c r="BB58" i="16" s="1"/>
  <c r="AR58" i="16"/>
  <c r="AT58" i="16" s="1"/>
  <c r="AU58" i="16" s="1"/>
  <c r="AH58" i="16"/>
  <c r="AJ58" i="16" s="1"/>
  <c r="AG58" i="16"/>
  <c r="AI58" i="16" s="1"/>
  <c r="S58" i="16"/>
  <c r="AY57" i="16"/>
  <c r="BA57" i="16" s="1"/>
  <c r="BB57" i="16" s="1"/>
  <c r="AR57" i="16"/>
  <c r="AT57" i="16" s="1"/>
  <c r="AU57" i="16" s="1"/>
  <c r="AH57" i="16"/>
  <c r="AJ57" i="16" s="1"/>
  <c r="AG57" i="16"/>
  <c r="AI57" i="16" s="1"/>
  <c r="S57" i="16"/>
  <c r="AY56" i="16"/>
  <c r="BA56" i="16" s="1"/>
  <c r="BB56" i="16" s="1"/>
  <c r="AR56" i="16"/>
  <c r="AT56" i="16" s="1"/>
  <c r="AU56" i="16" s="1"/>
  <c r="AH56" i="16"/>
  <c r="AJ56" i="16" s="1"/>
  <c r="AP56" i="16" s="1"/>
  <c r="AG56" i="16"/>
  <c r="AI56" i="16" s="1"/>
  <c r="S56" i="16"/>
  <c r="AY55" i="16"/>
  <c r="BA55" i="16" s="1"/>
  <c r="BB55" i="16" s="1"/>
  <c r="AR55" i="16"/>
  <c r="AT55" i="16" s="1"/>
  <c r="AU55" i="16" s="1"/>
  <c r="AH55" i="16"/>
  <c r="AJ55" i="16" s="1"/>
  <c r="AG55" i="16"/>
  <c r="AI55" i="16" s="1"/>
  <c r="S55" i="16"/>
  <c r="AY54" i="16"/>
  <c r="BA54" i="16" s="1"/>
  <c r="BB54" i="16" s="1"/>
  <c r="AR54" i="16"/>
  <c r="AT54" i="16" s="1"/>
  <c r="AU54" i="16" s="1"/>
  <c r="AH54" i="16"/>
  <c r="AJ54" i="16" s="1"/>
  <c r="AP54" i="16" s="1"/>
  <c r="AG54" i="16"/>
  <c r="AI54" i="16" s="1"/>
  <c r="S54" i="16"/>
  <c r="AY53" i="16"/>
  <c r="BA53" i="16" s="1"/>
  <c r="BB53" i="16" s="1"/>
  <c r="AR53" i="16"/>
  <c r="AT53" i="16" s="1"/>
  <c r="AU53" i="16" s="1"/>
  <c r="AH53" i="16"/>
  <c r="AJ53" i="16" s="1"/>
  <c r="AG53" i="16"/>
  <c r="AI53" i="16" s="1"/>
  <c r="S53" i="16"/>
  <c r="AY52" i="16"/>
  <c r="BA52" i="16" s="1"/>
  <c r="BB52" i="16" s="1"/>
  <c r="AR52" i="16"/>
  <c r="AT52" i="16" s="1"/>
  <c r="AU52" i="16" s="1"/>
  <c r="AH52" i="16"/>
  <c r="AJ52" i="16" s="1"/>
  <c r="AP52" i="16" s="1"/>
  <c r="AG52" i="16"/>
  <c r="AI52" i="16" s="1"/>
  <c r="AO52" i="16" s="1"/>
  <c r="S52" i="16"/>
  <c r="AY51" i="16"/>
  <c r="BA51" i="16" s="1"/>
  <c r="BB51" i="16" s="1"/>
  <c r="AR51" i="16"/>
  <c r="AT51" i="16" s="1"/>
  <c r="AU51" i="16" s="1"/>
  <c r="AH51" i="16"/>
  <c r="AJ51" i="16" s="1"/>
  <c r="AG51" i="16"/>
  <c r="AI51" i="16" s="1"/>
  <c r="S51" i="16"/>
  <c r="AY50" i="16"/>
  <c r="BA50" i="16" s="1"/>
  <c r="BB50" i="16" s="1"/>
  <c r="AR50" i="16"/>
  <c r="AT50" i="16" s="1"/>
  <c r="AU50" i="16" s="1"/>
  <c r="AH50" i="16"/>
  <c r="AJ50" i="16" s="1"/>
  <c r="AG50" i="16"/>
  <c r="AI50" i="16" s="1"/>
  <c r="AO50" i="16" s="1"/>
  <c r="S50" i="16"/>
  <c r="AY49" i="16"/>
  <c r="BA49" i="16" s="1"/>
  <c r="BB49" i="16" s="1"/>
  <c r="AR49" i="16"/>
  <c r="AT49" i="16" s="1"/>
  <c r="AU49" i="16" s="1"/>
  <c r="AH49" i="16"/>
  <c r="AJ49" i="16" s="1"/>
  <c r="AG49" i="16"/>
  <c r="AI49" i="16" s="1"/>
  <c r="S49" i="16"/>
  <c r="AY48" i="16"/>
  <c r="BA48" i="16" s="1"/>
  <c r="BB48" i="16" s="1"/>
  <c r="AR48" i="16"/>
  <c r="AT48" i="16" s="1"/>
  <c r="AU48" i="16" s="1"/>
  <c r="AH48" i="16"/>
  <c r="AJ48" i="16" s="1"/>
  <c r="AP48" i="16" s="1"/>
  <c r="AG48" i="16"/>
  <c r="AI48" i="16" s="1"/>
  <c r="AO48" i="16" s="1"/>
  <c r="S48" i="16"/>
  <c r="AY47" i="16"/>
  <c r="BA47" i="16" s="1"/>
  <c r="BB47" i="16" s="1"/>
  <c r="AR47" i="16"/>
  <c r="AT47" i="16" s="1"/>
  <c r="AU47" i="16" s="1"/>
  <c r="AH47" i="16"/>
  <c r="AJ47" i="16" s="1"/>
  <c r="AG47" i="16"/>
  <c r="AI47" i="16" s="1"/>
  <c r="S47" i="16"/>
  <c r="AY46" i="16"/>
  <c r="BA46" i="16" s="1"/>
  <c r="BB46" i="16" s="1"/>
  <c r="AR46" i="16"/>
  <c r="AT46" i="16" s="1"/>
  <c r="AU46" i="16" s="1"/>
  <c r="AH46" i="16"/>
  <c r="AJ46" i="16" s="1"/>
  <c r="AG46" i="16"/>
  <c r="AI46" i="16" s="1"/>
  <c r="S46" i="16"/>
  <c r="AY45" i="16"/>
  <c r="BA45" i="16" s="1"/>
  <c r="BB45" i="16" s="1"/>
  <c r="AR45" i="16"/>
  <c r="AT45" i="16" s="1"/>
  <c r="AU45" i="16" s="1"/>
  <c r="AH45" i="16"/>
  <c r="AJ45" i="16" s="1"/>
  <c r="AP45" i="16" s="1"/>
  <c r="AG45" i="16"/>
  <c r="AI45" i="16" s="1"/>
  <c r="AO45" i="16" s="1"/>
  <c r="S45" i="16"/>
  <c r="AY44" i="16"/>
  <c r="BA44" i="16" s="1"/>
  <c r="BB44" i="16" s="1"/>
  <c r="AR44" i="16"/>
  <c r="AT44" i="16" s="1"/>
  <c r="AU44" i="16" s="1"/>
  <c r="AH44" i="16"/>
  <c r="AJ44" i="16" s="1"/>
  <c r="AG44" i="16"/>
  <c r="AI44" i="16" s="1"/>
  <c r="S44" i="16"/>
  <c r="AY43" i="16"/>
  <c r="BA43" i="16" s="1"/>
  <c r="BB43" i="16" s="1"/>
  <c r="AR43" i="16"/>
  <c r="AT43" i="16" s="1"/>
  <c r="AU43" i="16" s="1"/>
  <c r="AH43" i="16"/>
  <c r="AJ43" i="16" s="1"/>
  <c r="AP43" i="16" s="1"/>
  <c r="AG43" i="16"/>
  <c r="AI43" i="16" s="1"/>
  <c r="AO43" i="16" s="1"/>
  <c r="S43" i="16"/>
  <c r="AY42" i="16"/>
  <c r="BA42" i="16" s="1"/>
  <c r="BB42" i="16" s="1"/>
  <c r="AR42" i="16"/>
  <c r="AT42" i="16" s="1"/>
  <c r="AU42" i="16" s="1"/>
  <c r="AH42" i="16"/>
  <c r="AJ42" i="16" s="1"/>
  <c r="AG42" i="16"/>
  <c r="AI42" i="16" s="1"/>
  <c r="S42" i="16"/>
  <c r="AY41" i="16"/>
  <c r="BA41" i="16" s="1"/>
  <c r="BB41" i="16" s="1"/>
  <c r="AR41" i="16"/>
  <c r="AT41" i="16" s="1"/>
  <c r="AU41" i="16" s="1"/>
  <c r="AH41" i="16"/>
  <c r="AJ41" i="16" s="1"/>
  <c r="AP41" i="16" s="1"/>
  <c r="AG41" i="16"/>
  <c r="AI41" i="16" s="1"/>
  <c r="AO41" i="16" s="1"/>
  <c r="S41" i="16"/>
  <c r="AY40" i="16"/>
  <c r="BA40" i="16" s="1"/>
  <c r="BB40" i="16" s="1"/>
  <c r="AR40" i="16"/>
  <c r="AT40" i="16" s="1"/>
  <c r="AU40" i="16" s="1"/>
  <c r="AH40" i="16"/>
  <c r="AJ40" i="16" s="1"/>
  <c r="AG40" i="16"/>
  <c r="AI40" i="16" s="1"/>
  <c r="S40" i="16"/>
  <c r="AY39" i="16"/>
  <c r="BA39" i="16" s="1"/>
  <c r="BB39" i="16" s="1"/>
  <c r="AR39" i="16"/>
  <c r="AT39" i="16" s="1"/>
  <c r="AU39" i="16" s="1"/>
  <c r="AH39" i="16"/>
  <c r="AJ39" i="16" s="1"/>
  <c r="AP39" i="16" s="1"/>
  <c r="AG39" i="16"/>
  <c r="AI39" i="16" s="1"/>
  <c r="S39" i="16"/>
  <c r="AY38" i="16"/>
  <c r="BA38" i="16" s="1"/>
  <c r="BB38" i="16" s="1"/>
  <c r="AR38" i="16"/>
  <c r="AT38" i="16" s="1"/>
  <c r="AU38" i="16" s="1"/>
  <c r="AH38" i="16"/>
  <c r="AJ38" i="16" s="1"/>
  <c r="AP38" i="16" s="1"/>
  <c r="AG38" i="16"/>
  <c r="AI38" i="16" s="1"/>
  <c r="S38" i="16"/>
  <c r="AY37" i="16"/>
  <c r="BA37" i="16" s="1"/>
  <c r="BB37" i="16" s="1"/>
  <c r="AR37" i="16"/>
  <c r="AT37" i="16" s="1"/>
  <c r="AU37" i="16" s="1"/>
  <c r="AH37" i="16"/>
  <c r="AJ37" i="16" s="1"/>
  <c r="AP37" i="16" s="1"/>
  <c r="AG37" i="16"/>
  <c r="AI37" i="16" s="1"/>
  <c r="AO37" i="16" s="1"/>
  <c r="S37" i="16"/>
  <c r="AY36" i="16"/>
  <c r="BA36" i="16" s="1"/>
  <c r="BB36" i="16" s="1"/>
  <c r="AR36" i="16"/>
  <c r="AT36" i="16" s="1"/>
  <c r="AU36" i="16" s="1"/>
  <c r="AH36" i="16"/>
  <c r="AJ36" i="16" s="1"/>
  <c r="AP36" i="16" s="1"/>
  <c r="AG36" i="16"/>
  <c r="AI36" i="16" s="1"/>
  <c r="AO36" i="16" s="1"/>
  <c r="S36" i="16"/>
  <c r="AY35" i="16"/>
  <c r="BA35" i="16" s="1"/>
  <c r="BB35" i="16" s="1"/>
  <c r="AR35" i="16"/>
  <c r="AT35" i="16" s="1"/>
  <c r="AU35" i="16" s="1"/>
  <c r="AH35" i="16"/>
  <c r="AJ35" i="16" s="1"/>
  <c r="AP35" i="16" s="1"/>
  <c r="AG35" i="16"/>
  <c r="AI35" i="16" s="1"/>
  <c r="AO35" i="16" s="1"/>
  <c r="S35" i="16"/>
  <c r="AY34" i="16"/>
  <c r="BA34" i="16" s="1"/>
  <c r="BB34" i="16" s="1"/>
  <c r="AR34" i="16"/>
  <c r="AT34" i="16" s="1"/>
  <c r="AU34" i="16" s="1"/>
  <c r="AH34" i="16"/>
  <c r="AJ34" i="16" s="1"/>
  <c r="AP34" i="16" s="1"/>
  <c r="AG34" i="16"/>
  <c r="AI34" i="16" s="1"/>
  <c r="S34" i="16"/>
  <c r="AY33" i="16"/>
  <c r="BA33" i="16" s="1"/>
  <c r="BB33" i="16" s="1"/>
  <c r="AR33" i="16"/>
  <c r="AT33" i="16" s="1"/>
  <c r="AU33" i="16" s="1"/>
  <c r="AH33" i="16"/>
  <c r="AJ33" i="16" s="1"/>
  <c r="AG33" i="16"/>
  <c r="AI33" i="16" s="1"/>
  <c r="AO33" i="16" s="1"/>
  <c r="S33" i="16"/>
  <c r="AY32" i="16"/>
  <c r="BA32" i="16" s="1"/>
  <c r="BB32" i="16" s="1"/>
  <c r="AR32" i="16"/>
  <c r="AT32" i="16" s="1"/>
  <c r="AU32" i="16" s="1"/>
  <c r="AH32" i="16"/>
  <c r="AJ32" i="16" s="1"/>
  <c r="AP32" i="16" s="1"/>
  <c r="AG32" i="16"/>
  <c r="AI32" i="16" s="1"/>
  <c r="AO32" i="16" s="1"/>
  <c r="S32" i="16"/>
  <c r="AY31" i="16"/>
  <c r="BA31" i="16" s="1"/>
  <c r="BB31" i="16" s="1"/>
  <c r="AR31" i="16"/>
  <c r="AT31" i="16" s="1"/>
  <c r="AU31" i="16" s="1"/>
  <c r="AH31" i="16"/>
  <c r="AJ31" i="16" s="1"/>
  <c r="AP31" i="16" s="1"/>
  <c r="AG31" i="16"/>
  <c r="AI31" i="16" s="1"/>
  <c r="S31" i="16"/>
  <c r="AY30" i="16"/>
  <c r="BA30" i="16" s="1"/>
  <c r="BB30" i="16" s="1"/>
  <c r="AR30" i="16"/>
  <c r="AT30" i="16" s="1"/>
  <c r="AU30" i="16" s="1"/>
  <c r="AH30" i="16"/>
  <c r="AJ30" i="16" s="1"/>
  <c r="AP30" i="16" s="1"/>
  <c r="AG30" i="16"/>
  <c r="AI30" i="16" s="1"/>
  <c r="S30" i="16"/>
  <c r="AY29" i="16"/>
  <c r="BA29" i="16" s="1"/>
  <c r="BB29" i="16" s="1"/>
  <c r="AR29" i="16"/>
  <c r="AT29" i="16" s="1"/>
  <c r="AU29" i="16" s="1"/>
  <c r="AH29" i="16"/>
  <c r="AJ29" i="16" s="1"/>
  <c r="AP29" i="16" s="1"/>
  <c r="AG29" i="16"/>
  <c r="AI29" i="16" s="1"/>
  <c r="AO29" i="16" s="1"/>
  <c r="S29" i="16"/>
  <c r="AY28" i="16"/>
  <c r="BA28" i="16" s="1"/>
  <c r="BB28" i="16" s="1"/>
  <c r="AR28" i="16"/>
  <c r="AT28" i="16" s="1"/>
  <c r="AU28" i="16" s="1"/>
  <c r="AH28" i="16"/>
  <c r="AJ28" i="16" s="1"/>
  <c r="AP28" i="16" s="1"/>
  <c r="AG28" i="16"/>
  <c r="AI28" i="16" s="1"/>
  <c r="S28" i="16"/>
  <c r="AY27" i="16"/>
  <c r="BA27" i="16" s="1"/>
  <c r="BB27" i="16" s="1"/>
  <c r="AR27" i="16"/>
  <c r="AT27" i="16" s="1"/>
  <c r="AU27" i="16" s="1"/>
  <c r="AH27" i="16"/>
  <c r="AJ27" i="16" s="1"/>
  <c r="AP27" i="16" s="1"/>
  <c r="AG27" i="16"/>
  <c r="AI27" i="16" s="1"/>
  <c r="S27" i="16"/>
  <c r="AY26" i="16"/>
  <c r="BA26" i="16" s="1"/>
  <c r="BB26" i="16" s="1"/>
  <c r="AR26" i="16"/>
  <c r="AT26" i="16" s="1"/>
  <c r="AU26" i="16" s="1"/>
  <c r="AH26" i="16"/>
  <c r="AJ26" i="16" s="1"/>
  <c r="AP26" i="16" s="1"/>
  <c r="AG26" i="16"/>
  <c r="AI26" i="16" s="1"/>
  <c r="S26" i="16"/>
  <c r="AY25" i="16"/>
  <c r="BA25" i="16" s="1"/>
  <c r="BB25" i="16" s="1"/>
  <c r="AR25" i="16"/>
  <c r="AT25" i="16" s="1"/>
  <c r="AU25" i="16" s="1"/>
  <c r="AH25" i="16"/>
  <c r="AJ25" i="16" s="1"/>
  <c r="AP25" i="16" s="1"/>
  <c r="AG25" i="16"/>
  <c r="AI25" i="16" s="1"/>
  <c r="AO25" i="16" s="1"/>
  <c r="S25" i="16"/>
  <c r="AY24" i="16"/>
  <c r="BA24" i="16" s="1"/>
  <c r="BB24" i="16" s="1"/>
  <c r="AR24" i="16"/>
  <c r="AT24" i="16" s="1"/>
  <c r="AU24" i="16" s="1"/>
  <c r="AH24" i="16"/>
  <c r="AJ24" i="16" s="1"/>
  <c r="AP24" i="16" s="1"/>
  <c r="AG24" i="16"/>
  <c r="AI24" i="16" s="1"/>
  <c r="S24" i="16"/>
  <c r="AY23" i="16"/>
  <c r="BA23" i="16" s="1"/>
  <c r="BB23" i="16" s="1"/>
  <c r="AR23" i="16"/>
  <c r="AT23" i="16" s="1"/>
  <c r="AU23" i="16" s="1"/>
  <c r="AH23" i="16"/>
  <c r="AJ23" i="16" s="1"/>
  <c r="AG23" i="16"/>
  <c r="AI23" i="16" s="1"/>
  <c r="S23" i="16"/>
  <c r="AY22" i="16"/>
  <c r="BA22" i="16" s="1"/>
  <c r="BB22" i="16" s="1"/>
  <c r="AR22" i="16"/>
  <c r="AT22" i="16" s="1"/>
  <c r="AU22" i="16" s="1"/>
  <c r="AH22" i="16"/>
  <c r="AJ22" i="16" s="1"/>
  <c r="AG22" i="16"/>
  <c r="AI22" i="16" s="1"/>
  <c r="AO22" i="16" s="1"/>
  <c r="S22" i="16"/>
  <c r="AY21" i="16"/>
  <c r="BA21" i="16" s="1"/>
  <c r="BB21" i="16" s="1"/>
  <c r="AR21" i="16"/>
  <c r="AT21" i="16" s="1"/>
  <c r="AU21" i="16" s="1"/>
  <c r="AH21" i="16"/>
  <c r="AJ21" i="16" s="1"/>
  <c r="AG21" i="16"/>
  <c r="AI21" i="16" s="1"/>
  <c r="S21" i="16"/>
  <c r="AY20" i="16"/>
  <c r="BA20" i="16" s="1"/>
  <c r="BB20" i="16" s="1"/>
  <c r="AR20" i="16"/>
  <c r="AT20" i="16" s="1"/>
  <c r="AU20" i="16" s="1"/>
  <c r="AH20" i="16"/>
  <c r="AJ20" i="16" s="1"/>
  <c r="AG20" i="16"/>
  <c r="AI20" i="16" s="1"/>
  <c r="AO20" i="16" s="1"/>
  <c r="S20" i="16"/>
  <c r="AY19" i="16"/>
  <c r="BA19" i="16" s="1"/>
  <c r="BB19" i="16" s="1"/>
  <c r="AR19" i="16"/>
  <c r="AT19" i="16" s="1"/>
  <c r="AU19" i="16" s="1"/>
  <c r="AH19" i="16"/>
  <c r="AJ19" i="16" s="1"/>
  <c r="AG19" i="16"/>
  <c r="AI19" i="16" s="1"/>
  <c r="S19" i="16"/>
  <c r="AY18" i="16"/>
  <c r="BA18" i="16" s="1"/>
  <c r="BB18" i="16" s="1"/>
  <c r="AR18" i="16"/>
  <c r="AT18" i="16" s="1"/>
  <c r="AU18" i="16" s="1"/>
  <c r="AH18" i="16"/>
  <c r="AJ18" i="16" s="1"/>
  <c r="AG18" i="16"/>
  <c r="AI18" i="16" s="1"/>
  <c r="AO18" i="16" s="1"/>
  <c r="S18" i="16"/>
  <c r="AY17" i="16"/>
  <c r="BA17" i="16" s="1"/>
  <c r="BB17" i="16" s="1"/>
  <c r="AR17" i="16"/>
  <c r="AT17" i="16" s="1"/>
  <c r="AU17" i="16" s="1"/>
  <c r="AH17" i="16"/>
  <c r="AJ17" i="16" s="1"/>
  <c r="AG17" i="16"/>
  <c r="AI17" i="16" s="1"/>
  <c r="S17" i="16"/>
  <c r="AY16" i="16"/>
  <c r="BA16" i="16" s="1"/>
  <c r="BB16" i="16" s="1"/>
  <c r="AR16" i="16"/>
  <c r="AT16" i="16" s="1"/>
  <c r="AU16" i="16" s="1"/>
  <c r="AH16" i="16"/>
  <c r="AJ16" i="16" s="1"/>
  <c r="AG16" i="16"/>
  <c r="AI16" i="16" s="1"/>
  <c r="AO16" i="16" s="1"/>
  <c r="S16" i="16"/>
  <c r="AY15" i="16"/>
  <c r="BA15" i="16" s="1"/>
  <c r="BB15" i="16" s="1"/>
  <c r="AR15" i="16"/>
  <c r="AT15" i="16" s="1"/>
  <c r="AU15" i="16" s="1"/>
  <c r="AH15" i="16"/>
  <c r="AJ15" i="16" s="1"/>
  <c r="AG15" i="16"/>
  <c r="AI15" i="16" s="1"/>
  <c r="S15" i="16"/>
  <c r="AY14" i="16"/>
  <c r="BA14" i="16" s="1"/>
  <c r="BB14" i="16" s="1"/>
  <c r="AR14" i="16"/>
  <c r="AT14" i="16" s="1"/>
  <c r="AU14" i="16" s="1"/>
  <c r="AH14" i="16"/>
  <c r="AJ14" i="16" s="1"/>
  <c r="AG14" i="16"/>
  <c r="AI14" i="16" s="1"/>
  <c r="AO14" i="16" s="1"/>
  <c r="S14" i="16"/>
  <c r="AY13" i="16"/>
  <c r="BA13" i="16" s="1"/>
  <c r="BB13" i="16" s="1"/>
  <c r="AR13" i="16"/>
  <c r="AT13" i="16" s="1"/>
  <c r="AU13" i="16" s="1"/>
  <c r="AH13" i="16"/>
  <c r="AJ13" i="16" s="1"/>
  <c r="AG13" i="16"/>
  <c r="AI13" i="16" s="1"/>
  <c r="AO13" i="16" s="1"/>
  <c r="S13" i="16"/>
  <c r="AY12" i="16"/>
  <c r="BA12" i="16" s="1"/>
  <c r="BB12" i="16" s="1"/>
  <c r="AR12" i="16"/>
  <c r="AT12" i="16" s="1"/>
  <c r="AU12" i="16" s="1"/>
  <c r="AH12" i="16"/>
  <c r="AJ12" i="16" s="1"/>
  <c r="AG12" i="16"/>
  <c r="AI12" i="16" s="1"/>
  <c r="S12" i="16"/>
  <c r="AY11" i="16"/>
  <c r="BA11" i="16" s="1"/>
  <c r="BB11" i="16" s="1"/>
  <c r="AR11" i="16"/>
  <c r="AT11" i="16" s="1"/>
  <c r="AU11" i="16" s="1"/>
  <c r="AH11" i="16"/>
  <c r="AJ11" i="16" s="1"/>
  <c r="AG11" i="16"/>
  <c r="AI11" i="16" s="1"/>
  <c r="AO11" i="16" s="1"/>
  <c r="S11" i="16"/>
  <c r="AY10" i="16"/>
  <c r="BA10" i="16" s="1"/>
  <c r="BB10" i="16" s="1"/>
  <c r="AR10" i="16"/>
  <c r="AT10" i="16" s="1"/>
  <c r="AU10" i="16" s="1"/>
  <c r="AH10" i="16"/>
  <c r="AJ10" i="16" s="1"/>
  <c r="AG10" i="16"/>
  <c r="AI10" i="16" s="1"/>
  <c r="S10" i="16"/>
  <c r="AY9" i="16"/>
  <c r="BA9" i="16" s="1"/>
  <c r="BB9" i="16" s="1"/>
  <c r="AR9" i="16"/>
  <c r="AT9" i="16" s="1"/>
  <c r="AU9" i="16" s="1"/>
  <c r="AH9" i="16"/>
  <c r="AJ9" i="16" s="1"/>
  <c r="AG9" i="16"/>
  <c r="AI9" i="16" s="1"/>
  <c r="AO9" i="16" s="1"/>
  <c r="S9" i="16"/>
  <c r="AY8" i="16"/>
  <c r="BA8" i="16" s="1"/>
  <c r="BB8" i="16" s="1"/>
  <c r="AR8" i="16"/>
  <c r="AT8" i="16" s="1"/>
  <c r="AU8" i="16" s="1"/>
  <c r="AH8" i="16"/>
  <c r="AJ8" i="16" s="1"/>
  <c r="AG8" i="16"/>
  <c r="AI8" i="16" s="1"/>
  <c r="S8" i="16"/>
  <c r="AY7" i="16"/>
  <c r="BA7" i="16" s="1"/>
  <c r="BB7" i="16" s="1"/>
  <c r="AR7" i="16"/>
  <c r="AT7" i="16" s="1"/>
  <c r="AU7" i="16" s="1"/>
  <c r="AH7" i="16"/>
  <c r="AJ7" i="16" s="1"/>
  <c r="AG7" i="16"/>
  <c r="AI7" i="16" s="1"/>
  <c r="AO7" i="16" s="1"/>
  <c r="S7" i="16"/>
  <c r="AY6" i="16"/>
  <c r="BA6" i="16" s="1"/>
  <c r="BB6" i="16" s="1"/>
  <c r="AR6" i="16"/>
  <c r="AT6" i="16" s="1"/>
  <c r="AU6" i="16" s="1"/>
  <c r="AH6" i="16"/>
  <c r="AJ6" i="16" s="1"/>
  <c r="AG6" i="16"/>
  <c r="AI6" i="16" s="1"/>
  <c r="S6" i="16"/>
  <c r="AY5" i="16"/>
  <c r="BA5" i="16" s="1"/>
  <c r="BB5" i="16" s="1"/>
  <c r="AR5" i="16"/>
  <c r="AT5" i="16" s="1"/>
  <c r="AU5" i="16" s="1"/>
  <c r="AH5" i="16"/>
  <c r="AJ5" i="16" s="1"/>
  <c r="AG5" i="16"/>
  <c r="AI5" i="16" s="1"/>
  <c r="AO5" i="16" s="1"/>
  <c r="S5" i="16"/>
  <c r="AY4" i="16"/>
  <c r="BA4" i="16" s="1"/>
  <c r="BB4" i="16" s="1"/>
  <c r="AR4" i="16"/>
  <c r="AT4" i="16" s="1"/>
  <c r="AU4" i="16" s="1"/>
  <c r="AH4" i="16"/>
  <c r="AJ4" i="16" s="1"/>
  <c r="AG4" i="16"/>
  <c r="AI4" i="16" s="1"/>
  <c r="S4" i="16"/>
  <c r="AY3" i="16"/>
  <c r="BA3" i="16" s="1"/>
  <c r="BB3" i="16" s="1"/>
  <c r="AR3" i="16"/>
  <c r="AT3" i="16" s="1"/>
  <c r="AU3" i="16" s="1"/>
  <c r="AH3" i="16"/>
  <c r="AJ3" i="16" s="1"/>
  <c r="AG3" i="16"/>
  <c r="AI3" i="16" s="1"/>
  <c r="S3" i="16"/>
  <c r="AY55" i="1"/>
  <c r="BA55" i="1" s="1"/>
  <c r="BB55" i="1" s="1"/>
  <c r="BE55" i="1" s="1"/>
  <c r="AR55" i="1"/>
  <c r="AT55" i="1" s="1"/>
  <c r="AU55" i="1" s="1"/>
  <c r="AX55" i="1" s="1"/>
  <c r="AQ55" i="1"/>
  <c r="AP55" i="1"/>
  <c r="AO55" i="1"/>
  <c r="AN55" i="1"/>
  <c r="AL55" i="1"/>
  <c r="AK55" i="1"/>
  <c r="AM55" i="1" s="1"/>
  <c r="AY54" i="1"/>
  <c r="BA54" i="1" s="1"/>
  <c r="BB54" i="1" s="1"/>
  <c r="BE54" i="1" s="1"/>
  <c r="AR54" i="1"/>
  <c r="AT54" i="1" s="1"/>
  <c r="AU54" i="1" s="1"/>
  <c r="AX54" i="1" s="1"/>
  <c r="AQ54" i="1"/>
  <c r="AP54" i="1"/>
  <c r="AO54" i="1"/>
  <c r="AN54" i="1"/>
  <c r="AM54" i="1"/>
  <c r="AL54" i="1"/>
  <c r="AK54" i="1"/>
  <c r="AY53" i="1"/>
  <c r="BA53" i="1" s="1"/>
  <c r="BB53" i="1" s="1"/>
  <c r="BE53" i="1" s="1"/>
  <c r="AR53" i="1"/>
  <c r="AT53" i="1" s="1"/>
  <c r="AU53" i="1" s="1"/>
  <c r="AX53" i="1" s="1"/>
  <c r="AQ53" i="1"/>
  <c r="AP53" i="1"/>
  <c r="AO53" i="1"/>
  <c r="AN53" i="1"/>
  <c r="AM53" i="1"/>
  <c r="AL53" i="1"/>
  <c r="AK53" i="1"/>
  <c r="BA52" i="1"/>
  <c r="BB52" i="1" s="1"/>
  <c r="BE52" i="1" s="1"/>
  <c r="AY52" i="1"/>
  <c r="AU52" i="1"/>
  <c r="AX52" i="1" s="1"/>
  <c r="AT52" i="1"/>
  <c r="AR52" i="1"/>
  <c r="AQ52" i="1"/>
  <c r="AP52" i="1"/>
  <c r="AO52" i="1"/>
  <c r="AM52" i="1"/>
  <c r="AL52" i="1"/>
  <c r="AN52" i="1" s="1"/>
  <c r="AK52" i="1"/>
  <c r="AY51" i="1"/>
  <c r="BA51" i="1" s="1"/>
  <c r="BB51" i="1" s="1"/>
  <c r="BE51" i="1" s="1"/>
  <c r="AT51" i="1"/>
  <c r="AU51" i="1" s="1"/>
  <c r="AX51" i="1" s="1"/>
  <c r="AR51" i="1"/>
  <c r="AQ51" i="1"/>
  <c r="AP51" i="1"/>
  <c r="AO51" i="1"/>
  <c r="AN51" i="1"/>
  <c r="AL51" i="1"/>
  <c r="AK51" i="1"/>
  <c r="AM51" i="1" s="1"/>
  <c r="AY50" i="1"/>
  <c r="BA50" i="1" s="1"/>
  <c r="BB50" i="1" s="1"/>
  <c r="BE50" i="1" s="1"/>
  <c r="AR50" i="1"/>
  <c r="AT50" i="1" s="1"/>
  <c r="AU50" i="1" s="1"/>
  <c r="AX50" i="1" s="1"/>
  <c r="AQ50" i="1"/>
  <c r="AP50" i="1"/>
  <c r="AO50" i="1"/>
  <c r="AN50" i="1"/>
  <c r="AM50" i="1"/>
  <c r="AL50" i="1"/>
  <c r="AK50" i="1"/>
  <c r="AY49" i="1"/>
  <c r="BA49" i="1" s="1"/>
  <c r="BB49" i="1" s="1"/>
  <c r="BE49" i="1" s="1"/>
  <c r="AU49" i="1"/>
  <c r="AX49" i="1" s="1"/>
  <c r="AT49" i="1"/>
  <c r="AR49" i="1"/>
  <c r="AQ49" i="1"/>
  <c r="AP49" i="1"/>
  <c r="AO49" i="1"/>
  <c r="AM49" i="1"/>
  <c r="AL49" i="1"/>
  <c r="AN49" i="1" s="1"/>
  <c r="AK49" i="1"/>
  <c r="AY48" i="1"/>
  <c r="BA48" i="1" s="1"/>
  <c r="BB48" i="1" s="1"/>
  <c r="BE48" i="1" s="1"/>
  <c r="AT48" i="1"/>
  <c r="AU48" i="1" s="1"/>
  <c r="AX48" i="1" s="1"/>
  <c r="AR48" i="1"/>
  <c r="AQ48" i="1"/>
  <c r="AP48" i="1"/>
  <c r="AO48" i="1"/>
  <c r="AL48" i="1"/>
  <c r="AN48" i="1" s="1"/>
  <c r="AK48" i="1"/>
  <c r="AM48" i="1" s="1"/>
  <c r="BA47" i="1"/>
  <c r="BB47" i="1" s="1"/>
  <c r="BE47" i="1" s="1"/>
  <c r="AY47" i="1"/>
  <c r="AR47" i="1"/>
  <c r="AT47" i="1" s="1"/>
  <c r="AU47" i="1" s="1"/>
  <c r="AX47" i="1" s="1"/>
  <c r="AQ47" i="1"/>
  <c r="AP47" i="1"/>
  <c r="AO47" i="1"/>
  <c r="AL47" i="1"/>
  <c r="AN47" i="1" s="1"/>
  <c r="AK47" i="1"/>
  <c r="AM47" i="1" s="1"/>
  <c r="AY46" i="1"/>
  <c r="BA46" i="1" s="1"/>
  <c r="BB46" i="1" s="1"/>
  <c r="BE46" i="1" s="1"/>
  <c r="AR46" i="1"/>
  <c r="AT46" i="1" s="1"/>
  <c r="AU46" i="1" s="1"/>
  <c r="AX46" i="1" s="1"/>
  <c r="AQ46" i="1"/>
  <c r="AP46" i="1"/>
  <c r="AO46" i="1"/>
  <c r="AN46" i="1"/>
  <c r="AL46" i="1"/>
  <c r="AK46" i="1"/>
  <c r="AM46" i="1" s="1"/>
  <c r="AY45" i="1"/>
  <c r="BA45" i="1" s="1"/>
  <c r="BB45" i="1" s="1"/>
  <c r="BE45" i="1" s="1"/>
  <c r="AR45" i="1"/>
  <c r="AT45" i="1" s="1"/>
  <c r="AU45" i="1" s="1"/>
  <c r="AX45" i="1" s="1"/>
  <c r="AQ45" i="1"/>
  <c r="AP45" i="1"/>
  <c r="AO45" i="1"/>
  <c r="AM45" i="1"/>
  <c r="AL45" i="1"/>
  <c r="AN45" i="1" s="1"/>
  <c r="AK45" i="1"/>
  <c r="BA44" i="1"/>
  <c r="BB44" i="1" s="1"/>
  <c r="BE44" i="1" s="1"/>
  <c r="AY44" i="1"/>
  <c r="AR44" i="1"/>
  <c r="AT44" i="1" s="1"/>
  <c r="AU44" i="1" s="1"/>
  <c r="AX44" i="1" s="1"/>
  <c r="AQ44" i="1"/>
  <c r="AP44" i="1"/>
  <c r="AO44" i="1"/>
  <c r="AL44" i="1"/>
  <c r="AN44" i="1" s="1"/>
  <c r="AK44" i="1"/>
  <c r="AM44" i="1" s="1"/>
  <c r="AY43" i="1"/>
  <c r="BA43" i="1" s="1"/>
  <c r="BB43" i="1" s="1"/>
  <c r="BE43" i="1" s="1"/>
  <c r="AT43" i="1"/>
  <c r="AU43" i="1" s="1"/>
  <c r="AX43" i="1" s="1"/>
  <c r="AR43" i="1"/>
  <c r="AQ43" i="1"/>
  <c r="AP43" i="1"/>
  <c r="AO43" i="1"/>
  <c r="AN43" i="1"/>
  <c r="AL43" i="1"/>
  <c r="AK43" i="1"/>
  <c r="AM43" i="1" s="1"/>
  <c r="Y231" i="1"/>
  <c r="V231" i="1"/>
  <c r="Z222" i="1"/>
  <c r="Y222" i="1"/>
  <c r="X222" i="1"/>
  <c r="W222" i="1"/>
  <c r="V22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249" i="1"/>
  <c r="S248" i="1"/>
  <c r="S247" i="1"/>
  <c r="S246" i="1"/>
  <c r="S245" i="1"/>
  <c r="S244" i="1"/>
  <c r="S243" i="1"/>
  <c r="S242" i="1"/>
  <c r="AY250" i="1"/>
  <c r="BA250" i="1" s="1"/>
  <c r="BB250" i="1" s="1"/>
  <c r="AR250" i="1"/>
  <c r="AT250" i="1" s="1"/>
  <c r="AU250" i="1" s="1"/>
  <c r="AH250" i="1"/>
  <c r="AJ250" i="1" s="1"/>
  <c r="AG250" i="1"/>
  <c r="AI250" i="1" s="1"/>
  <c r="AY249" i="1"/>
  <c r="BA249" i="1" s="1"/>
  <c r="BB249" i="1" s="1"/>
  <c r="AR249" i="1"/>
  <c r="AT249" i="1" s="1"/>
  <c r="AU249" i="1" s="1"/>
  <c r="AH249" i="1"/>
  <c r="AJ249" i="1" s="1"/>
  <c r="AG249" i="1"/>
  <c r="AI249" i="1" s="1"/>
  <c r="AY248" i="1"/>
  <c r="BA248" i="1" s="1"/>
  <c r="BB248" i="1" s="1"/>
  <c r="AR248" i="1"/>
  <c r="AT248" i="1" s="1"/>
  <c r="AU248" i="1" s="1"/>
  <c r="AH248" i="1"/>
  <c r="AJ248" i="1" s="1"/>
  <c r="AG248" i="1"/>
  <c r="AI248" i="1" s="1"/>
  <c r="AY247" i="1"/>
  <c r="BA247" i="1" s="1"/>
  <c r="BB247" i="1" s="1"/>
  <c r="AR247" i="1"/>
  <c r="AT247" i="1" s="1"/>
  <c r="AU247" i="1" s="1"/>
  <c r="AH247" i="1"/>
  <c r="AJ247" i="1" s="1"/>
  <c r="AG247" i="1"/>
  <c r="AI247" i="1" s="1"/>
  <c r="AO247" i="1" s="1"/>
  <c r="AY246" i="1"/>
  <c r="BA246" i="1" s="1"/>
  <c r="BB246" i="1" s="1"/>
  <c r="AR246" i="1"/>
  <c r="AT246" i="1" s="1"/>
  <c r="AU246" i="1" s="1"/>
  <c r="AH246" i="1"/>
  <c r="AJ246" i="1" s="1"/>
  <c r="AG246" i="1"/>
  <c r="AI246" i="1" s="1"/>
  <c r="AY245" i="1"/>
  <c r="BA245" i="1" s="1"/>
  <c r="BB245" i="1" s="1"/>
  <c r="AR245" i="1"/>
  <c r="AT245" i="1" s="1"/>
  <c r="AU245" i="1" s="1"/>
  <c r="AH245" i="1"/>
  <c r="AJ245" i="1" s="1"/>
  <c r="AG245" i="1"/>
  <c r="AI245" i="1" s="1"/>
  <c r="AY244" i="1"/>
  <c r="BA244" i="1" s="1"/>
  <c r="BB244" i="1" s="1"/>
  <c r="AR244" i="1"/>
  <c r="AT244" i="1" s="1"/>
  <c r="AU244" i="1" s="1"/>
  <c r="AH244" i="1"/>
  <c r="AJ244" i="1" s="1"/>
  <c r="AG244" i="1"/>
  <c r="AI244" i="1" s="1"/>
  <c r="AO244" i="1" s="1"/>
  <c r="AY243" i="1"/>
  <c r="BA243" i="1" s="1"/>
  <c r="BB243" i="1" s="1"/>
  <c r="AR243" i="1"/>
  <c r="AT243" i="1" s="1"/>
  <c r="AU243" i="1" s="1"/>
  <c r="AH243" i="1"/>
  <c r="AJ243" i="1" s="1"/>
  <c r="AG243" i="1"/>
  <c r="AI243" i="1" s="1"/>
  <c r="AY242" i="1"/>
  <c r="BA242" i="1" s="1"/>
  <c r="BB242" i="1" s="1"/>
  <c r="AR242" i="1"/>
  <c r="AT242" i="1" s="1"/>
  <c r="AU242" i="1" s="1"/>
  <c r="AH242" i="1"/>
  <c r="AJ242" i="1" s="1"/>
  <c r="AG242" i="1"/>
  <c r="AI242" i="1" s="1"/>
  <c r="AO242" i="1" s="1"/>
  <c r="BE3" i="11"/>
  <c r="BG3" i="11" s="1"/>
  <c r="BH3" i="11" s="1"/>
  <c r="AR3" i="11"/>
  <c r="AT3" i="11" s="1"/>
  <c r="AU3" i="11" s="1"/>
  <c r="AH3" i="11"/>
  <c r="AJ3" i="11" s="1"/>
  <c r="AG3" i="11"/>
  <c r="AI3" i="11" s="1"/>
  <c r="AO3" i="11" s="1"/>
  <c r="AX130" i="11" l="1"/>
  <c r="AX154" i="11"/>
  <c r="BK81" i="11"/>
  <c r="AX126" i="11"/>
  <c r="AX179" i="11"/>
  <c r="AX110" i="11"/>
  <c r="AX37" i="11"/>
  <c r="AX55" i="11"/>
  <c r="AX26" i="11"/>
  <c r="AX105" i="11"/>
  <c r="AX30" i="11"/>
  <c r="AX63" i="11"/>
  <c r="AX114" i="11"/>
  <c r="AX35" i="11"/>
  <c r="AX137" i="11"/>
  <c r="AX46" i="11"/>
  <c r="AX171" i="11"/>
  <c r="AX43" i="11"/>
  <c r="AX66" i="11"/>
  <c r="AX140" i="11"/>
  <c r="AX138" i="11"/>
  <c r="AX106" i="11"/>
  <c r="AX89" i="11"/>
  <c r="AX78" i="11"/>
  <c r="AX94" i="11"/>
  <c r="AX95" i="11"/>
  <c r="AX87" i="11"/>
  <c r="AX86" i="11"/>
  <c r="AX79" i="11"/>
  <c r="AX75" i="11"/>
  <c r="AX67" i="11"/>
  <c r="AX58" i="11"/>
  <c r="AX44" i="11"/>
  <c r="AX39" i="11"/>
  <c r="AX38" i="11"/>
  <c r="AX25" i="11"/>
  <c r="AX17" i="11"/>
  <c r="AX13" i="11"/>
  <c r="AO52" i="11"/>
  <c r="AQ52" i="11"/>
  <c r="AK20" i="11"/>
  <c r="BD20" i="11" s="1"/>
  <c r="AK176" i="11"/>
  <c r="AM176" i="11" s="1"/>
  <c r="AK188" i="11"/>
  <c r="AX9" i="11"/>
  <c r="AX42" i="11"/>
  <c r="AX90" i="11"/>
  <c r="AX151" i="11"/>
  <c r="AX158" i="11"/>
  <c r="AQ187" i="11"/>
  <c r="BK10" i="11"/>
  <c r="BK79" i="11"/>
  <c r="AX71" i="11"/>
  <c r="BK91" i="11"/>
  <c r="AK107" i="11"/>
  <c r="AM107" i="11" s="1"/>
  <c r="AX10" i="11"/>
  <c r="AQ13" i="11"/>
  <c r="AX91" i="11"/>
  <c r="AQ175" i="11"/>
  <c r="BK33" i="11"/>
  <c r="AK108" i="11"/>
  <c r="AM108" i="11" s="1"/>
  <c r="AL132" i="11"/>
  <c r="AN132" i="11" s="1"/>
  <c r="AX40" i="11"/>
  <c r="AO55" i="11"/>
  <c r="AX59" i="11"/>
  <c r="AX62" i="11"/>
  <c r="AX81" i="11"/>
  <c r="AQ159" i="11"/>
  <c r="AX162" i="11"/>
  <c r="AX166" i="11"/>
  <c r="AX182" i="11"/>
  <c r="AX21" i="11"/>
  <c r="AX47" i="11"/>
  <c r="AX159" i="11"/>
  <c r="BK83" i="11"/>
  <c r="AQ139" i="11"/>
  <c r="AX4" i="11"/>
  <c r="AX18" i="11"/>
  <c r="AX29" i="11"/>
  <c r="AX41" i="11"/>
  <c r="AX60" i="11"/>
  <c r="AX69" i="11"/>
  <c r="AX82" i="11"/>
  <c r="AX163" i="11"/>
  <c r="AK160" i="11"/>
  <c r="AM160" i="11" s="1"/>
  <c r="AX88" i="11"/>
  <c r="AX143" i="11"/>
  <c r="BK18" i="11"/>
  <c r="AK77" i="11"/>
  <c r="AW77" i="11" s="1"/>
  <c r="AX8" i="11"/>
  <c r="BK67" i="11"/>
  <c r="AX45" i="11"/>
  <c r="AX51" i="11"/>
  <c r="AX83" i="11"/>
  <c r="AQ134" i="11"/>
  <c r="BK11" i="11"/>
  <c r="AK115" i="11"/>
  <c r="AY19" i="11" s="1"/>
  <c r="AZ19" i="11" s="1"/>
  <c r="AX5" i="11"/>
  <c r="AX12" i="11"/>
  <c r="AX27" i="11"/>
  <c r="AX31" i="11"/>
  <c r="AX70" i="11"/>
  <c r="AX187" i="11"/>
  <c r="AX93" i="11"/>
  <c r="AP96" i="11"/>
  <c r="AQ96" i="11"/>
  <c r="AO103" i="11"/>
  <c r="AX103" i="11"/>
  <c r="AQ124" i="11"/>
  <c r="AX124" i="11"/>
  <c r="AO135" i="11"/>
  <c r="AX135" i="11"/>
  <c r="AX80" i="11"/>
  <c r="AO96" i="11"/>
  <c r="AX96" i="11"/>
  <c r="AO112" i="11"/>
  <c r="AX112" i="11"/>
  <c r="AO6" i="11"/>
  <c r="AX6" i="11"/>
  <c r="AQ100" i="11"/>
  <c r="AX100" i="11"/>
  <c r="AQ103" i="11"/>
  <c r="AO148" i="11"/>
  <c r="AX148" i="11"/>
  <c r="AQ171" i="11"/>
  <c r="AQ128" i="11"/>
  <c r="AX128" i="11"/>
  <c r="AO152" i="11"/>
  <c r="AX152" i="11"/>
  <c r="AO119" i="11"/>
  <c r="AX119" i="11"/>
  <c r="AX136" i="11"/>
  <c r="AO136" i="11"/>
  <c r="AO156" i="11"/>
  <c r="AX156" i="11"/>
  <c r="AO172" i="11"/>
  <c r="AX172" i="11"/>
  <c r="AO192" i="11"/>
  <c r="AX192" i="11"/>
  <c r="AO7" i="11"/>
  <c r="AX7" i="11"/>
  <c r="AO14" i="11"/>
  <c r="AX14" i="11"/>
  <c r="AO72" i="11"/>
  <c r="AX72" i="11"/>
  <c r="AX98" i="11"/>
  <c r="AO98" i="11"/>
  <c r="AO11" i="11"/>
  <c r="AX11" i="11"/>
  <c r="AQ110" i="11"/>
  <c r="AQ179" i="11"/>
  <c r="AX183" i="11"/>
  <c r="AQ183" i="11"/>
  <c r="BK95" i="11"/>
  <c r="AP75" i="11"/>
  <c r="AQ75" i="11"/>
  <c r="AQ163" i="11"/>
  <c r="BK75" i="11"/>
  <c r="AO15" i="11"/>
  <c r="AX15" i="11"/>
  <c r="AO64" i="11"/>
  <c r="AX64" i="11"/>
  <c r="AO111" i="11"/>
  <c r="AX111" i="11"/>
  <c r="AQ114" i="11"/>
  <c r="AO120" i="11"/>
  <c r="AX120" i="11"/>
  <c r="AO180" i="11"/>
  <c r="AX180" i="11"/>
  <c r="AQ15" i="11"/>
  <c r="AP15" i="11"/>
  <c r="AO19" i="11"/>
  <c r="AX19" i="11"/>
  <c r="AO61" i="11"/>
  <c r="AX61" i="11"/>
  <c r="AO76" i="11"/>
  <c r="AX76" i="11"/>
  <c r="AO99" i="11"/>
  <c r="AX99" i="11"/>
  <c r="AO164" i="11"/>
  <c r="AX164" i="11"/>
  <c r="AO23" i="11"/>
  <c r="AX23" i="11"/>
  <c r="AP76" i="11"/>
  <c r="AQ76" i="11"/>
  <c r="AQ99" i="11"/>
  <c r="AQ130" i="11"/>
  <c r="BK59" i="11"/>
  <c r="AQ6" i="11"/>
  <c r="AO123" i="11"/>
  <c r="AX123" i="11"/>
  <c r="AK11" i="11"/>
  <c r="BD11" i="11" s="1"/>
  <c r="AX102" i="11"/>
  <c r="AO144" i="11"/>
  <c r="AX144" i="11"/>
  <c r="AX49" i="11"/>
  <c r="AK24" i="11"/>
  <c r="AW24" i="11" s="1"/>
  <c r="AL36" i="11"/>
  <c r="BO36" i="11" s="1"/>
  <c r="AL60" i="11"/>
  <c r="AN60" i="11" s="1"/>
  <c r="AL72" i="11"/>
  <c r="AN72" i="11" s="1"/>
  <c r="AK84" i="11"/>
  <c r="BD84" i="11" s="1"/>
  <c r="AL96" i="11"/>
  <c r="BO96" i="11" s="1"/>
  <c r="AK120" i="11"/>
  <c r="AY24" i="11" s="1"/>
  <c r="AZ24" i="11" s="1"/>
  <c r="AK156" i="11"/>
  <c r="AM156" i="11" s="1"/>
  <c r="AK168" i="11"/>
  <c r="AY72" i="11" s="1"/>
  <c r="AZ72" i="11" s="1"/>
  <c r="AK180" i="11"/>
  <c r="AY84" i="11" s="1"/>
  <c r="AZ84" i="11" s="1"/>
  <c r="AK192" i="11"/>
  <c r="AM192" i="11" s="1"/>
  <c r="AO26" i="11"/>
  <c r="AQ48" i="11"/>
  <c r="AQ72" i="11"/>
  <c r="AO102" i="11"/>
  <c r="AX109" i="11"/>
  <c r="AP139" i="11"/>
  <c r="AX149" i="11"/>
  <c r="AX170" i="11"/>
  <c r="AX194" i="11"/>
  <c r="AX28" i="11"/>
  <c r="AQ118" i="11"/>
  <c r="AX118" i="11"/>
  <c r="AX133" i="11"/>
  <c r="AO184" i="11"/>
  <c r="AX184" i="11"/>
  <c r="AK119" i="11"/>
  <c r="AM119" i="11" s="1"/>
  <c r="AQ11" i="11"/>
  <c r="AO127" i="11"/>
  <c r="AX127" i="11"/>
  <c r="AX139" i="11"/>
  <c r="AX32" i="11"/>
  <c r="AK61" i="11"/>
  <c r="BD61" i="11" s="1"/>
  <c r="AK85" i="11"/>
  <c r="AW85" i="11" s="1"/>
  <c r="AX125" i="11"/>
  <c r="AX142" i="11"/>
  <c r="AX161" i="11"/>
  <c r="AX177" i="11"/>
  <c r="AX16" i="11"/>
  <c r="AX20" i="11"/>
  <c r="AX24" i="11"/>
  <c r="AX54" i="11"/>
  <c r="AX147" i="11"/>
  <c r="AO168" i="11"/>
  <c r="AX168" i="11"/>
  <c r="AL16" i="11"/>
  <c r="AN16" i="11" s="1"/>
  <c r="AL28" i="11"/>
  <c r="AL40" i="11"/>
  <c r="BJ40" i="11" s="1"/>
  <c r="AL64" i="11"/>
  <c r="BO64" i="11" s="1"/>
  <c r="AL76" i="11"/>
  <c r="AN76" i="11" s="1"/>
  <c r="AL88" i="11"/>
  <c r="BJ88" i="11" s="1"/>
  <c r="AL100" i="11"/>
  <c r="BL4" i="11" s="1"/>
  <c r="BM4" i="11" s="1"/>
  <c r="AK112" i="11"/>
  <c r="AY16" i="11" s="1"/>
  <c r="AZ16" i="11" s="1"/>
  <c r="AL124" i="11"/>
  <c r="BL28" i="11" s="1"/>
  <c r="BM28" i="11" s="1"/>
  <c r="AK136" i="11"/>
  <c r="AY40" i="11" s="1"/>
  <c r="AZ40" i="11" s="1"/>
  <c r="AK148" i="11"/>
  <c r="AY52" i="11" s="1"/>
  <c r="AZ52" i="11" s="1"/>
  <c r="AK172" i="11"/>
  <c r="AY76" i="11" s="1"/>
  <c r="AZ76" i="11" s="1"/>
  <c r="AK184" i="11"/>
  <c r="AM184" i="11" s="1"/>
  <c r="AO12" i="11"/>
  <c r="AX121" i="11"/>
  <c r="AX145" i="11"/>
  <c r="AO154" i="11"/>
  <c r="AX173" i="11"/>
  <c r="AX34" i="11"/>
  <c r="AX84" i="11"/>
  <c r="AX97" i="11"/>
  <c r="AX175" i="11"/>
  <c r="AK65" i="11"/>
  <c r="BD65" i="11" s="1"/>
  <c r="AX101" i="11"/>
  <c r="AO105" i="11"/>
  <c r="AX150" i="11"/>
  <c r="AX157" i="11"/>
  <c r="AX68" i="11"/>
  <c r="AX73" i="11"/>
  <c r="AX77" i="11"/>
  <c r="AO116" i="11"/>
  <c r="AX116" i="11"/>
  <c r="BK3" i="11"/>
  <c r="AL6" i="11"/>
  <c r="AN6" i="11" s="1"/>
  <c r="AL90" i="11"/>
  <c r="BJ90" i="11" s="1"/>
  <c r="AO66" i="11"/>
  <c r="AX178" i="11"/>
  <c r="AX185" i="11"/>
  <c r="AX190" i="11"/>
  <c r="AX56" i="11"/>
  <c r="AX65" i="11"/>
  <c r="AX85" i="11"/>
  <c r="AX117" i="11"/>
  <c r="AO138" i="11"/>
  <c r="AX169" i="11"/>
  <c r="AX74" i="11"/>
  <c r="AK111" i="11"/>
  <c r="AM111" i="11" s="1"/>
  <c r="AK135" i="11"/>
  <c r="AM135" i="11" s="1"/>
  <c r="AQ17" i="11"/>
  <c r="AO107" i="11"/>
  <c r="AX107" i="11"/>
  <c r="AK19" i="11"/>
  <c r="AL55" i="11"/>
  <c r="AN55" i="11" s="1"/>
  <c r="AK127" i="11"/>
  <c r="AY31" i="11" s="1"/>
  <c r="AZ31" i="11" s="1"/>
  <c r="AL32" i="11"/>
  <c r="AN32" i="11" s="1"/>
  <c r="AL56" i="11"/>
  <c r="AN56" i="11" s="1"/>
  <c r="AL68" i="11"/>
  <c r="AN68" i="11" s="1"/>
  <c r="AL80" i="11"/>
  <c r="AN80" i="11" s="1"/>
  <c r="AK92" i="11"/>
  <c r="AW92" i="11" s="1"/>
  <c r="AL104" i="11"/>
  <c r="BL8" i="11" s="1"/>
  <c r="BM8" i="11" s="1"/>
  <c r="AK116" i="11"/>
  <c r="AY20" i="11" s="1"/>
  <c r="AZ20" i="11" s="1"/>
  <c r="AL128" i="11"/>
  <c r="BL32" i="11" s="1"/>
  <c r="BM32" i="11" s="1"/>
  <c r="AK152" i="11"/>
  <c r="AM152" i="11" s="1"/>
  <c r="AK164" i="11"/>
  <c r="AY68" i="11" s="1"/>
  <c r="AZ68" i="11" s="1"/>
  <c r="AQ64" i="11"/>
  <c r="AX134" i="11"/>
  <c r="AX141" i="11"/>
  <c r="AO150" i="11"/>
  <c r="AO190" i="11"/>
  <c r="AX193" i="11"/>
  <c r="AX52" i="11"/>
  <c r="AX57" i="11"/>
  <c r="AX189" i="11"/>
  <c r="AX92" i="11"/>
  <c r="AK15" i="11"/>
  <c r="AM15" i="11" s="1"/>
  <c r="AL75" i="11"/>
  <c r="BJ75" i="11" s="1"/>
  <c r="AK99" i="11"/>
  <c r="AM99" i="11" s="1"/>
  <c r="AK123" i="11"/>
  <c r="AM123" i="11" s="1"/>
  <c r="AW57" i="11"/>
  <c r="AO86" i="11"/>
  <c r="AO108" i="11"/>
  <c r="AX108" i="11"/>
  <c r="AX113" i="11"/>
  <c r="AO115" i="11"/>
  <c r="AX115" i="11"/>
  <c r="AQ122" i="11"/>
  <c r="AQ132" i="11"/>
  <c r="AX132" i="11"/>
  <c r="AX146" i="11"/>
  <c r="AX153" i="11"/>
  <c r="AO160" i="11"/>
  <c r="AX160" i="11"/>
  <c r="AX167" i="11"/>
  <c r="AX174" i="11"/>
  <c r="AO176" i="11"/>
  <c r="AX176" i="11"/>
  <c r="AX48" i="11"/>
  <c r="AL67" i="11"/>
  <c r="AN67" i="11" s="1"/>
  <c r="AK103" i="11"/>
  <c r="AY7" i="11" s="1"/>
  <c r="AZ7" i="11" s="1"/>
  <c r="AX122" i="11"/>
  <c r="AX129" i="11"/>
  <c r="AX165" i="11"/>
  <c r="AX181" i="11"/>
  <c r="AO188" i="11"/>
  <c r="AX188" i="11"/>
  <c r="AX53" i="11"/>
  <c r="AK82" i="11"/>
  <c r="BD82" i="11" s="1"/>
  <c r="AK34" i="11"/>
  <c r="AW34" i="11" s="1"/>
  <c r="AL98" i="11"/>
  <c r="AN98" i="11" s="1"/>
  <c r="AK117" i="11"/>
  <c r="AM117" i="11" s="1"/>
  <c r="AK98" i="11"/>
  <c r="BD98" i="11" s="1"/>
  <c r="AK55" i="11"/>
  <c r="AW55" i="11" s="1"/>
  <c r="AL31" i="11"/>
  <c r="BJ31" i="11" s="1"/>
  <c r="AK26" i="11"/>
  <c r="AM26" i="11" s="1"/>
  <c r="AK74" i="11"/>
  <c r="AM74" i="11" s="1"/>
  <c r="AL162" i="11"/>
  <c r="AN162" i="11" s="1"/>
  <c r="AK88" i="11"/>
  <c r="AM88" i="11" s="1"/>
  <c r="AL20" i="11"/>
  <c r="AN20" i="11" s="1"/>
  <c r="AL35" i="11"/>
  <c r="BJ35" i="11" s="1"/>
  <c r="AK43" i="11"/>
  <c r="AM43" i="11" s="1"/>
  <c r="AK125" i="11"/>
  <c r="AY29" i="11" s="1"/>
  <c r="AZ29" i="11" s="1"/>
  <c r="AN21" i="11"/>
  <c r="BO21" i="11"/>
  <c r="AN141" i="11"/>
  <c r="BL45" i="11"/>
  <c r="BM45" i="11" s="1"/>
  <c r="BD24" i="11"/>
  <c r="BO72" i="11"/>
  <c r="AY12" i="11"/>
  <c r="AZ12" i="11" s="1"/>
  <c r="AW97" i="11"/>
  <c r="AM97" i="11"/>
  <c r="BD97" i="11"/>
  <c r="AW20" i="11"/>
  <c r="BO52" i="11"/>
  <c r="AN52" i="11"/>
  <c r="BJ52" i="11"/>
  <c r="AN64" i="11"/>
  <c r="AN100" i="11"/>
  <c r="BD53" i="11"/>
  <c r="AW53" i="11"/>
  <c r="AM53" i="11"/>
  <c r="AL84" i="11"/>
  <c r="AK13" i="11"/>
  <c r="AK67" i="11"/>
  <c r="AK109" i="11"/>
  <c r="AK113" i="11"/>
  <c r="AL166" i="11"/>
  <c r="AK129" i="11"/>
  <c r="AK142" i="11"/>
  <c r="AK158" i="11"/>
  <c r="AK21" i="11"/>
  <c r="AK54" i="11"/>
  <c r="AK58" i="11"/>
  <c r="AK62" i="11"/>
  <c r="AK64" i="11"/>
  <c r="AK66" i="11"/>
  <c r="AK78" i="11"/>
  <c r="AL102" i="11"/>
  <c r="AK132" i="11"/>
  <c r="AK138" i="11"/>
  <c r="AK50" i="11"/>
  <c r="AK102" i="11"/>
  <c r="AN90" i="11"/>
  <c r="AM127" i="11"/>
  <c r="AK12" i="11"/>
  <c r="AK16" i="11"/>
  <c r="AK76" i="11"/>
  <c r="AK83" i="11"/>
  <c r="AK100" i="11"/>
  <c r="AL138" i="11"/>
  <c r="AK154" i="11"/>
  <c r="AK190" i="11"/>
  <c r="AY27" i="11"/>
  <c r="AZ27" i="11" s="1"/>
  <c r="AW19" i="11"/>
  <c r="AL24" i="11"/>
  <c r="BJ24" i="11" s="1"/>
  <c r="AK32" i="11"/>
  <c r="AK56" i="11"/>
  <c r="AM164" i="11"/>
  <c r="AK30" i="11"/>
  <c r="AK124" i="11"/>
  <c r="AN137" i="11"/>
  <c r="BL41" i="11"/>
  <c r="BM41" i="11" s="1"/>
  <c r="AM188" i="11"/>
  <c r="AY92" i="11"/>
  <c r="AZ92" i="11" s="1"/>
  <c r="AK38" i="11"/>
  <c r="AK128" i="11"/>
  <c r="AM77" i="11"/>
  <c r="BD77" i="11"/>
  <c r="AK17" i="11"/>
  <c r="AL27" i="11"/>
  <c r="BJ27" i="11" s="1"/>
  <c r="AK59" i="11"/>
  <c r="AK79" i="11"/>
  <c r="AK86" i="11"/>
  <c r="AK101" i="11"/>
  <c r="AL150" i="11"/>
  <c r="AL170" i="11"/>
  <c r="AM57" i="11"/>
  <c r="BD57" i="11"/>
  <c r="AY21" i="11"/>
  <c r="AZ21" i="11" s="1"/>
  <c r="AM115" i="11"/>
  <c r="AK22" i="11"/>
  <c r="AL94" i="11"/>
  <c r="BJ94" i="11" s="1"/>
  <c r="AK105" i="11"/>
  <c r="AL139" i="11"/>
  <c r="AK146" i="11"/>
  <c r="BD19" i="11"/>
  <c r="AK186" i="11"/>
  <c r="AK194" i="11"/>
  <c r="AM8" i="11"/>
  <c r="AW8" i="11"/>
  <c r="BD8" i="11"/>
  <c r="AV8" i="11"/>
  <c r="AK5" i="11"/>
  <c r="BK8" i="11"/>
  <c r="BK6" i="11"/>
  <c r="BK21" i="11"/>
  <c r="BJ21" i="11"/>
  <c r="BK13" i="11"/>
  <c r="BK15" i="11"/>
  <c r="BK20" i="11"/>
  <c r="BK9" i="11"/>
  <c r="BK5" i="11"/>
  <c r="BK7" i="11"/>
  <c r="BK12" i="11"/>
  <c r="BK22" i="11"/>
  <c r="BK16" i="11"/>
  <c r="BK17" i="11"/>
  <c r="BK4" i="11"/>
  <c r="BK14" i="11"/>
  <c r="BK24" i="11"/>
  <c r="BK38" i="11"/>
  <c r="BK47" i="11"/>
  <c r="BK51" i="11"/>
  <c r="BK60" i="11"/>
  <c r="BK70" i="11"/>
  <c r="BK78" i="11"/>
  <c r="BK86" i="11"/>
  <c r="BK96" i="11"/>
  <c r="BK58" i="11"/>
  <c r="BK26" i="11"/>
  <c r="BK28" i="11"/>
  <c r="BK55" i="11"/>
  <c r="BK64" i="11"/>
  <c r="BJ64" i="11"/>
  <c r="BK80" i="11"/>
  <c r="BK61" i="11"/>
  <c r="BK34" i="11"/>
  <c r="BK36" i="11"/>
  <c r="BK42" i="11"/>
  <c r="BK45" i="11"/>
  <c r="BK62" i="11"/>
  <c r="BK30" i="11"/>
  <c r="BK32" i="11"/>
  <c r="BJ32" i="11"/>
  <c r="BJ36" i="11"/>
  <c r="BK53" i="11"/>
  <c r="BK57" i="11"/>
  <c r="BK71" i="11"/>
  <c r="BK74" i="11"/>
  <c r="BK77" i="11"/>
  <c r="BK87" i="11"/>
  <c r="BK90" i="11"/>
  <c r="BK93" i="11"/>
  <c r="BK39" i="11"/>
  <c r="BK44" i="11"/>
  <c r="BK48" i="11"/>
  <c r="BK76" i="11"/>
  <c r="BK92" i="11"/>
  <c r="BK98" i="11"/>
  <c r="BK40" i="11"/>
  <c r="BK72" i="11"/>
  <c r="BJ72" i="11"/>
  <c r="BK94" i="11"/>
  <c r="BK23" i="11"/>
  <c r="BK25" i="11"/>
  <c r="BK27" i="11"/>
  <c r="BK35" i="11"/>
  <c r="BK41" i="11"/>
  <c r="BK46" i="11"/>
  <c r="BK52" i="11"/>
  <c r="BK56" i="11"/>
  <c r="BK63" i="11"/>
  <c r="BK66" i="11"/>
  <c r="BK69" i="11"/>
  <c r="BK73" i="11"/>
  <c r="BK82" i="11"/>
  <c r="BK85" i="11"/>
  <c r="BK89" i="11"/>
  <c r="BK31" i="11"/>
  <c r="BK88" i="11"/>
  <c r="BK29" i="11"/>
  <c r="BK37" i="11"/>
  <c r="BK43" i="11"/>
  <c r="BK50" i="11"/>
  <c r="BK54" i="11"/>
  <c r="BK68" i="11"/>
  <c r="BK84" i="11"/>
  <c r="AL7" i="11"/>
  <c r="BJ7" i="11" s="1"/>
  <c r="AQ7" i="11"/>
  <c r="AP7" i="11"/>
  <c r="AK9" i="11"/>
  <c r="AO9" i="11"/>
  <c r="AL18" i="11"/>
  <c r="AQ18" i="11"/>
  <c r="AP18" i="11"/>
  <c r="AL23" i="11"/>
  <c r="BJ23" i="11" s="1"/>
  <c r="AQ23" i="11"/>
  <c r="AP23" i="11"/>
  <c r="AK4" i="11"/>
  <c r="AO4" i="11"/>
  <c r="AL9" i="11"/>
  <c r="BJ9" i="11" s="1"/>
  <c r="AQ9" i="11"/>
  <c r="AP9" i="11"/>
  <c r="AQ12" i="11"/>
  <c r="AL12" i="11"/>
  <c r="AP12" i="11"/>
  <c r="AO10" i="11"/>
  <c r="AK10" i="11"/>
  <c r="AL14" i="11"/>
  <c r="BJ14" i="11" s="1"/>
  <c r="AQ14" i="11"/>
  <c r="AP14" i="11"/>
  <c r="AQ19" i="11"/>
  <c r="AP19" i="11"/>
  <c r="AL19" i="11"/>
  <c r="BJ19" i="11" s="1"/>
  <c r="AL22" i="11"/>
  <c r="BJ22" i="11" s="1"/>
  <c r="AP22" i="11"/>
  <c r="AQ22" i="11"/>
  <c r="AQ4" i="11"/>
  <c r="AP4" i="11"/>
  <c r="AL4" i="11"/>
  <c r="BI4" i="11" s="1"/>
  <c r="BN4" i="11" s="1"/>
  <c r="AQ8" i="11"/>
  <c r="AP8" i="11"/>
  <c r="AL8" i="11"/>
  <c r="BJ8" i="11" s="1"/>
  <c r="AL5" i="11"/>
  <c r="AQ5" i="11"/>
  <c r="AP5" i="11"/>
  <c r="AK18" i="11"/>
  <c r="AO18" i="11"/>
  <c r="AO31" i="11"/>
  <c r="AK31" i="11"/>
  <c r="AL62" i="11"/>
  <c r="BJ62" i="11" s="1"/>
  <c r="AQ62" i="11"/>
  <c r="AP62" i="11"/>
  <c r="AQ120" i="11"/>
  <c r="AP120" i="11"/>
  <c r="AL120" i="11"/>
  <c r="AO5" i="11"/>
  <c r="AQ10" i="11"/>
  <c r="AQ20" i="11"/>
  <c r="AP20" i="11"/>
  <c r="AQ25" i="11"/>
  <c r="AP25" i="11"/>
  <c r="AP27" i="11"/>
  <c r="AQ33" i="11"/>
  <c r="AP33" i="11"/>
  <c r="AP35" i="11"/>
  <c r="AL39" i="11"/>
  <c r="BJ39" i="11" s="1"/>
  <c r="AQ39" i="11"/>
  <c r="AP39" i="11"/>
  <c r="AO44" i="11"/>
  <c r="AK44" i="11"/>
  <c r="AL46" i="11"/>
  <c r="AQ46" i="11"/>
  <c r="AP46" i="11"/>
  <c r="AP59" i="11"/>
  <c r="AQ59" i="11"/>
  <c r="AL59" i="11"/>
  <c r="BJ59" i="11" s="1"/>
  <c r="AL74" i="11"/>
  <c r="BJ74" i="11" s="1"/>
  <c r="AQ74" i="11"/>
  <c r="AP79" i="11"/>
  <c r="AQ79" i="11"/>
  <c r="AL79" i="11"/>
  <c r="BJ79" i="11" s="1"/>
  <c r="AL91" i="11"/>
  <c r="BJ91" i="11" s="1"/>
  <c r="AQ91" i="11"/>
  <c r="AP91" i="11"/>
  <c r="AK6" i="11"/>
  <c r="AL11" i="11"/>
  <c r="AL13" i="11"/>
  <c r="AL15" i="11"/>
  <c r="AQ16" i="11"/>
  <c r="AP16" i="11"/>
  <c r="AQ21" i="11"/>
  <c r="AL25" i="11"/>
  <c r="BJ25" i="11" s="1"/>
  <c r="AQ27" i="11"/>
  <c r="AQ32" i="11"/>
  <c r="AP32" i="11"/>
  <c r="AL33" i="11"/>
  <c r="AQ35" i="11"/>
  <c r="AL38" i="11"/>
  <c r="AQ38" i="11"/>
  <c r="AK41" i="11"/>
  <c r="AO41" i="11"/>
  <c r="AK70" i="11"/>
  <c r="AO70" i="11"/>
  <c r="AO87" i="11"/>
  <c r="AK87" i="11"/>
  <c r="AO40" i="11"/>
  <c r="AK40" i="11"/>
  <c r="BB40" i="11" s="1"/>
  <c r="AO81" i="11"/>
  <c r="AK81" i="11"/>
  <c r="AL121" i="11"/>
  <c r="AQ121" i="11"/>
  <c r="AP121" i="11"/>
  <c r="AL17" i="11"/>
  <c r="BJ17" i="11" s="1"/>
  <c r="AK29" i="11"/>
  <c r="AO29" i="11"/>
  <c r="AL30" i="11"/>
  <c r="BJ30" i="11" s="1"/>
  <c r="AQ30" i="11"/>
  <c r="AK37" i="11"/>
  <c r="AO37" i="11"/>
  <c r="AO45" i="11"/>
  <c r="AK45" i="11"/>
  <c r="AL58" i="11"/>
  <c r="AQ58" i="11"/>
  <c r="AP58" i="11"/>
  <c r="AL78" i="11"/>
  <c r="AQ78" i="11"/>
  <c r="AP78" i="11"/>
  <c r="AQ41" i="11"/>
  <c r="AP41" i="11"/>
  <c r="AL41" i="11"/>
  <c r="BC41" i="11" s="1"/>
  <c r="AL70" i="11"/>
  <c r="AQ70" i="11"/>
  <c r="AP70" i="11"/>
  <c r="AL117" i="11"/>
  <c r="AQ117" i="11"/>
  <c r="AP117" i="11"/>
  <c r="AL10" i="11"/>
  <c r="BJ10" i="11" s="1"/>
  <c r="AP11" i="11"/>
  <c r="AO13" i="11"/>
  <c r="AQ29" i="11"/>
  <c r="AP29" i="11"/>
  <c r="AP31" i="11"/>
  <c r="AQ37" i="11"/>
  <c r="AP37" i="11"/>
  <c r="AL37" i="11"/>
  <c r="AQ40" i="11"/>
  <c r="AP43" i="11"/>
  <c r="AQ43" i="11"/>
  <c r="AL43" i="11"/>
  <c r="BJ43" i="11" s="1"/>
  <c r="AO60" i="11"/>
  <c r="AQ60" i="11"/>
  <c r="AK60" i="11"/>
  <c r="AK71" i="11"/>
  <c r="AO71" i="11"/>
  <c r="AO80" i="11"/>
  <c r="AQ80" i="11"/>
  <c r="AK80" i="11"/>
  <c r="AL83" i="11"/>
  <c r="BJ83" i="11" s="1"/>
  <c r="AP83" i="11"/>
  <c r="AQ83" i="11"/>
  <c r="AK47" i="11"/>
  <c r="AO47" i="11"/>
  <c r="AQ108" i="11"/>
  <c r="AP108" i="11"/>
  <c r="AL108" i="11"/>
  <c r="AQ112" i="11"/>
  <c r="AP112" i="11"/>
  <c r="AL112" i="11"/>
  <c r="AQ116" i="11"/>
  <c r="AP116" i="11"/>
  <c r="AL116" i="11"/>
  <c r="AP6" i="11"/>
  <c r="AP13" i="11"/>
  <c r="AK14" i="11"/>
  <c r="AO21" i="11"/>
  <c r="AQ28" i="11"/>
  <c r="AP28" i="11"/>
  <c r="AL29" i="11"/>
  <c r="BJ29" i="11" s="1"/>
  <c r="AO30" i="11"/>
  <c r="AQ31" i="11"/>
  <c r="AQ36" i="11"/>
  <c r="AK42" i="11"/>
  <c r="AO42" i="11"/>
  <c r="AK51" i="11"/>
  <c r="AQ51" i="11"/>
  <c r="AO51" i="11"/>
  <c r="AK63" i="11"/>
  <c r="AQ63" i="11"/>
  <c r="AO63" i="11"/>
  <c r="AO69" i="11"/>
  <c r="AK69" i="11"/>
  <c r="AK75" i="11"/>
  <c r="AO75" i="11"/>
  <c r="AK7" i="11"/>
  <c r="AO17" i="11"/>
  <c r="AP21" i="11"/>
  <c r="AO22" i="11"/>
  <c r="AK23" i="11"/>
  <c r="AO27" i="11"/>
  <c r="AK27" i="11"/>
  <c r="AK28" i="11"/>
  <c r="AP30" i="11"/>
  <c r="AO35" i="11"/>
  <c r="AK35" i="11"/>
  <c r="AK36" i="11"/>
  <c r="AL42" i="11"/>
  <c r="AQ42" i="11"/>
  <c r="AL50" i="11"/>
  <c r="AQ50" i="11"/>
  <c r="AP50" i="11"/>
  <c r="AP17" i="11"/>
  <c r="AQ24" i="11"/>
  <c r="AP24" i="11"/>
  <c r="AK25" i="11"/>
  <c r="AO25" i="11"/>
  <c r="AL26" i="11"/>
  <c r="AQ26" i="11"/>
  <c r="AK33" i="11"/>
  <c r="AO33" i="11"/>
  <c r="AL34" i="11"/>
  <c r="AQ34" i="11"/>
  <c r="AO39" i="11"/>
  <c r="AK39" i="11"/>
  <c r="AK46" i="11"/>
  <c r="AO46" i="11"/>
  <c r="AL82" i="11"/>
  <c r="BJ82" i="11" s="1"/>
  <c r="AQ82" i="11"/>
  <c r="AP82" i="11"/>
  <c r="AL54" i="11"/>
  <c r="AQ54" i="11"/>
  <c r="AQ65" i="11"/>
  <c r="AL65" i="11"/>
  <c r="BJ65" i="11" s="1"/>
  <c r="AL86" i="11"/>
  <c r="BJ86" i="11" s="1"/>
  <c r="AQ86" i="11"/>
  <c r="AL87" i="11"/>
  <c r="AQ87" i="11"/>
  <c r="AK94" i="11"/>
  <c r="AO94" i="11"/>
  <c r="AO95" i="11"/>
  <c r="AK95" i="11"/>
  <c r="AQ57" i="11"/>
  <c r="AL57" i="11"/>
  <c r="BJ57" i="11" s="1"/>
  <c r="AL66" i="11"/>
  <c r="AQ66" i="11"/>
  <c r="AQ77" i="11"/>
  <c r="AL77" i="11"/>
  <c r="BJ77" i="11" s="1"/>
  <c r="AQ85" i="11"/>
  <c r="AP85" i="11"/>
  <c r="AL85" i="11"/>
  <c r="BJ85" i="11" s="1"/>
  <c r="AK91" i="11"/>
  <c r="AO91" i="11"/>
  <c r="AP95" i="11"/>
  <c r="AQ95" i="11"/>
  <c r="AL95" i="11"/>
  <c r="BJ95" i="11" s="1"/>
  <c r="AK121" i="11"/>
  <c r="AO121" i="11"/>
  <c r="AQ45" i="11"/>
  <c r="AL45" i="11"/>
  <c r="BC45" i="11" s="1"/>
  <c r="AP54" i="11"/>
  <c r="AQ55" i="11"/>
  <c r="AO67" i="11"/>
  <c r="AK68" i="11"/>
  <c r="BB68" i="11" s="1"/>
  <c r="AQ69" i="11"/>
  <c r="AL69" i="11"/>
  <c r="AQ81" i="11"/>
  <c r="AP81" i="11"/>
  <c r="AL81" i="11"/>
  <c r="AO83" i="11"/>
  <c r="AP92" i="11"/>
  <c r="AQ92" i="11"/>
  <c r="AL92" i="11"/>
  <c r="AO43" i="11"/>
  <c r="AL44" i="11"/>
  <c r="AQ56" i="11"/>
  <c r="AO58" i="11"/>
  <c r="AO59" i="11"/>
  <c r="AQ61" i="11"/>
  <c r="AL61" i="11"/>
  <c r="BJ61" i="11" s="1"/>
  <c r="AP65" i="11"/>
  <c r="AP66" i="11"/>
  <c r="AQ67" i="11"/>
  <c r="AO78" i="11"/>
  <c r="AO79" i="11"/>
  <c r="AO82" i="11"/>
  <c r="AQ84" i="11"/>
  <c r="AK90" i="11"/>
  <c r="AO90" i="11"/>
  <c r="AL47" i="11"/>
  <c r="AK48" i="11"/>
  <c r="AQ49" i="11"/>
  <c r="AL49" i="11"/>
  <c r="BJ49" i="11" s="1"/>
  <c r="AP57" i="11"/>
  <c r="AL71" i="11"/>
  <c r="BJ71" i="11" s="1"/>
  <c r="AP77" i="11"/>
  <c r="AK89" i="11"/>
  <c r="AO89" i="11"/>
  <c r="AQ90" i="11"/>
  <c r="AK133" i="11"/>
  <c r="AO133" i="11"/>
  <c r="AP36" i="11"/>
  <c r="AP40" i="11"/>
  <c r="AQ44" i="11"/>
  <c r="AL48" i="11"/>
  <c r="BO48" i="11" s="1"/>
  <c r="AK49" i="11"/>
  <c r="AQ68" i="11"/>
  <c r="AK72" i="11"/>
  <c r="AQ73" i="11"/>
  <c r="AL73" i="11"/>
  <c r="BJ73" i="11" s="1"/>
  <c r="AQ89" i="11"/>
  <c r="AL89" i="11"/>
  <c r="BJ89" i="11" s="1"/>
  <c r="AP45" i="11"/>
  <c r="AQ47" i="11"/>
  <c r="AL51" i="11"/>
  <c r="BJ51" i="11" s="1"/>
  <c r="AK52" i="11"/>
  <c r="AQ53" i="11"/>
  <c r="AL53" i="11"/>
  <c r="BJ53" i="11" s="1"/>
  <c r="AL63" i="11"/>
  <c r="BJ63" i="11" s="1"/>
  <c r="AP69" i="11"/>
  <c r="AQ71" i="11"/>
  <c r="AK73" i="11"/>
  <c r="AQ88" i="11"/>
  <c r="AP88" i="11"/>
  <c r="AK93" i="11"/>
  <c r="AO93" i="11"/>
  <c r="AL126" i="11"/>
  <c r="AP126" i="11"/>
  <c r="AQ126" i="11"/>
  <c r="AP99" i="11"/>
  <c r="AL99" i="11"/>
  <c r="AL101" i="11"/>
  <c r="AQ101" i="11"/>
  <c r="AP101" i="11"/>
  <c r="AP103" i="11"/>
  <c r="AL103" i="11"/>
  <c r="AL109" i="11"/>
  <c r="AQ109" i="11"/>
  <c r="AP109" i="11"/>
  <c r="AL113" i="11"/>
  <c r="AQ113" i="11"/>
  <c r="AP113" i="11"/>
  <c r="AK122" i="11"/>
  <c r="AO122" i="11"/>
  <c r="AL129" i="11"/>
  <c r="AQ129" i="11"/>
  <c r="AP129" i="11"/>
  <c r="AL134" i="11"/>
  <c r="AP134" i="11"/>
  <c r="AO140" i="11"/>
  <c r="AK140" i="11"/>
  <c r="AO129" i="11"/>
  <c r="AK134" i="11"/>
  <c r="AO134" i="11"/>
  <c r="AL151" i="11"/>
  <c r="AP151" i="11"/>
  <c r="AQ151" i="11"/>
  <c r="AK166" i="11"/>
  <c r="AQ166" i="11"/>
  <c r="AO166" i="11"/>
  <c r="AK182" i="11"/>
  <c r="AO182" i="11"/>
  <c r="AQ93" i="11"/>
  <c r="AQ98" i="11"/>
  <c r="AO101" i="11"/>
  <c r="AQ102" i="11"/>
  <c r="AK126" i="11"/>
  <c r="AO126" i="11"/>
  <c r="AL133" i="11"/>
  <c r="AQ133" i="11"/>
  <c r="AP133" i="11"/>
  <c r="AL147" i="11"/>
  <c r="AP147" i="11"/>
  <c r="AQ147" i="11"/>
  <c r="AK162" i="11"/>
  <c r="AQ162" i="11"/>
  <c r="AO162" i="11"/>
  <c r="AK178" i="11"/>
  <c r="AO178" i="11"/>
  <c r="AP90" i="11"/>
  <c r="AL93" i="11"/>
  <c r="BJ93" i="11" s="1"/>
  <c r="AQ94" i="11"/>
  <c r="AL106" i="11"/>
  <c r="AP106" i="11"/>
  <c r="AL110" i="11"/>
  <c r="AP110" i="11"/>
  <c r="AL114" i="11"/>
  <c r="AP114" i="11"/>
  <c r="AL125" i="11"/>
  <c r="AQ125" i="11"/>
  <c r="AP125" i="11"/>
  <c r="AL130" i="11"/>
  <c r="AP130" i="11"/>
  <c r="AK174" i="11"/>
  <c r="AO174" i="11"/>
  <c r="AK96" i="11"/>
  <c r="AK106" i="11"/>
  <c r="AO106" i="11"/>
  <c r="AK110" i="11"/>
  <c r="AO110" i="11"/>
  <c r="AK114" i="11"/>
  <c r="AO114" i="11"/>
  <c r="AL118" i="11"/>
  <c r="AP118" i="11"/>
  <c r="AO125" i="11"/>
  <c r="AK130" i="11"/>
  <c r="AO130" i="11"/>
  <c r="AO189" i="11"/>
  <c r="AK189" i="11"/>
  <c r="AL97" i="11"/>
  <c r="BJ97" i="11" s="1"/>
  <c r="AQ97" i="11"/>
  <c r="AP97" i="11"/>
  <c r="AL105" i="11"/>
  <c r="AQ105" i="11"/>
  <c r="AP105" i="11"/>
  <c r="AK118" i="11"/>
  <c r="AO118" i="11"/>
  <c r="AL122" i="11"/>
  <c r="AP122" i="11"/>
  <c r="AK155" i="11"/>
  <c r="AO155" i="11"/>
  <c r="AK170" i="11"/>
  <c r="AQ170" i="11"/>
  <c r="AO170" i="11"/>
  <c r="AL186" i="11"/>
  <c r="AQ186" i="11"/>
  <c r="AP186" i="11"/>
  <c r="AQ107" i="11"/>
  <c r="AQ111" i="11"/>
  <c r="AQ115" i="11"/>
  <c r="AQ119" i="11"/>
  <c r="AQ123" i="11"/>
  <c r="AQ127" i="11"/>
  <c r="AQ135" i="11"/>
  <c r="AO137" i="11"/>
  <c r="AK137" i="11"/>
  <c r="AO141" i="11"/>
  <c r="AK141" i="11"/>
  <c r="AL142" i="11"/>
  <c r="AQ142" i="11"/>
  <c r="AP142" i="11"/>
  <c r="AQ145" i="11"/>
  <c r="AP145" i="11"/>
  <c r="AL145" i="11"/>
  <c r="AL159" i="11"/>
  <c r="AP159" i="11"/>
  <c r="AL163" i="11"/>
  <c r="AP163" i="11"/>
  <c r="AL167" i="11"/>
  <c r="AP167" i="11"/>
  <c r="AL171" i="11"/>
  <c r="BI75" i="11" s="1"/>
  <c r="BN75" i="11" s="1"/>
  <c r="AP171" i="11"/>
  <c r="AL175" i="11"/>
  <c r="AP175" i="11"/>
  <c r="AL179" i="11"/>
  <c r="AP179" i="11"/>
  <c r="AK183" i="11"/>
  <c r="AO183" i="11"/>
  <c r="AL190" i="11"/>
  <c r="AQ190" i="11"/>
  <c r="AP190" i="11"/>
  <c r="AQ193" i="11"/>
  <c r="AP193" i="11"/>
  <c r="AL193" i="11"/>
  <c r="AQ141" i="11"/>
  <c r="AP141" i="11"/>
  <c r="AL155" i="11"/>
  <c r="AP155" i="11"/>
  <c r="AK159" i="11"/>
  <c r="AO159" i="11"/>
  <c r="AK163" i="11"/>
  <c r="AO163" i="11"/>
  <c r="AK167" i="11"/>
  <c r="AO167" i="11"/>
  <c r="AK171" i="11"/>
  <c r="AO171" i="11"/>
  <c r="AK175" i="11"/>
  <c r="AO175" i="11"/>
  <c r="AK179" i="11"/>
  <c r="AO179" i="11"/>
  <c r="AL107" i="11"/>
  <c r="AL111" i="11"/>
  <c r="AL115" i="11"/>
  <c r="AL119" i="11"/>
  <c r="AL123" i="11"/>
  <c r="AL127" i="11"/>
  <c r="AL135" i="11"/>
  <c r="AK147" i="11"/>
  <c r="AO147" i="11"/>
  <c r="AK151" i="11"/>
  <c r="AO151" i="11"/>
  <c r="AQ155" i="11"/>
  <c r="AL174" i="11"/>
  <c r="AQ174" i="11"/>
  <c r="AP174" i="11"/>
  <c r="AL178" i="11"/>
  <c r="AQ178" i="11"/>
  <c r="AP178" i="11"/>
  <c r="AL182" i="11"/>
  <c r="AQ182" i="11"/>
  <c r="AP182" i="11"/>
  <c r="AO185" i="11"/>
  <c r="AK185" i="11"/>
  <c r="AO186" i="11"/>
  <c r="AQ189" i="11"/>
  <c r="AP189" i="11"/>
  <c r="AL189" i="11"/>
  <c r="AO100" i="11"/>
  <c r="AO104" i="11"/>
  <c r="AO124" i="11"/>
  <c r="AO128" i="11"/>
  <c r="AO132" i="11"/>
  <c r="AP140" i="11"/>
  <c r="AL140" i="11"/>
  <c r="AQ140" i="11"/>
  <c r="AL143" i="11"/>
  <c r="AP143" i="11"/>
  <c r="AK144" i="11"/>
  <c r="AK150" i="11"/>
  <c r="AQ150" i="11"/>
  <c r="AL158" i="11"/>
  <c r="AQ158" i="11"/>
  <c r="AP158" i="11"/>
  <c r="AO161" i="11"/>
  <c r="AK161" i="11"/>
  <c r="AO165" i="11"/>
  <c r="AK165" i="11"/>
  <c r="AO169" i="11"/>
  <c r="AK169" i="11"/>
  <c r="AO173" i="11"/>
  <c r="AK173" i="11"/>
  <c r="AO177" i="11"/>
  <c r="AK177" i="11"/>
  <c r="AO181" i="11"/>
  <c r="AK181" i="11"/>
  <c r="AQ185" i="11"/>
  <c r="AP185" i="11"/>
  <c r="AL185" i="11"/>
  <c r="AL191" i="11"/>
  <c r="AP191" i="11"/>
  <c r="AK139" i="11"/>
  <c r="AO139" i="11"/>
  <c r="AK143" i="11"/>
  <c r="AO143" i="11"/>
  <c r="AL154" i="11"/>
  <c r="AQ154" i="11"/>
  <c r="AP154" i="11"/>
  <c r="AO157" i="11"/>
  <c r="AK157" i="11"/>
  <c r="AO158" i="11"/>
  <c r="AQ161" i="11"/>
  <c r="AP161" i="11"/>
  <c r="AL161" i="11"/>
  <c r="AQ165" i="11"/>
  <c r="AP165" i="11"/>
  <c r="AL165" i="11"/>
  <c r="AQ169" i="11"/>
  <c r="AP169" i="11"/>
  <c r="AL169" i="11"/>
  <c r="AQ173" i="11"/>
  <c r="AP173" i="11"/>
  <c r="AL173" i="11"/>
  <c r="AQ177" i="11"/>
  <c r="AP177" i="11"/>
  <c r="AL177" i="11"/>
  <c r="AQ181" i="11"/>
  <c r="AP181" i="11"/>
  <c r="AL181" i="11"/>
  <c r="AK191" i="11"/>
  <c r="AO191" i="11"/>
  <c r="AL194" i="11"/>
  <c r="AQ194" i="11"/>
  <c r="AP194" i="11"/>
  <c r="AL146" i="11"/>
  <c r="AQ146" i="11"/>
  <c r="AP146" i="11"/>
  <c r="AO149" i="11"/>
  <c r="AK149" i="11"/>
  <c r="AO153" i="11"/>
  <c r="AK153" i="11"/>
  <c r="AQ157" i="11"/>
  <c r="AP157" i="11"/>
  <c r="AL157" i="11"/>
  <c r="AL187" i="11"/>
  <c r="AP187" i="11"/>
  <c r="AQ191" i="11"/>
  <c r="AO194" i="11"/>
  <c r="AP136" i="11"/>
  <c r="AL136" i="11"/>
  <c r="BI40" i="11" s="1"/>
  <c r="BN40" i="11" s="1"/>
  <c r="AQ136" i="11"/>
  <c r="AQ137" i="11"/>
  <c r="AP137" i="11"/>
  <c r="AO145" i="11"/>
  <c r="AK145" i="11"/>
  <c r="AQ149" i="11"/>
  <c r="AP149" i="11"/>
  <c r="AL149" i="11"/>
  <c r="AQ153" i="11"/>
  <c r="AP153" i="11"/>
  <c r="AL153" i="11"/>
  <c r="AL183" i="11"/>
  <c r="AP183" i="11"/>
  <c r="AK187" i="11"/>
  <c r="AO187" i="11"/>
  <c r="AO193" i="11"/>
  <c r="AK193" i="11"/>
  <c r="AQ144" i="11"/>
  <c r="AQ148" i="11"/>
  <c r="AQ152" i="11"/>
  <c r="AQ156" i="11"/>
  <c r="AQ160" i="11"/>
  <c r="AQ164" i="11"/>
  <c r="AQ168" i="11"/>
  <c r="AQ172" i="11"/>
  <c r="AQ176" i="11"/>
  <c r="AQ180" i="11"/>
  <c r="AQ184" i="11"/>
  <c r="AQ188" i="11"/>
  <c r="AQ192" i="11"/>
  <c r="AP138" i="11"/>
  <c r="AL144" i="11"/>
  <c r="AL148" i="11"/>
  <c r="BI52" i="11" s="1"/>
  <c r="BN52" i="11" s="1"/>
  <c r="AP150" i="11"/>
  <c r="AL152" i="11"/>
  <c r="AL156" i="11"/>
  <c r="AL160" i="11"/>
  <c r="AP162" i="11"/>
  <c r="AL164" i="11"/>
  <c r="AP166" i="11"/>
  <c r="AL168" i="11"/>
  <c r="AP170" i="11"/>
  <c r="AL172" i="11"/>
  <c r="BI76" i="11" s="1"/>
  <c r="BN76" i="11" s="1"/>
  <c r="AL176" i="11"/>
  <c r="BI80" i="11" s="1"/>
  <c r="BN80" i="11" s="1"/>
  <c r="AL180" i="11"/>
  <c r="AL184" i="11"/>
  <c r="AL188" i="11"/>
  <c r="AL192" i="11"/>
  <c r="AQ138" i="11"/>
  <c r="AL3" i="11"/>
  <c r="AX3" i="11"/>
  <c r="AL77" i="16"/>
  <c r="AN77" i="16" s="1"/>
  <c r="AX38" i="16"/>
  <c r="AK96" i="16"/>
  <c r="AM96" i="16" s="1"/>
  <c r="AK173" i="16"/>
  <c r="AM173" i="16" s="1"/>
  <c r="AK37" i="16"/>
  <c r="AM37" i="16" s="1"/>
  <c r="AK99" i="16"/>
  <c r="AM99" i="16" s="1"/>
  <c r="BE11" i="16"/>
  <c r="AK51" i="16"/>
  <c r="AM51" i="16" s="1"/>
  <c r="AQ108" i="16"/>
  <c r="AK168" i="16"/>
  <c r="AM168" i="16" s="1"/>
  <c r="AQ171" i="16"/>
  <c r="AL75" i="16"/>
  <c r="AN75" i="16" s="1"/>
  <c r="AQ153" i="16"/>
  <c r="BE16" i="16"/>
  <c r="AK93" i="16"/>
  <c r="AM93" i="16" s="1"/>
  <c r="AK23" i="16"/>
  <c r="AM23" i="16" s="1"/>
  <c r="AL177" i="16"/>
  <c r="AN177" i="16" s="1"/>
  <c r="AK19" i="16"/>
  <c r="AM19" i="16" s="1"/>
  <c r="AQ109" i="16"/>
  <c r="AL121" i="16"/>
  <c r="BC121" i="16" s="1"/>
  <c r="BD121" i="16" s="1"/>
  <c r="AK152" i="16"/>
  <c r="AM152" i="16" s="1"/>
  <c r="AK44" i="16"/>
  <c r="AM44" i="16" s="1"/>
  <c r="AK47" i="16"/>
  <c r="AM47" i="16" s="1"/>
  <c r="AK169" i="16"/>
  <c r="AM169" i="16" s="1"/>
  <c r="AL19" i="16"/>
  <c r="AN19" i="16" s="1"/>
  <c r="AL47" i="16"/>
  <c r="AN47" i="16" s="1"/>
  <c r="AX134" i="16"/>
  <c r="AK148" i="16"/>
  <c r="AM148" i="16" s="1"/>
  <c r="AQ151" i="16"/>
  <c r="AL55" i="16"/>
  <c r="AN55" i="16" s="1"/>
  <c r="AL68" i="16"/>
  <c r="AN68" i="16" s="1"/>
  <c r="AL97" i="16"/>
  <c r="BC97" i="16" s="1"/>
  <c r="BD97" i="16" s="1"/>
  <c r="AL163" i="16"/>
  <c r="AN163" i="16" s="1"/>
  <c r="AK4" i="16"/>
  <c r="AM4" i="16" s="1"/>
  <c r="AK12" i="16"/>
  <c r="AM12" i="16" s="1"/>
  <c r="AL21" i="16"/>
  <c r="AN21" i="16" s="1"/>
  <c r="AK34" i="16"/>
  <c r="AM34" i="16" s="1"/>
  <c r="AL46" i="16"/>
  <c r="AN46" i="16" s="1"/>
  <c r="AL62" i="16"/>
  <c r="AN62" i="16" s="1"/>
  <c r="AL4" i="16"/>
  <c r="AN4" i="16" s="1"/>
  <c r="AL42" i="16"/>
  <c r="AN42" i="16" s="1"/>
  <c r="AL57" i="16"/>
  <c r="AN57" i="16" s="1"/>
  <c r="AX142" i="16"/>
  <c r="BE155" i="16"/>
  <c r="AL189" i="16"/>
  <c r="BC189" i="16" s="1"/>
  <c r="BD189" i="16" s="1"/>
  <c r="AK25" i="16"/>
  <c r="AM25" i="16" s="1"/>
  <c r="AL36" i="16"/>
  <c r="AN36" i="16" s="1"/>
  <c r="AL158" i="16"/>
  <c r="AN158" i="16" s="1"/>
  <c r="AL170" i="16"/>
  <c r="AN170" i="16" s="1"/>
  <c r="AL60" i="16"/>
  <c r="AN60" i="16" s="1"/>
  <c r="AL66" i="16"/>
  <c r="AN66" i="16" s="1"/>
  <c r="BE88" i="16"/>
  <c r="AX114" i="16"/>
  <c r="AK130" i="16"/>
  <c r="AM130" i="16" s="1"/>
  <c r="AK141" i="16"/>
  <c r="AM141" i="16" s="1"/>
  <c r="AL143" i="16"/>
  <c r="AN143" i="16" s="1"/>
  <c r="AK157" i="16"/>
  <c r="AM157" i="16" s="1"/>
  <c r="BE172" i="16"/>
  <c r="AL182" i="16"/>
  <c r="BC182" i="16" s="1"/>
  <c r="BD182" i="16" s="1"/>
  <c r="AL12" i="16"/>
  <c r="AN12" i="16" s="1"/>
  <c r="AK15" i="16"/>
  <c r="AM15" i="16" s="1"/>
  <c r="AL103" i="16"/>
  <c r="BC103" i="16" s="1"/>
  <c r="BD103" i="16" s="1"/>
  <c r="AL114" i="16"/>
  <c r="BC114" i="16" s="1"/>
  <c r="BD114" i="16" s="1"/>
  <c r="AX179" i="16"/>
  <c r="AL193" i="16"/>
  <c r="BC193" i="16" s="1"/>
  <c r="BD193" i="16" s="1"/>
  <c r="AK6" i="16"/>
  <c r="AM6" i="16" s="1"/>
  <c r="BE9" i="16"/>
  <c r="BE18" i="16"/>
  <c r="AK40" i="16"/>
  <c r="AM40" i="16" s="1"/>
  <c r="AK33" i="16"/>
  <c r="AM33" i="16" s="1"/>
  <c r="AL40" i="16"/>
  <c r="AN40" i="16" s="1"/>
  <c r="AL41" i="16"/>
  <c r="AN41" i="16" s="1"/>
  <c r="AL71" i="16"/>
  <c r="AN71" i="16" s="1"/>
  <c r="AK89" i="16"/>
  <c r="AM89" i="16" s="1"/>
  <c r="AL110" i="16"/>
  <c r="BC110" i="16" s="1"/>
  <c r="BD110" i="16" s="1"/>
  <c r="AQ129" i="16"/>
  <c r="AX164" i="16"/>
  <c r="AQ167" i="16"/>
  <c r="AL8" i="16"/>
  <c r="AN8" i="16" s="1"/>
  <c r="AL53" i="16"/>
  <c r="AN53" i="16" s="1"/>
  <c r="AX102" i="16"/>
  <c r="AL174" i="16"/>
  <c r="AN174" i="16" s="1"/>
  <c r="AL58" i="16"/>
  <c r="AN58" i="16" s="1"/>
  <c r="AL64" i="16"/>
  <c r="AN64" i="16" s="1"/>
  <c r="AL69" i="16"/>
  <c r="AN69" i="16" s="1"/>
  <c r="BE106" i="16"/>
  <c r="AX83" i="16"/>
  <c r="AL15" i="16"/>
  <c r="AN15" i="16" s="1"/>
  <c r="AK29" i="16"/>
  <c r="AM29" i="16" s="1"/>
  <c r="AK46" i="16"/>
  <c r="AM46" i="16" s="1"/>
  <c r="AK82" i="16"/>
  <c r="AM82" i="16" s="1"/>
  <c r="AQ158" i="16"/>
  <c r="AL33" i="16"/>
  <c r="AN33" i="16" s="1"/>
  <c r="AL73" i="16"/>
  <c r="AN73" i="16" s="1"/>
  <c r="AX151" i="16"/>
  <c r="AX160" i="16"/>
  <c r="AK10" i="16"/>
  <c r="AM10" i="16" s="1"/>
  <c r="AK17" i="16"/>
  <c r="AM17" i="16" s="1"/>
  <c r="AK112" i="16"/>
  <c r="AM112" i="16" s="1"/>
  <c r="AQ140" i="16"/>
  <c r="AX154" i="16"/>
  <c r="AL10" i="16"/>
  <c r="AN10" i="16" s="1"/>
  <c r="AP33" i="16"/>
  <c r="AL44" i="16"/>
  <c r="AN44" i="16" s="1"/>
  <c r="AL49" i="16"/>
  <c r="AN49" i="16" s="1"/>
  <c r="AX79" i="16"/>
  <c r="AL28" i="16"/>
  <c r="AN28" i="16" s="1"/>
  <c r="AK116" i="16"/>
  <c r="AM116" i="16" s="1"/>
  <c r="AX121" i="16"/>
  <c r="AL6" i="16"/>
  <c r="AN6" i="16" s="1"/>
  <c r="AQ154" i="16"/>
  <c r="AX21" i="16"/>
  <c r="AK103" i="16"/>
  <c r="AM103" i="16" s="1"/>
  <c r="AX127" i="16"/>
  <c r="AX138" i="16"/>
  <c r="AX149" i="16"/>
  <c r="AX153" i="16"/>
  <c r="AQ23" i="16"/>
  <c r="AX4" i="16"/>
  <c r="AX12" i="16"/>
  <c r="AL25" i="16"/>
  <c r="AN25" i="16" s="1"/>
  <c r="AL32" i="16"/>
  <c r="AN32" i="16" s="1"/>
  <c r="AQ91" i="16"/>
  <c r="AL91" i="16"/>
  <c r="AO124" i="16"/>
  <c r="AK124" i="16"/>
  <c r="AM124" i="16" s="1"/>
  <c r="AK165" i="16"/>
  <c r="AM165" i="16" s="1"/>
  <c r="AX165" i="16"/>
  <c r="AX19" i="16"/>
  <c r="AX26" i="16"/>
  <c r="AP85" i="16"/>
  <c r="BE85" i="16"/>
  <c r="AP93" i="16"/>
  <c r="AL93" i="16"/>
  <c r="BC93" i="16" s="1"/>
  <c r="BD93" i="16" s="1"/>
  <c r="AX94" i="16"/>
  <c r="AQ116" i="16"/>
  <c r="AP123" i="16"/>
  <c r="AQ123" i="16"/>
  <c r="AX162" i="16"/>
  <c r="AK94" i="16"/>
  <c r="AM94" i="16" s="1"/>
  <c r="AO94" i="16"/>
  <c r="AK8" i="16"/>
  <c r="AM8" i="16" s="1"/>
  <c r="AX10" i="16"/>
  <c r="AL17" i="16"/>
  <c r="AN17" i="16" s="1"/>
  <c r="AX27" i="16"/>
  <c r="AX30" i="16"/>
  <c r="AK176" i="16"/>
  <c r="AM176" i="16" s="1"/>
  <c r="AX176" i="16"/>
  <c r="AX17" i="16"/>
  <c r="AK26" i="16"/>
  <c r="AM26" i="16" s="1"/>
  <c r="AL29" i="16"/>
  <c r="AN29" i="16" s="1"/>
  <c r="AK42" i="16"/>
  <c r="AM42" i="16" s="1"/>
  <c r="AX84" i="16"/>
  <c r="AO102" i="16"/>
  <c r="AK102" i="16"/>
  <c r="AM102" i="16" s="1"/>
  <c r="BE113" i="16"/>
  <c r="AL113" i="16"/>
  <c r="BC113" i="16" s="1"/>
  <c r="BD113" i="16" s="1"/>
  <c r="AK120" i="16"/>
  <c r="AM120" i="16" s="1"/>
  <c r="AX8" i="16"/>
  <c r="AO27" i="16"/>
  <c r="AK30" i="16"/>
  <c r="AM30" i="16" s="1"/>
  <c r="AX34" i="16"/>
  <c r="AX15" i="16"/>
  <c r="AK21" i="16"/>
  <c r="AM21" i="16" s="1"/>
  <c r="AX23" i="16"/>
  <c r="AX28" i="16"/>
  <c r="AO30" i="16"/>
  <c r="AX31" i="16"/>
  <c r="AX35" i="16"/>
  <c r="AK36" i="16"/>
  <c r="AM36" i="16" s="1"/>
  <c r="AX37" i="16"/>
  <c r="AX39" i="16"/>
  <c r="AO39" i="16"/>
  <c r="AQ83" i="16"/>
  <c r="AO88" i="16"/>
  <c r="AK88" i="16"/>
  <c r="AM88" i="16" s="1"/>
  <c r="AP92" i="16"/>
  <c r="AL92" i="16"/>
  <c r="AN92" i="16" s="1"/>
  <c r="AO126" i="16"/>
  <c r="AK126" i="16"/>
  <c r="AM126" i="16" s="1"/>
  <c r="AP87" i="16"/>
  <c r="BE87" i="16"/>
  <c r="AX6" i="16"/>
  <c r="AX32" i="16"/>
  <c r="AO104" i="16"/>
  <c r="AK104" i="16"/>
  <c r="AM104" i="16" s="1"/>
  <c r="BE140" i="16"/>
  <c r="AL140" i="16"/>
  <c r="AX144" i="16"/>
  <c r="AK144" i="16"/>
  <c r="AM144" i="16" s="1"/>
  <c r="AK113" i="16"/>
  <c r="AM113" i="16" s="1"/>
  <c r="AK117" i="16"/>
  <c r="AM117" i="16" s="1"/>
  <c r="AK150" i="16"/>
  <c r="AM150" i="16" s="1"/>
  <c r="AK155" i="16"/>
  <c r="AM155" i="16" s="1"/>
  <c r="AQ162" i="16"/>
  <c r="AX173" i="16"/>
  <c r="AL39" i="16"/>
  <c r="AN39" i="16" s="1"/>
  <c r="BE78" i="16"/>
  <c r="AK79" i="16"/>
  <c r="AM79" i="16" s="1"/>
  <c r="AX89" i="16"/>
  <c r="AL118" i="16"/>
  <c r="AP78" i="16"/>
  <c r="AK80" i="16"/>
  <c r="AM80" i="16" s="1"/>
  <c r="AO93" i="16"/>
  <c r="BE98" i="16"/>
  <c r="AQ100" i="16"/>
  <c r="BE101" i="16"/>
  <c r="AP108" i="16"/>
  <c r="AK137" i="16"/>
  <c r="AM137" i="16" s="1"/>
  <c r="AQ156" i="16"/>
  <c r="AQ164" i="16"/>
  <c r="AX169" i="16"/>
  <c r="AX194" i="16"/>
  <c r="AX80" i="16"/>
  <c r="BE95" i="16"/>
  <c r="AQ136" i="16"/>
  <c r="AX82" i="16"/>
  <c r="AO89" i="16"/>
  <c r="AP95" i="16"/>
  <c r="AP156" i="16"/>
  <c r="AL43" i="16"/>
  <c r="AN43" i="16" s="1"/>
  <c r="AX96" i="16"/>
  <c r="BE97" i="16"/>
  <c r="AL136" i="16"/>
  <c r="BC136" i="16" s="1"/>
  <c r="BD136" i="16" s="1"/>
  <c r="AX156" i="16"/>
  <c r="AO80" i="16"/>
  <c r="AX93" i="16"/>
  <c r="AK125" i="16"/>
  <c r="AM125" i="16" s="1"/>
  <c r="AX158" i="16"/>
  <c r="AQ160" i="16"/>
  <c r="BE7" i="16"/>
  <c r="BE14" i="16"/>
  <c r="BE22" i="16"/>
  <c r="AK3" i="16"/>
  <c r="AM3" i="16" s="1"/>
  <c r="AO3" i="16"/>
  <c r="AX3" i="16"/>
  <c r="BE3" i="16"/>
  <c r="AL3" i="16"/>
  <c r="AQ3" i="16"/>
  <c r="AP3" i="16"/>
  <c r="BE5" i="16"/>
  <c r="BE13" i="16"/>
  <c r="BE20" i="16"/>
  <c r="AX24" i="16"/>
  <c r="AK24" i="16"/>
  <c r="AM24" i="16" s="1"/>
  <c r="AO24" i="16"/>
  <c r="AL50" i="16"/>
  <c r="AN50" i="16" s="1"/>
  <c r="BE50" i="16"/>
  <c r="AQ50" i="16"/>
  <c r="AK60" i="16"/>
  <c r="AM60" i="16" s="1"/>
  <c r="AO60" i="16"/>
  <c r="AX60" i="16"/>
  <c r="AK64" i="16"/>
  <c r="AM64" i="16" s="1"/>
  <c r="AO64" i="16"/>
  <c r="AX64" i="16"/>
  <c r="AK68" i="16"/>
  <c r="AM68" i="16" s="1"/>
  <c r="AO68" i="16"/>
  <c r="AX68" i="16"/>
  <c r="AK71" i="16"/>
  <c r="AM71" i="16" s="1"/>
  <c r="AO71" i="16"/>
  <c r="AX71" i="16"/>
  <c r="AK75" i="16"/>
  <c r="AM75" i="16" s="1"/>
  <c r="AO75" i="16"/>
  <c r="AX75" i="16"/>
  <c r="AO4" i="16"/>
  <c r="AK5" i="16"/>
  <c r="AM5" i="16" s="1"/>
  <c r="AO6" i="16"/>
  <c r="AK7" i="16"/>
  <c r="AM7" i="16" s="1"/>
  <c r="AO8" i="16"/>
  <c r="AK9" i="16"/>
  <c r="AM9" i="16" s="1"/>
  <c r="AO10" i="16"/>
  <c r="AK11" i="16"/>
  <c r="AM11" i="16" s="1"/>
  <c r="AO12" i="16"/>
  <c r="AK13" i="16"/>
  <c r="AM13" i="16" s="1"/>
  <c r="AK14" i="16"/>
  <c r="AM14" i="16" s="1"/>
  <c r="AO15" i="16"/>
  <c r="AK16" i="16"/>
  <c r="AM16" i="16" s="1"/>
  <c r="AO17" i="16"/>
  <c r="AK18" i="16"/>
  <c r="AM18" i="16" s="1"/>
  <c r="AO19" i="16"/>
  <c r="AK20" i="16"/>
  <c r="AM20" i="16" s="1"/>
  <c r="AO21" i="16"/>
  <c r="AK22" i="16"/>
  <c r="AM22" i="16" s="1"/>
  <c r="AO23" i="16"/>
  <c r="AL24" i="16"/>
  <c r="AN24" i="16" s="1"/>
  <c r="AX25" i="16"/>
  <c r="AL26" i="16"/>
  <c r="AN26" i="16" s="1"/>
  <c r="BE28" i="16"/>
  <c r="AQ28" i="16"/>
  <c r="AK31" i="16"/>
  <c r="AM31" i="16" s="1"/>
  <c r="AX33" i="16"/>
  <c r="AL34" i="16"/>
  <c r="AN34" i="16" s="1"/>
  <c r="AK38" i="16"/>
  <c r="AM38" i="16" s="1"/>
  <c r="AO40" i="16"/>
  <c r="AX40" i="16"/>
  <c r="AO42" i="16"/>
  <c r="AX42" i="16"/>
  <c r="AO44" i="16"/>
  <c r="AX44" i="16"/>
  <c r="BE46" i="16"/>
  <c r="AQ46" i="16"/>
  <c r="AP46" i="16"/>
  <c r="AX48" i="16"/>
  <c r="AK48" i="16"/>
  <c r="AM48" i="16" s="1"/>
  <c r="BE53" i="16"/>
  <c r="AQ53" i="16"/>
  <c r="AP53" i="16"/>
  <c r="BE57" i="16"/>
  <c r="AQ57" i="16"/>
  <c r="AP57" i="16"/>
  <c r="BE60" i="16"/>
  <c r="AQ60" i="16"/>
  <c r="AP60" i="16"/>
  <c r="BE64" i="16"/>
  <c r="AQ64" i="16"/>
  <c r="AP64" i="16"/>
  <c r="BE68" i="16"/>
  <c r="AQ68" i="16"/>
  <c r="AP68" i="16"/>
  <c r="BE71" i="16"/>
  <c r="AQ71" i="16"/>
  <c r="AP71" i="16"/>
  <c r="BE75" i="16"/>
  <c r="AQ75" i="16"/>
  <c r="AP75" i="16"/>
  <c r="AP4" i="16"/>
  <c r="AL5" i="16"/>
  <c r="AN5" i="16" s="1"/>
  <c r="AP6" i="16"/>
  <c r="AL7" i="16"/>
  <c r="AN7" i="16" s="1"/>
  <c r="AP8" i="16"/>
  <c r="AL9" i="16"/>
  <c r="AN9" i="16" s="1"/>
  <c r="AP10" i="16"/>
  <c r="AL11" i="16"/>
  <c r="AN11" i="16" s="1"/>
  <c r="AP12" i="16"/>
  <c r="AL13" i="16"/>
  <c r="AN13" i="16" s="1"/>
  <c r="AL14" i="16"/>
  <c r="AN14" i="16" s="1"/>
  <c r="AP15" i="16"/>
  <c r="AL16" i="16"/>
  <c r="AN16" i="16" s="1"/>
  <c r="AP17" i="16"/>
  <c r="AL18" i="16"/>
  <c r="AN18" i="16" s="1"/>
  <c r="AP19" i="16"/>
  <c r="AL20" i="16"/>
  <c r="AN20" i="16" s="1"/>
  <c r="AP21" i="16"/>
  <c r="AL22" i="16"/>
  <c r="AN22" i="16" s="1"/>
  <c r="AP23" i="16"/>
  <c r="BE25" i="16"/>
  <c r="AQ25" i="16"/>
  <c r="AO26" i="16"/>
  <c r="AK28" i="16"/>
  <c r="AM28" i="16" s="1"/>
  <c r="AL31" i="16"/>
  <c r="AN31" i="16" s="1"/>
  <c r="BE33" i="16"/>
  <c r="AQ33" i="16"/>
  <c r="AO34" i="16"/>
  <c r="AL38" i="16"/>
  <c r="AN38" i="16" s="1"/>
  <c r="BE40" i="16"/>
  <c r="AQ40" i="16"/>
  <c r="BE42" i="16"/>
  <c r="AQ42" i="16"/>
  <c r="BE44" i="16"/>
  <c r="AQ44" i="16"/>
  <c r="AL48" i="16"/>
  <c r="AN48" i="16" s="1"/>
  <c r="BE48" i="16"/>
  <c r="AQ48" i="16"/>
  <c r="AP50" i="16"/>
  <c r="AO51" i="16"/>
  <c r="AX51" i="16"/>
  <c r="AO54" i="16"/>
  <c r="AX54" i="16"/>
  <c r="AK54" i="16"/>
  <c r="AM54" i="16" s="1"/>
  <c r="AO61" i="16"/>
  <c r="AX61" i="16"/>
  <c r="AK61" i="16"/>
  <c r="AM61" i="16" s="1"/>
  <c r="AO65" i="16"/>
  <c r="AX65" i="16"/>
  <c r="AK65" i="16"/>
  <c r="AM65" i="16" s="1"/>
  <c r="AO72" i="16"/>
  <c r="AX72" i="16"/>
  <c r="AK72" i="16"/>
  <c r="AM72" i="16" s="1"/>
  <c r="AO76" i="16"/>
  <c r="AX76" i="16"/>
  <c r="AK76" i="16"/>
  <c r="AM76" i="16" s="1"/>
  <c r="AO106" i="16"/>
  <c r="AX106" i="16"/>
  <c r="AK106" i="16"/>
  <c r="AM106" i="16" s="1"/>
  <c r="AQ106" i="16"/>
  <c r="AK57" i="16"/>
  <c r="AM57" i="16" s="1"/>
  <c r="AO57" i="16"/>
  <c r="AX57" i="16"/>
  <c r="AQ4" i="16"/>
  <c r="BE4" i="16"/>
  <c r="AX5" i="16"/>
  <c r="AQ6" i="16"/>
  <c r="BE6" i="16"/>
  <c r="AX7" i="16"/>
  <c r="AQ8" i="16"/>
  <c r="BE8" i="16"/>
  <c r="AX9" i="16"/>
  <c r="AQ10" i="16"/>
  <c r="BE10" i="16"/>
  <c r="AX11" i="16"/>
  <c r="AQ12" i="16"/>
  <c r="BE12" i="16"/>
  <c r="AX13" i="16"/>
  <c r="AX14" i="16"/>
  <c r="AQ15" i="16"/>
  <c r="BE15" i="16"/>
  <c r="AX16" i="16"/>
  <c r="AQ17" i="16"/>
  <c r="BE17" i="16"/>
  <c r="AX18" i="16"/>
  <c r="AQ19" i="16"/>
  <c r="BE19" i="16"/>
  <c r="AX20" i="16"/>
  <c r="AQ21" i="16"/>
  <c r="BE21" i="16"/>
  <c r="AX22" i="16"/>
  <c r="BE30" i="16"/>
  <c r="AQ30" i="16"/>
  <c r="AO31" i="16"/>
  <c r="BE37" i="16"/>
  <c r="AQ37" i="16"/>
  <c r="AO38" i="16"/>
  <c r="BE51" i="16"/>
  <c r="AQ51" i="16"/>
  <c r="AP51" i="16"/>
  <c r="AL54" i="16"/>
  <c r="AN54" i="16" s="1"/>
  <c r="BE54" i="16"/>
  <c r="AQ54" i="16"/>
  <c r="AL61" i="16"/>
  <c r="AN61" i="16" s="1"/>
  <c r="BE61" i="16"/>
  <c r="AQ61" i="16"/>
  <c r="AL65" i="16"/>
  <c r="AN65" i="16" s="1"/>
  <c r="BE65" i="16"/>
  <c r="AQ65" i="16"/>
  <c r="AL72" i="16"/>
  <c r="AN72" i="16" s="1"/>
  <c r="BE72" i="16"/>
  <c r="AQ72" i="16"/>
  <c r="AL76" i="16"/>
  <c r="AN76" i="16" s="1"/>
  <c r="BE76" i="16"/>
  <c r="AQ76" i="16"/>
  <c r="AO105" i="16"/>
  <c r="AK105" i="16"/>
  <c r="AM105" i="16" s="1"/>
  <c r="AX105" i="16"/>
  <c r="AK53" i="16"/>
  <c r="AM53" i="16" s="1"/>
  <c r="AO53" i="16"/>
  <c r="AX53" i="16"/>
  <c r="BE23" i="16"/>
  <c r="BE27" i="16"/>
  <c r="AQ27" i="16"/>
  <c r="AO28" i="16"/>
  <c r="BE35" i="16"/>
  <c r="AQ35" i="16"/>
  <c r="AO49" i="16"/>
  <c r="AX49" i="16"/>
  <c r="AK55" i="16"/>
  <c r="AM55" i="16" s="1"/>
  <c r="AO55" i="16"/>
  <c r="AX55" i="16"/>
  <c r="AK58" i="16"/>
  <c r="AM58" i="16" s="1"/>
  <c r="AO58" i="16"/>
  <c r="AX58" i="16"/>
  <c r="AK62" i="16"/>
  <c r="AM62" i="16" s="1"/>
  <c r="AO62" i="16"/>
  <c r="AX62" i="16"/>
  <c r="AK66" i="16"/>
  <c r="AM66" i="16" s="1"/>
  <c r="AO66" i="16"/>
  <c r="AX66" i="16"/>
  <c r="AK69" i="16"/>
  <c r="AM69" i="16" s="1"/>
  <c r="AO69" i="16"/>
  <c r="AX69" i="16"/>
  <c r="AK73" i="16"/>
  <c r="AM73" i="16" s="1"/>
  <c r="AO73" i="16"/>
  <c r="AX73" i="16"/>
  <c r="AP76" i="16"/>
  <c r="AK77" i="16"/>
  <c r="AM77" i="16" s="1"/>
  <c r="AO77" i="16"/>
  <c r="AX77" i="16"/>
  <c r="BE92" i="16"/>
  <c r="AX115" i="16"/>
  <c r="AK115" i="16"/>
  <c r="AM115" i="16" s="1"/>
  <c r="AQ115" i="16"/>
  <c r="AO115" i="16"/>
  <c r="AP120" i="16"/>
  <c r="AL120" i="16"/>
  <c r="AQ120" i="16"/>
  <c r="BE120" i="16"/>
  <c r="AO193" i="16"/>
  <c r="AX193" i="16"/>
  <c r="AK193" i="16"/>
  <c r="AM193" i="16" s="1"/>
  <c r="AK27" i="16"/>
  <c r="AM27" i="16" s="1"/>
  <c r="AX29" i="16"/>
  <c r="AL30" i="16"/>
  <c r="AN30" i="16" s="1"/>
  <c r="BE32" i="16"/>
  <c r="AQ32" i="16"/>
  <c r="AK35" i="16"/>
  <c r="AM35" i="16" s="1"/>
  <c r="AX36" i="16"/>
  <c r="AL37" i="16"/>
  <c r="AN37" i="16" s="1"/>
  <c r="BE39" i="16"/>
  <c r="AQ39" i="16"/>
  <c r="AP40" i="16"/>
  <c r="AX41" i="16"/>
  <c r="AK41" i="16"/>
  <c r="AM41" i="16" s="1"/>
  <c r="AP42" i="16"/>
  <c r="AX43" i="16"/>
  <c r="AK43" i="16"/>
  <c r="AM43" i="16" s="1"/>
  <c r="AP44" i="16"/>
  <c r="AX45" i="16"/>
  <c r="AK45" i="16"/>
  <c r="AM45" i="16" s="1"/>
  <c r="BE49" i="16"/>
  <c r="AQ49" i="16"/>
  <c r="AP49" i="16"/>
  <c r="AL51" i="16"/>
  <c r="AN51" i="16" s="1"/>
  <c r="AX52" i="16"/>
  <c r="AK52" i="16"/>
  <c r="AM52" i="16" s="1"/>
  <c r="BE55" i="16"/>
  <c r="AQ55" i="16"/>
  <c r="AP55" i="16"/>
  <c r="BE58" i="16"/>
  <c r="AQ58" i="16"/>
  <c r="AP58" i="16"/>
  <c r="BE62" i="16"/>
  <c r="AQ62" i="16"/>
  <c r="AP62" i="16"/>
  <c r="BE66" i="16"/>
  <c r="AQ66" i="16"/>
  <c r="AP66" i="16"/>
  <c r="BE69" i="16"/>
  <c r="AQ69" i="16"/>
  <c r="AP69" i="16"/>
  <c r="BE73" i="16"/>
  <c r="AQ73" i="16"/>
  <c r="AP73" i="16"/>
  <c r="BE77" i="16"/>
  <c r="AQ77" i="16"/>
  <c r="AP77" i="16"/>
  <c r="AX85" i="16"/>
  <c r="AK85" i="16"/>
  <c r="AM85" i="16" s="1"/>
  <c r="AQ85" i="16"/>
  <c r="AX111" i="16"/>
  <c r="AK111" i="16"/>
  <c r="AM111" i="16" s="1"/>
  <c r="AO111" i="16"/>
  <c r="BE31" i="16"/>
  <c r="AQ31" i="16"/>
  <c r="BE38" i="16"/>
  <c r="AQ38" i="16"/>
  <c r="AO46" i="16"/>
  <c r="AX46" i="16"/>
  <c r="AP5" i="16"/>
  <c r="AP7" i="16"/>
  <c r="AP9" i="16"/>
  <c r="AP11" i="16"/>
  <c r="AP13" i="16"/>
  <c r="AP14" i="16"/>
  <c r="AP16" i="16"/>
  <c r="AP18" i="16"/>
  <c r="AP20" i="16"/>
  <c r="AP22" i="16"/>
  <c r="AL23" i="16"/>
  <c r="AN23" i="16" s="1"/>
  <c r="AL27" i="16"/>
  <c r="AN27" i="16" s="1"/>
  <c r="BE29" i="16"/>
  <c r="AQ29" i="16"/>
  <c r="AK32" i="16"/>
  <c r="AM32" i="16" s="1"/>
  <c r="AL35" i="16"/>
  <c r="AN35" i="16" s="1"/>
  <c r="BE36" i="16"/>
  <c r="AQ36" i="16"/>
  <c r="AK39" i="16"/>
  <c r="AM39" i="16" s="1"/>
  <c r="BE41" i="16"/>
  <c r="AQ41" i="16"/>
  <c r="BE43" i="16"/>
  <c r="AQ43" i="16"/>
  <c r="AL45" i="16"/>
  <c r="AN45" i="16" s="1"/>
  <c r="BE45" i="16"/>
  <c r="AQ45" i="16"/>
  <c r="AO47" i="16"/>
  <c r="AX47" i="16"/>
  <c r="AK49" i="16"/>
  <c r="AM49" i="16" s="1"/>
  <c r="AL52" i="16"/>
  <c r="AN52" i="16" s="1"/>
  <c r="BE52" i="16"/>
  <c r="AQ52" i="16"/>
  <c r="AO56" i="16"/>
  <c r="AX56" i="16"/>
  <c r="AK56" i="16"/>
  <c r="AM56" i="16" s="1"/>
  <c r="AO59" i="16"/>
  <c r="AX59" i="16"/>
  <c r="AK59" i="16"/>
  <c r="AM59" i="16" s="1"/>
  <c r="AO63" i="16"/>
  <c r="AX63" i="16"/>
  <c r="AK63" i="16"/>
  <c r="AM63" i="16" s="1"/>
  <c r="AO67" i="16"/>
  <c r="AX67" i="16"/>
  <c r="AK67" i="16"/>
  <c r="AM67" i="16" s="1"/>
  <c r="AO70" i="16"/>
  <c r="AX70" i="16"/>
  <c r="AK70" i="16"/>
  <c r="AM70" i="16" s="1"/>
  <c r="AO74" i="16"/>
  <c r="AX74" i="16"/>
  <c r="AK74" i="16"/>
  <c r="AM74" i="16" s="1"/>
  <c r="AO78" i="16"/>
  <c r="AX78" i="16"/>
  <c r="AK78" i="16"/>
  <c r="AM78" i="16" s="1"/>
  <c r="AX87" i="16"/>
  <c r="AK87" i="16"/>
  <c r="AM87" i="16" s="1"/>
  <c r="AQ87" i="16"/>
  <c r="AK98" i="16"/>
  <c r="AM98" i="16" s="1"/>
  <c r="AX98" i="16"/>
  <c r="AQ98" i="16"/>
  <c r="AO98" i="16"/>
  <c r="AQ5" i="16"/>
  <c r="AQ7" i="16"/>
  <c r="AQ9" i="16"/>
  <c r="AQ11" i="16"/>
  <c r="AQ13" i="16"/>
  <c r="AQ14" i="16"/>
  <c r="AQ16" i="16"/>
  <c r="AQ18" i="16"/>
  <c r="AQ20" i="16"/>
  <c r="AQ22" i="16"/>
  <c r="BE24" i="16"/>
  <c r="AQ24" i="16"/>
  <c r="BE26" i="16"/>
  <c r="AQ26" i="16"/>
  <c r="BE34" i="16"/>
  <c r="AQ34" i="16"/>
  <c r="BE47" i="16"/>
  <c r="AQ47" i="16"/>
  <c r="AP47" i="16"/>
  <c r="AX50" i="16"/>
  <c r="AK50" i="16"/>
  <c r="AM50" i="16" s="1"/>
  <c r="AL56" i="16"/>
  <c r="AN56" i="16" s="1"/>
  <c r="BE56" i="16"/>
  <c r="AQ56" i="16"/>
  <c r="AL59" i="16"/>
  <c r="AN59" i="16" s="1"/>
  <c r="BE59" i="16"/>
  <c r="AQ59" i="16"/>
  <c r="AL63" i="16"/>
  <c r="AN63" i="16" s="1"/>
  <c r="BE63" i="16"/>
  <c r="AQ63" i="16"/>
  <c r="AL67" i="16"/>
  <c r="AN67" i="16" s="1"/>
  <c r="BE67" i="16"/>
  <c r="AQ67" i="16"/>
  <c r="AL70" i="16"/>
  <c r="AN70" i="16" s="1"/>
  <c r="BE70" i="16"/>
  <c r="AQ70" i="16"/>
  <c r="AL74" i="16"/>
  <c r="AN74" i="16" s="1"/>
  <c r="BE74" i="16"/>
  <c r="AQ74" i="16"/>
  <c r="AL78" i="16"/>
  <c r="AN78" i="16" s="1"/>
  <c r="AQ78" i="16"/>
  <c r="AL84" i="16"/>
  <c r="AN84" i="16" s="1"/>
  <c r="BE84" i="16"/>
  <c r="AQ84" i="16"/>
  <c r="AP84" i="16"/>
  <c r="AX86" i="16"/>
  <c r="AO86" i="16"/>
  <c r="AK86" i="16"/>
  <c r="AM86" i="16" s="1"/>
  <c r="AQ97" i="16"/>
  <c r="AO97" i="16"/>
  <c r="AK97" i="16"/>
  <c r="AM97" i="16" s="1"/>
  <c r="AX97" i="16"/>
  <c r="BE107" i="16"/>
  <c r="AK84" i="16"/>
  <c r="AM84" i="16" s="1"/>
  <c r="AL86" i="16"/>
  <c r="AN86" i="16" s="1"/>
  <c r="BE86" i="16"/>
  <c r="AQ86" i="16"/>
  <c r="AP86" i="16"/>
  <c r="AX88" i="16"/>
  <c r="BC92" i="16"/>
  <c r="BD92" i="16" s="1"/>
  <c r="AO95" i="16"/>
  <c r="AX95" i="16"/>
  <c r="AK95" i="16"/>
  <c r="AM95" i="16" s="1"/>
  <c r="AP106" i="16"/>
  <c r="AL106" i="16"/>
  <c r="AK107" i="16"/>
  <c r="AM107" i="16" s="1"/>
  <c r="AX107" i="16"/>
  <c r="AO107" i="16"/>
  <c r="BE121" i="16"/>
  <c r="AP88" i="16"/>
  <c r="AL88" i="16"/>
  <c r="AL90" i="16"/>
  <c r="BE90" i="16"/>
  <c r="AP90" i="16"/>
  <c r="AL95" i="16"/>
  <c r="AQ95" i="16"/>
  <c r="AK121" i="16"/>
  <c r="AM121" i="16" s="1"/>
  <c r="AQ121" i="16"/>
  <c r="AO121" i="16"/>
  <c r="AX81" i="16"/>
  <c r="AX90" i="16"/>
  <c r="AK90" i="16"/>
  <c r="AM90" i="16" s="1"/>
  <c r="AP94" i="16"/>
  <c r="AL94" i="16"/>
  <c r="BE94" i="16"/>
  <c r="AQ94" i="16"/>
  <c r="BE99" i="16"/>
  <c r="AK108" i="16"/>
  <c r="AM108" i="16" s="1"/>
  <c r="AX108" i="16"/>
  <c r="AP112" i="16"/>
  <c r="AL112" i="16"/>
  <c r="AQ112" i="16"/>
  <c r="BE112" i="16"/>
  <c r="BE118" i="16"/>
  <c r="AL79" i="16"/>
  <c r="AN79" i="16" s="1"/>
  <c r="BE79" i="16"/>
  <c r="AQ79" i="16"/>
  <c r="AP81" i="16"/>
  <c r="AL81" i="16"/>
  <c r="AN81" i="16" s="1"/>
  <c r="BE81" i="16"/>
  <c r="AO84" i="16"/>
  <c r="BE103" i="16"/>
  <c r="BE114" i="16"/>
  <c r="AQ117" i="16"/>
  <c r="AP117" i="16"/>
  <c r="BE117" i="16"/>
  <c r="AL117" i="16"/>
  <c r="BE123" i="16"/>
  <c r="AK81" i="16"/>
  <c r="AM81" i="16" s="1"/>
  <c r="AP83" i="16"/>
  <c r="AL83" i="16"/>
  <c r="AN83" i="16" s="1"/>
  <c r="BE83" i="16"/>
  <c r="AQ90" i="16"/>
  <c r="AO92" i="16"/>
  <c r="AK92" i="16"/>
  <c r="AM92" i="16" s="1"/>
  <c r="BE93" i="16"/>
  <c r="AQ107" i="16"/>
  <c r="AO108" i="16"/>
  <c r="AK114" i="16"/>
  <c r="AM114" i="16" s="1"/>
  <c r="AQ114" i="16"/>
  <c r="AO114" i="16"/>
  <c r="AX119" i="16"/>
  <c r="AK119" i="16"/>
  <c r="AM119" i="16" s="1"/>
  <c r="AO119" i="16"/>
  <c r="AX122" i="16"/>
  <c r="AK122" i="16"/>
  <c r="AM122" i="16" s="1"/>
  <c r="AO122" i="16"/>
  <c r="AL80" i="16"/>
  <c r="AN80" i="16" s="1"/>
  <c r="BE80" i="16"/>
  <c r="AQ80" i="16"/>
  <c r="AP80" i="16"/>
  <c r="AO81" i="16"/>
  <c r="AK83" i="16"/>
  <c r="AM83" i="16" s="1"/>
  <c r="AQ88" i="16"/>
  <c r="BE96" i="16"/>
  <c r="AQ99" i="16"/>
  <c r="AO99" i="16"/>
  <c r="AX99" i="16"/>
  <c r="AO109" i="16"/>
  <c r="AX109" i="16"/>
  <c r="AK109" i="16"/>
  <c r="AM109" i="16" s="1"/>
  <c r="BE110" i="16"/>
  <c r="AQ122" i="16"/>
  <c r="AQ81" i="16"/>
  <c r="AL82" i="16"/>
  <c r="AN82" i="16" s="1"/>
  <c r="BE82" i="16"/>
  <c r="AQ82" i="16"/>
  <c r="AP82" i="16"/>
  <c r="AO83" i="16"/>
  <c r="AL89" i="16"/>
  <c r="BE89" i="16"/>
  <c r="AQ89" i="16"/>
  <c r="AP89" i="16"/>
  <c r="AO100" i="16"/>
  <c r="AX100" i="16"/>
  <c r="AK100" i="16"/>
  <c r="AM100" i="16" s="1"/>
  <c r="AK101" i="16"/>
  <c r="AM101" i="16" s="1"/>
  <c r="AX101" i="16"/>
  <c r="AQ103" i="16"/>
  <c r="AO103" i="16"/>
  <c r="AX103" i="16"/>
  <c r="AL104" i="16"/>
  <c r="BE104" i="16"/>
  <c r="AQ104" i="16"/>
  <c r="AP104" i="16"/>
  <c r="AL99" i="16"/>
  <c r="AP99" i="16"/>
  <c r="BE100" i="16"/>
  <c r="AL102" i="16"/>
  <c r="AX104" i="16"/>
  <c r="AO112" i="16"/>
  <c r="AX112" i="16"/>
  <c r="AX117" i="16"/>
  <c r="AO120" i="16"/>
  <c r="AX120" i="16"/>
  <c r="AP125" i="16"/>
  <c r="AQ125" i="16"/>
  <c r="BE125" i="16"/>
  <c r="AL125" i="16"/>
  <c r="AL126" i="16"/>
  <c r="AQ126" i="16"/>
  <c r="AP126" i="16"/>
  <c r="AL138" i="16"/>
  <c r="BE138" i="16"/>
  <c r="AQ138" i="16"/>
  <c r="AP138" i="16"/>
  <c r="AL141" i="16"/>
  <c r="AQ141" i="16"/>
  <c r="AP141" i="16"/>
  <c r="BE144" i="16"/>
  <c r="AL85" i="16"/>
  <c r="AN85" i="16" s="1"/>
  <c r="AL87" i="16"/>
  <c r="AO96" i="16"/>
  <c r="AQ101" i="16"/>
  <c r="AP105" i="16"/>
  <c r="AL105" i="16"/>
  <c r="AL111" i="16"/>
  <c r="BE111" i="16"/>
  <c r="AL119" i="16"/>
  <c r="BE119" i="16"/>
  <c r="AO123" i="16"/>
  <c r="AX123" i="16"/>
  <c r="AO145" i="16"/>
  <c r="AK145" i="16"/>
  <c r="AM145" i="16" s="1"/>
  <c r="AX145" i="16"/>
  <c r="AX91" i="16"/>
  <c r="AP91" i="16"/>
  <c r="BE91" i="16"/>
  <c r="AQ93" i="16"/>
  <c r="AQ96" i="16"/>
  <c r="AP98" i="16"/>
  <c r="AL98" i="16"/>
  <c r="AL100" i="16"/>
  <c r="AQ102" i="16"/>
  <c r="BE102" i="16"/>
  <c r="AL108" i="16"/>
  <c r="BE108" i="16"/>
  <c r="AX124" i="16"/>
  <c r="AO131" i="16"/>
  <c r="AK131" i="16"/>
  <c r="AM131" i="16" s="1"/>
  <c r="AX131" i="16"/>
  <c r="AP97" i="16"/>
  <c r="AL107" i="16"/>
  <c r="AX113" i="16"/>
  <c r="AO116" i="16"/>
  <c r="AX116" i="16"/>
  <c r="AK123" i="16"/>
  <c r="AM123" i="16" s="1"/>
  <c r="AQ128" i="16"/>
  <c r="AP128" i="16"/>
  <c r="BE128" i="16"/>
  <c r="AL128" i="16"/>
  <c r="BE141" i="16"/>
  <c r="BE147" i="16"/>
  <c r="AP147" i="16"/>
  <c r="AQ147" i="16"/>
  <c r="AL147" i="16"/>
  <c r="BE161" i="16"/>
  <c r="AP101" i="16"/>
  <c r="AL101" i="16"/>
  <c r="AP109" i="16"/>
  <c r="AL109" i="16"/>
  <c r="AK110" i="16"/>
  <c r="AM110" i="16" s="1"/>
  <c r="AQ110" i="16"/>
  <c r="AX110" i="16"/>
  <c r="AQ113" i="16"/>
  <c r="AP113" i="16"/>
  <c r="AP116" i="16"/>
  <c r="AL116" i="16"/>
  <c r="AK118" i="16"/>
  <c r="AM118" i="16" s="1"/>
  <c r="AQ118" i="16"/>
  <c r="AX118" i="16"/>
  <c r="BE132" i="16"/>
  <c r="AP132" i="16"/>
  <c r="AQ132" i="16"/>
  <c r="AL132" i="16"/>
  <c r="AL134" i="16"/>
  <c r="BE134" i="16"/>
  <c r="AQ134" i="16"/>
  <c r="AP134" i="16"/>
  <c r="AX139" i="16"/>
  <c r="AK139" i="16"/>
  <c r="AM139" i="16" s="1"/>
  <c r="AO139" i="16"/>
  <c r="BE149" i="16"/>
  <c r="AQ149" i="16"/>
  <c r="AP149" i="16"/>
  <c r="AL149" i="16"/>
  <c r="AK91" i="16"/>
  <c r="AM91" i="16" s="1"/>
  <c r="AL96" i="16"/>
  <c r="AP96" i="16"/>
  <c r="AQ105" i="16"/>
  <c r="BE105" i="16"/>
  <c r="BE109" i="16"/>
  <c r="AQ111" i="16"/>
  <c r="AL115" i="16"/>
  <c r="BE115" i="16"/>
  <c r="BE116" i="16"/>
  <c r="AQ119" i="16"/>
  <c r="AP122" i="16"/>
  <c r="AL122" i="16"/>
  <c r="BE122" i="16"/>
  <c r="AL124" i="16"/>
  <c r="BE124" i="16"/>
  <c r="AQ124" i="16"/>
  <c r="AP124" i="16"/>
  <c r="BE126" i="16"/>
  <c r="AP103" i="16"/>
  <c r="AP107" i="16"/>
  <c r="AP110" i="16"/>
  <c r="AP114" i="16"/>
  <c r="AP118" i="16"/>
  <c r="AP121" i="16"/>
  <c r="AL123" i="16"/>
  <c r="AO125" i="16"/>
  <c r="AX125" i="16"/>
  <c r="AK132" i="16"/>
  <c r="AM132" i="16" s="1"/>
  <c r="AO132" i="16"/>
  <c r="AX132" i="16"/>
  <c r="BE143" i="16"/>
  <c r="AP143" i="16"/>
  <c r="AK147" i="16"/>
  <c r="AM147" i="16" s="1"/>
  <c r="AO147" i="16"/>
  <c r="AX147" i="16"/>
  <c r="AK149" i="16"/>
  <c r="AM149" i="16" s="1"/>
  <c r="AL155" i="16"/>
  <c r="AQ155" i="16"/>
  <c r="AP155" i="16"/>
  <c r="AQ172" i="16"/>
  <c r="AQ178" i="16"/>
  <c r="AP178" i="16"/>
  <c r="BE178" i="16"/>
  <c r="AL178" i="16"/>
  <c r="AO127" i="16"/>
  <c r="AK127" i="16"/>
  <c r="AM127" i="16" s="1"/>
  <c r="BE129" i="16"/>
  <c r="AP129" i="16"/>
  <c r="AL131" i="16"/>
  <c r="BE131" i="16"/>
  <c r="AQ131" i="16"/>
  <c r="AX135" i="16"/>
  <c r="AK135" i="16"/>
  <c r="AM135" i="16" s="1"/>
  <c r="AL137" i="16"/>
  <c r="AQ137" i="16"/>
  <c r="AQ139" i="16"/>
  <c r="AP139" i="16"/>
  <c r="BE139" i="16"/>
  <c r="AO142" i="16"/>
  <c r="AK142" i="16"/>
  <c r="AM142" i="16" s="1"/>
  <c r="AK143" i="16"/>
  <c r="AM143" i="16" s="1"/>
  <c r="AO143" i="16"/>
  <c r="AX143" i="16"/>
  <c r="AL145" i="16"/>
  <c r="BE145" i="16"/>
  <c r="AQ145" i="16"/>
  <c r="AO149" i="16"/>
  <c r="AX161" i="16"/>
  <c r="AO161" i="16"/>
  <c r="AK161" i="16"/>
  <c r="AM161" i="16" s="1"/>
  <c r="AK129" i="16"/>
  <c r="AM129" i="16" s="1"/>
  <c r="AO129" i="16"/>
  <c r="AX129" i="16"/>
  <c r="AX133" i="16"/>
  <c r="AO133" i="16"/>
  <c r="AX137" i="16"/>
  <c r="BE137" i="16"/>
  <c r="AL139" i="16"/>
  <c r="AL127" i="16"/>
  <c r="BE127" i="16"/>
  <c r="AQ127" i="16"/>
  <c r="AL129" i="16"/>
  <c r="AP131" i="16"/>
  <c r="AL133" i="16"/>
  <c r="AQ133" i="16"/>
  <c r="BE133" i="16"/>
  <c r="AQ135" i="16"/>
  <c r="AP135" i="16"/>
  <c r="BE135" i="16"/>
  <c r="AL142" i="16"/>
  <c r="BE142" i="16"/>
  <c r="AQ142" i="16"/>
  <c r="AP145" i="16"/>
  <c r="AX146" i="16"/>
  <c r="AK146" i="16"/>
  <c r="AM146" i="16" s="1"/>
  <c r="AL148" i="16"/>
  <c r="AQ148" i="16"/>
  <c r="AX152" i="16"/>
  <c r="AO152" i="16"/>
  <c r="BE163" i="16"/>
  <c r="AP167" i="16"/>
  <c r="AL167" i="16"/>
  <c r="BE167" i="16"/>
  <c r="AL169" i="16"/>
  <c r="BE169" i="16"/>
  <c r="AQ169" i="16"/>
  <c r="AP169" i="16"/>
  <c r="AX126" i="16"/>
  <c r="AX130" i="16"/>
  <c r="AO130" i="16"/>
  <c r="AK133" i="16"/>
  <c r="AM133" i="16" s="1"/>
  <c r="AL135" i="16"/>
  <c r="AO138" i="16"/>
  <c r="AK138" i="16"/>
  <c r="AM138" i="16" s="1"/>
  <c r="AK140" i="16"/>
  <c r="AM140" i="16" s="1"/>
  <c r="AO140" i="16"/>
  <c r="AX140" i="16"/>
  <c r="AQ143" i="16"/>
  <c r="AL144" i="16"/>
  <c r="AQ144" i="16"/>
  <c r="AX148" i="16"/>
  <c r="BE148" i="16"/>
  <c r="AL166" i="16"/>
  <c r="BE166" i="16"/>
  <c r="AQ166" i="16"/>
  <c r="AP166" i="16"/>
  <c r="AX128" i="16"/>
  <c r="AK128" i="16"/>
  <c r="AM128" i="16" s="1"/>
  <c r="AL130" i="16"/>
  <c r="AQ130" i="16"/>
  <c r="BE130" i="16"/>
  <c r="AO134" i="16"/>
  <c r="AK134" i="16"/>
  <c r="AM134" i="16" s="1"/>
  <c r="BE136" i="16"/>
  <c r="AP136" i="16"/>
  <c r="AQ146" i="16"/>
  <c r="AP146" i="16"/>
  <c r="BE146" i="16"/>
  <c r="AX163" i="16"/>
  <c r="AO163" i="16"/>
  <c r="AK163" i="16"/>
  <c r="AM163" i="16" s="1"/>
  <c r="AO175" i="16"/>
  <c r="AX175" i="16"/>
  <c r="AK175" i="16"/>
  <c r="AM175" i="16" s="1"/>
  <c r="AQ175" i="16"/>
  <c r="AK136" i="16"/>
  <c r="AM136" i="16" s="1"/>
  <c r="AO136" i="16"/>
  <c r="AX136" i="16"/>
  <c r="AX141" i="16"/>
  <c r="AO141" i="16"/>
  <c r="AL146" i="16"/>
  <c r="AX159" i="16"/>
  <c r="AO159" i="16"/>
  <c r="AK159" i="16"/>
  <c r="AM159" i="16" s="1"/>
  <c r="AO172" i="16"/>
  <c r="AX172" i="16"/>
  <c r="AK172" i="16"/>
  <c r="AM172" i="16" s="1"/>
  <c r="AO137" i="16"/>
  <c r="AO144" i="16"/>
  <c r="AO148" i="16"/>
  <c r="AQ150" i="16"/>
  <c r="AP150" i="16"/>
  <c r="AL150" i="16"/>
  <c r="BE150" i="16"/>
  <c r="AL152" i="16"/>
  <c r="AQ152" i="16"/>
  <c r="AP152" i="16"/>
  <c r="BE152" i="16"/>
  <c r="AX155" i="16"/>
  <c r="AX157" i="16"/>
  <c r="AO167" i="16"/>
  <c r="AX167" i="16"/>
  <c r="AK167" i="16"/>
  <c r="AM167" i="16" s="1"/>
  <c r="AQ168" i="16"/>
  <c r="AO178" i="16"/>
  <c r="AX178" i="16"/>
  <c r="AK178" i="16"/>
  <c r="AM178" i="16" s="1"/>
  <c r="AX191" i="16"/>
  <c r="AK191" i="16"/>
  <c r="AM191" i="16" s="1"/>
  <c r="AO191" i="16"/>
  <c r="AQ157" i="16"/>
  <c r="AP157" i="16"/>
  <c r="AL157" i="16"/>
  <c r="BE157" i="16"/>
  <c r="AL159" i="16"/>
  <c r="AQ159" i="16"/>
  <c r="AP159" i="16"/>
  <c r="BE159" i="16"/>
  <c r="BE170" i="16"/>
  <c r="AL173" i="16"/>
  <c r="BE173" i="16"/>
  <c r="AQ173" i="16"/>
  <c r="AP173" i="16"/>
  <c r="AP140" i="16"/>
  <c r="BE151" i="16"/>
  <c r="AP151" i="16"/>
  <c r="AL153" i="16"/>
  <c r="BE153" i="16"/>
  <c r="AQ161" i="16"/>
  <c r="AX170" i="16"/>
  <c r="AK170" i="16"/>
  <c r="AM170" i="16" s="1"/>
  <c r="AQ170" i="16"/>
  <c r="BE174" i="16"/>
  <c r="AL176" i="16"/>
  <c r="BE176" i="16"/>
  <c r="AQ176" i="16"/>
  <c r="AP176" i="16"/>
  <c r="AK151" i="16"/>
  <c r="AM151" i="16" s="1"/>
  <c r="AO151" i="16"/>
  <c r="AO153" i="16"/>
  <c r="AK153" i="16"/>
  <c r="AM153" i="16" s="1"/>
  <c r="BE154" i="16"/>
  <c r="AP154" i="16"/>
  <c r="AL156" i="16"/>
  <c r="BE156" i="16"/>
  <c r="AX174" i="16"/>
  <c r="AK174" i="16"/>
  <c r="AM174" i="16" s="1"/>
  <c r="AQ174" i="16"/>
  <c r="BE177" i="16"/>
  <c r="AL151" i="16"/>
  <c r="AK154" i="16"/>
  <c r="AM154" i="16" s="1"/>
  <c r="AO154" i="16"/>
  <c r="AO156" i="16"/>
  <c r="AK156" i="16"/>
  <c r="AM156" i="16" s="1"/>
  <c r="BE158" i="16"/>
  <c r="AP158" i="16"/>
  <c r="AP160" i="16"/>
  <c r="AL160" i="16"/>
  <c r="BE160" i="16"/>
  <c r="AL162" i="16"/>
  <c r="BE162" i="16"/>
  <c r="AP162" i="16"/>
  <c r="AP164" i="16"/>
  <c r="AL164" i="16"/>
  <c r="BE164" i="16"/>
  <c r="AL165" i="16"/>
  <c r="BE165" i="16"/>
  <c r="AQ165" i="16"/>
  <c r="AP165" i="16"/>
  <c r="AP171" i="16"/>
  <c r="AL171" i="16"/>
  <c r="BE171" i="16"/>
  <c r="AX177" i="16"/>
  <c r="AK177" i="16"/>
  <c r="AM177" i="16" s="1"/>
  <c r="AQ177" i="16"/>
  <c r="AX150" i="16"/>
  <c r="AP153" i="16"/>
  <c r="AL154" i="16"/>
  <c r="AK158" i="16"/>
  <c r="AM158" i="16" s="1"/>
  <c r="AO158" i="16"/>
  <c r="AO160" i="16"/>
  <c r="AK160" i="16"/>
  <c r="AM160" i="16" s="1"/>
  <c r="AK162" i="16"/>
  <c r="AM162" i="16" s="1"/>
  <c r="AO162" i="16"/>
  <c r="AO164" i="16"/>
  <c r="AK164" i="16"/>
  <c r="AM164" i="16" s="1"/>
  <c r="AX166" i="16"/>
  <c r="AK166" i="16"/>
  <c r="AM166" i="16" s="1"/>
  <c r="AO168" i="16"/>
  <c r="AX168" i="16"/>
  <c r="BE168" i="16"/>
  <c r="AO170" i="16"/>
  <c r="AO171" i="16"/>
  <c r="AX171" i="16"/>
  <c r="AK171" i="16"/>
  <c r="AM171" i="16" s="1"/>
  <c r="AP175" i="16"/>
  <c r="AL175" i="16"/>
  <c r="BE175" i="16"/>
  <c r="AL161" i="16"/>
  <c r="AP163" i="16"/>
  <c r="AL168" i="16"/>
  <c r="AP170" i="16"/>
  <c r="AL172" i="16"/>
  <c r="AP174" i="16"/>
  <c r="AP177" i="16"/>
  <c r="AL181" i="16"/>
  <c r="BE181" i="16"/>
  <c r="AQ181" i="16"/>
  <c r="AP181" i="16"/>
  <c r="AL191" i="16"/>
  <c r="BE191" i="16"/>
  <c r="AQ191" i="16"/>
  <c r="AQ193" i="16"/>
  <c r="AP193" i="16"/>
  <c r="BE193" i="16"/>
  <c r="BE194" i="16"/>
  <c r="AQ194" i="16"/>
  <c r="AP194" i="16"/>
  <c r="AL194" i="16"/>
  <c r="AQ163" i="16"/>
  <c r="AO165" i="16"/>
  <c r="AO169" i="16"/>
  <c r="AO173" i="16"/>
  <c r="AO176" i="16"/>
  <c r="AX187" i="16"/>
  <c r="AK187" i="16"/>
  <c r="AM187" i="16" s="1"/>
  <c r="AO187" i="16"/>
  <c r="AO189" i="16"/>
  <c r="AX189" i="16"/>
  <c r="AK189" i="16"/>
  <c r="AM189" i="16" s="1"/>
  <c r="AK190" i="16"/>
  <c r="AM190" i="16" s="1"/>
  <c r="AO190" i="16"/>
  <c r="AX190" i="16"/>
  <c r="AK194" i="16"/>
  <c r="AM194" i="16" s="1"/>
  <c r="AL187" i="16"/>
  <c r="BE187" i="16"/>
  <c r="AQ187" i="16"/>
  <c r="AQ189" i="16"/>
  <c r="AP189" i="16"/>
  <c r="BE189" i="16"/>
  <c r="BE190" i="16"/>
  <c r="AQ190" i="16"/>
  <c r="AP190" i="16"/>
  <c r="AL190" i="16"/>
  <c r="AL192" i="16"/>
  <c r="BE192" i="16"/>
  <c r="AQ192" i="16"/>
  <c r="AP192" i="16"/>
  <c r="AX184" i="16"/>
  <c r="AK184" i="16"/>
  <c r="AM184" i="16" s="1"/>
  <c r="AO184" i="16"/>
  <c r="AO186" i="16"/>
  <c r="AX186" i="16"/>
  <c r="AK186" i="16"/>
  <c r="AM186" i="16" s="1"/>
  <c r="AP161" i="16"/>
  <c r="AP168" i="16"/>
  <c r="AP172" i="16"/>
  <c r="AK179" i="16"/>
  <c r="AM179" i="16" s="1"/>
  <c r="AO179" i="16"/>
  <c r="AL184" i="16"/>
  <c r="BE184" i="16"/>
  <c r="AQ184" i="16"/>
  <c r="AQ186" i="16"/>
  <c r="AP186" i="16"/>
  <c r="BE186" i="16"/>
  <c r="AL188" i="16"/>
  <c r="BE188" i="16"/>
  <c r="AQ188" i="16"/>
  <c r="AP188" i="16"/>
  <c r="BE179" i="16"/>
  <c r="AQ179" i="16"/>
  <c r="AL179" i="16"/>
  <c r="AX180" i="16"/>
  <c r="AK180" i="16"/>
  <c r="AM180" i="16" s="1"/>
  <c r="AO180" i="16"/>
  <c r="AO182" i="16"/>
  <c r="AX182" i="16"/>
  <c r="AK182" i="16"/>
  <c r="AM182" i="16" s="1"/>
  <c r="AK183" i="16"/>
  <c r="AM183" i="16" s="1"/>
  <c r="AO183" i="16"/>
  <c r="AX183" i="16"/>
  <c r="AL186" i="16"/>
  <c r="AL180" i="16"/>
  <c r="BE180" i="16"/>
  <c r="AQ180" i="16"/>
  <c r="AQ182" i="16"/>
  <c r="AP182" i="16"/>
  <c r="BE182" i="16"/>
  <c r="BE183" i="16"/>
  <c r="AQ183" i="16"/>
  <c r="AP183" i="16"/>
  <c r="AL183" i="16"/>
  <c r="AL185" i="16"/>
  <c r="BE185" i="16"/>
  <c r="AQ185" i="16"/>
  <c r="AP185" i="16"/>
  <c r="AK181" i="16"/>
  <c r="AM181" i="16" s="1"/>
  <c r="AK185" i="16"/>
  <c r="AM185" i="16" s="1"/>
  <c r="AK188" i="16"/>
  <c r="AM188" i="16" s="1"/>
  <c r="AK192" i="16"/>
  <c r="AM192" i="16" s="1"/>
  <c r="AO194" i="16"/>
  <c r="AX181" i="16"/>
  <c r="AX185" i="16"/>
  <c r="AX188" i="16"/>
  <c r="AX192" i="16"/>
  <c r="AL246" i="1"/>
  <c r="BC246" i="1" s="1"/>
  <c r="BD246" i="1" s="1"/>
  <c r="AL243" i="1"/>
  <c r="BC243" i="1" s="1"/>
  <c r="BD243" i="1" s="1"/>
  <c r="AQ242" i="1"/>
  <c r="BE242" i="1"/>
  <c r="AO245" i="1"/>
  <c r="AK245" i="1"/>
  <c r="AM245" i="1" s="1"/>
  <c r="AN246" i="1"/>
  <c r="AO248" i="1"/>
  <c r="AK248" i="1"/>
  <c r="AM248" i="1" s="1"/>
  <c r="AX248" i="1"/>
  <c r="AQ248" i="1"/>
  <c r="AL248" i="1"/>
  <c r="BC248" i="1" s="1"/>
  <c r="BD248" i="1" s="1"/>
  <c r="AO250" i="1"/>
  <c r="AK250" i="1"/>
  <c r="AM250" i="1" s="1"/>
  <c r="AQ250" i="1"/>
  <c r="BE250" i="1"/>
  <c r="AO243" i="1"/>
  <c r="AK243" i="1"/>
  <c r="AM243" i="1" s="1"/>
  <c r="AX243" i="1"/>
  <c r="AQ247" i="1"/>
  <c r="AQ245" i="1"/>
  <c r="BE245" i="1"/>
  <c r="AQ243" i="1"/>
  <c r="AK242" i="1"/>
  <c r="AM242" i="1" s="1"/>
  <c r="AL245" i="1"/>
  <c r="BC245" i="1" s="1"/>
  <c r="BD245" i="1" s="1"/>
  <c r="AQ246" i="1"/>
  <c r="BE243" i="1"/>
  <c r="AP244" i="1"/>
  <c r="AQ244" i="1"/>
  <c r="AL244" i="1"/>
  <c r="BE244" i="1"/>
  <c r="BE248" i="1"/>
  <c r="BE246" i="1"/>
  <c r="AO249" i="1"/>
  <c r="AX249" i="1"/>
  <c r="AK249" i="1"/>
  <c r="AM249" i="1" s="1"/>
  <c r="AL249" i="1"/>
  <c r="AP249" i="1"/>
  <c r="BE249" i="1"/>
  <c r="AQ249" i="1"/>
  <c r="AX246" i="1"/>
  <c r="AK246" i="1"/>
  <c r="AM246" i="1" s="1"/>
  <c r="AO246" i="1"/>
  <c r="AL242" i="1"/>
  <c r="AX245" i="1"/>
  <c r="AP246" i="1"/>
  <c r="AK247" i="1"/>
  <c r="AM247" i="1" s="1"/>
  <c r="BE247" i="1"/>
  <c r="AL250" i="1"/>
  <c r="AX242" i="1"/>
  <c r="AP243" i="1"/>
  <c r="AK244" i="1"/>
  <c r="AM244" i="1" s="1"/>
  <c r="AL247" i="1"/>
  <c r="AX250" i="1"/>
  <c r="AX247" i="1"/>
  <c r="AP248" i="1"/>
  <c r="AX244" i="1"/>
  <c r="AP245" i="1"/>
  <c r="AP242" i="1"/>
  <c r="AP250" i="1"/>
  <c r="AP247" i="1"/>
  <c r="AK3" i="11"/>
  <c r="AQ3" i="11"/>
  <c r="AP3" i="11"/>
  <c r="AH231" i="1"/>
  <c r="AG231" i="1"/>
  <c r="AY230" i="1"/>
  <c r="BA230" i="1" s="1"/>
  <c r="BB230" i="1" s="1"/>
  <c r="AR230" i="1"/>
  <c r="AT230" i="1" s="1"/>
  <c r="AU230" i="1" s="1"/>
  <c r="AH230" i="1"/>
  <c r="AJ230" i="1" s="1"/>
  <c r="AG230" i="1"/>
  <c r="AI230" i="1" s="1"/>
  <c r="AY229" i="1"/>
  <c r="BA229" i="1" s="1"/>
  <c r="BB229" i="1" s="1"/>
  <c r="AR229" i="1"/>
  <c r="AT229" i="1" s="1"/>
  <c r="AU229" i="1" s="1"/>
  <c r="AH229" i="1"/>
  <c r="AJ229" i="1" s="1"/>
  <c r="AG229" i="1"/>
  <c r="AI229" i="1" s="1"/>
  <c r="AO229" i="1" s="1"/>
  <c r="AY228" i="1"/>
  <c r="BA228" i="1" s="1"/>
  <c r="BB228" i="1" s="1"/>
  <c r="AR228" i="1"/>
  <c r="AT228" i="1" s="1"/>
  <c r="AU228" i="1" s="1"/>
  <c r="AH228" i="1"/>
  <c r="AJ228" i="1" s="1"/>
  <c r="AG228" i="1"/>
  <c r="AI228" i="1" s="1"/>
  <c r="AK228" i="1" s="1"/>
  <c r="AM228" i="1" s="1"/>
  <c r="AY223" i="1"/>
  <c r="BA223" i="1" s="1"/>
  <c r="BB223" i="1" s="1"/>
  <c r="AR223" i="1"/>
  <c r="AT223" i="1" s="1"/>
  <c r="AU223" i="1" s="1"/>
  <c r="AH223" i="1"/>
  <c r="AJ223" i="1" s="1"/>
  <c r="AG223" i="1"/>
  <c r="AI223" i="1" s="1"/>
  <c r="AH222" i="1"/>
  <c r="AG222" i="1"/>
  <c r="AY220" i="1"/>
  <c r="BA220" i="1" s="1"/>
  <c r="BB220" i="1" s="1"/>
  <c r="AR220" i="1"/>
  <c r="AT220" i="1" s="1"/>
  <c r="AU220" i="1" s="1"/>
  <c r="AH220" i="1"/>
  <c r="AJ220" i="1" s="1"/>
  <c r="AG220" i="1"/>
  <c r="AI220" i="1" s="1"/>
  <c r="AY219" i="1"/>
  <c r="BA219" i="1" s="1"/>
  <c r="BB219" i="1" s="1"/>
  <c r="AR219" i="1"/>
  <c r="AT219" i="1" s="1"/>
  <c r="AU219" i="1" s="1"/>
  <c r="AH219" i="1"/>
  <c r="AJ219" i="1" s="1"/>
  <c r="AP219" i="1" s="1"/>
  <c r="AG219" i="1"/>
  <c r="AI219" i="1" s="1"/>
  <c r="AY218" i="1"/>
  <c r="BA218" i="1" s="1"/>
  <c r="BB218" i="1" s="1"/>
  <c r="AR218" i="1"/>
  <c r="AT218" i="1" s="1"/>
  <c r="AU218" i="1" s="1"/>
  <c r="AH218" i="1"/>
  <c r="AJ218" i="1" s="1"/>
  <c r="AG218" i="1"/>
  <c r="AI218" i="1" s="1"/>
  <c r="AY217" i="1"/>
  <c r="BA217" i="1" s="1"/>
  <c r="BB217" i="1" s="1"/>
  <c r="AR217" i="1"/>
  <c r="AT217" i="1" s="1"/>
  <c r="AU217" i="1" s="1"/>
  <c r="AH217" i="1"/>
  <c r="AJ217" i="1" s="1"/>
  <c r="AG217" i="1"/>
  <c r="AI217" i="1" s="1"/>
  <c r="AY216" i="1"/>
  <c r="BA216" i="1" s="1"/>
  <c r="BB216" i="1" s="1"/>
  <c r="AR216" i="1"/>
  <c r="AT216" i="1" s="1"/>
  <c r="AU216" i="1" s="1"/>
  <c r="AH216" i="1"/>
  <c r="AJ216" i="1" s="1"/>
  <c r="AG216" i="1"/>
  <c r="AI216" i="1" s="1"/>
  <c r="AO216" i="1" s="1"/>
  <c r="AY215" i="1"/>
  <c r="BA215" i="1" s="1"/>
  <c r="BB215" i="1" s="1"/>
  <c r="AR215" i="1"/>
  <c r="AT215" i="1" s="1"/>
  <c r="AU215" i="1" s="1"/>
  <c r="AH215" i="1"/>
  <c r="AJ215" i="1" s="1"/>
  <c r="AL215" i="1" s="1"/>
  <c r="AG215" i="1"/>
  <c r="AI215" i="1" s="1"/>
  <c r="AY214" i="1"/>
  <c r="BA214" i="1" s="1"/>
  <c r="BB214" i="1" s="1"/>
  <c r="AR214" i="1"/>
  <c r="AT214" i="1" s="1"/>
  <c r="AU214" i="1" s="1"/>
  <c r="AH214" i="1"/>
  <c r="AJ214" i="1" s="1"/>
  <c r="AG214" i="1"/>
  <c r="AI214" i="1" s="1"/>
  <c r="Z231" i="1"/>
  <c r="AY231" i="1"/>
  <c r="BA231" i="1" s="1"/>
  <c r="BB231" i="1" s="1"/>
  <c r="X231" i="1"/>
  <c r="W231" i="1"/>
  <c r="AR231" i="1" s="1"/>
  <c r="AT231" i="1" s="1"/>
  <c r="AU231" i="1" s="1"/>
  <c r="AY222" i="1"/>
  <c r="BA222" i="1" s="1"/>
  <c r="BB222" i="1" s="1"/>
  <c r="AR222" i="1"/>
  <c r="AT222" i="1" s="1"/>
  <c r="AU222" i="1" s="1"/>
  <c r="AY211" i="1"/>
  <c r="BA211" i="1" s="1"/>
  <c r="BB211" i="1" s="1"/>
  <c r="AR211" i="1"/>
  <c r="AT211" i="1" s="1"/>
  <c r="AU211" i="1" s="1"/>
  <c r="AH211" i="1"/>
  <c r="AJ211" i="1" s="1"/>
  <c r="AP211" i="1" s="1"/>
  <c r="AG211" i="1"/>
  <c r="AI211" i="1" s="1"/>
  <c r="AO211" i="1" s="1"/>
  <c r="AY210" i="1"/>
  <c r="BA210" i="1" s="1"/>
  <c r="BB210" i="1" s="1"/>
  <c r="AR210" i="1"/>
  <c r="AT210" i="1" s="1"/>
  <c r="AU210" i="1" s="1"/>
  <c r="AH210" i="1"/>
  <c r="AJ210" i="1" s="1"/>
  <c r="AP210" i="1" s="1"/>
  <c r="AG210" i="1"/>
  <c r="AI210" i="1" s="1"/>
  <c r="AY209" i="1"/>
  <c r="BA209" i="1" s="1"/>
  <c r="BB209" i="1" s="1"/>
  <c r="AR209" i="1"/>
  <c r="AT209" i="1" s="1"/>
  <c r="AU209" i="1" s="1"/>
  <c r="AH209" i="1"/>
  <c r="AJ209" i="1" s="1"/>
  <c r="AG209" i="1"/>
  <c r="AI209" i="1" s="1"/>
  <c r="AY208" i="1"/>
  <c r="BA208" i="1" s="1"/>
  <c r="BB208" i="1" s="1"/>
  <c r="AR208" i="1"/>
  <c r="AT208" i="1" s="1"/>
  <c r="AU208" i="1" s="1"/>
  <c r="AH208" i="1"/>
  <c r="AJ208" i="1" s="1"/>
  <c r="AL208" i="1" s="1"/>
  <c r="AG208" i="1"/>
  <c r="AI208" i="1" s="1"/>
  <c r="AO208" i="1" s="1"/>
  <c r="AY207" i="1"/>
  <c r="BA207" i="1" s="1"/>
  <c r="BB207" i="1" s="1"/>
  <c r="AR207" i="1"/>
  <c r="AT207" i="1" s="1"/>
  <c r="AU207" i="1" s="1"/>
  <c r="AH207" i="1"/>
  <c r="AJ207" i="1" s="1"/>
  <c r="AG207" i="1"/>
  <c r="AI207" i="1" s="1"/>
  <c r="AY206" i="1"/>
  <c r="BA206" i="1" s="1"/>
  <c r="BB206" i="1" s="1"/>
  <c r="AR206" i="1"/>
  <c r="AT206" i="1" s="1"/>
  <c r="AU206" i="1" s="1"/>
  <c r="AH206" i="1"/>
  <c r="AJ206" i="1" s="1"/>
  <c r="AG206" i="1"/>
  <c r="AI206" i="1" s="1"/>
  <c r="AO206" i="1" s="1"/>
  <c r="AY205" i="1"/>
  <c r="BA205" i="1" s="1"/>
  <c r="BB205" i="1" s="1"/>
  <c r="AR205" i="1"/>
  <c r="AT205" i="1" s="1"/>
  <c r="AU205" i="1" s="1"/>
  <c r="AH205" i="1"/>
  <c r="AJ205" i="1" s="1"/>
  <c r="AP205" i="1" s="1"/>
  <c r="AG205" i="1"/>
  <c r="AI205" i="1" s="1"/>
  <c r="AO205" i="1" s="1"/>
  <c r="AY204" i="1"/>
  <c r="BA204" i="1" s="1"/>
  <c r="BB204" i="1" s="1"/>
  <c r="AR204" i="1"/>
  <c r="AT204" i="1" s="1"/>
  <c r="AU204" i="1" s="1"/>
  <c r="AH204" i="1"/>
  <c r="AJ204" i="1" s="1"/>
  <c r="AP204" i="1" s="1"/>
  <c r="AG204" i="1"/>
  <c r="AI204" i="1" s="1"/>
  <c r="AY203" i="1"/>
  <c r="BA203" i="1" s="1"/>
  <c r="BB203" i="1" s="1"/>
  <c r="AR203" i="1"/>
  <c r="AT203" i="1" s="1"/>
  <c r="AU203" i="1" s="1"/>
  <c r="AH203" i="1"/>
  <c r="AJ203" i="1" s="1"/>
  <c r="AG203" i="1"/>
  <c r="AI203" i="1" s="1"/>
  <c r="AY202" i="1"/>
  <c r="BA202" i="1" s="1"/>
  <c r="BB202" i="1" s="1"/>
  <c r="AR202" i="1"/>
  <c r="AT202" i="1" s="1"/>
  <c r="AU202" i="1" s="1"/>
  <c r="AH202" i="1"/>
  <c r="AJ202" i="1" s="1"/>
  <c r="AG202" i="1"/>
  <c r="AI202" i="1" s="1"/>
  <c r="AY201" i="1"/>
  <c r="BA201" i="1" s="1"/>
  <c r="BB201" i="1" s="1"/>
  <c r="AR201" i="1"/>
  <c r="AT201" i="1" s="1"/>
  <c r="AU201" i="1" s="1"/>
  <c r="AH201" i="1"/>
  <c r="AJ201" i="1" s="1"/>
  <c r="AP201" i="1" s="1"/>
  <c r="AG201" i="1"/>
  <c r="AI201" i="1" s="1"/>
  <c r="AY200" i="1"/>
  <c r="BA200" i="1" s="1"/>
  <c r="BB200" i="1" s="1"/>
  <c r="AR200" i="1"/>
  <c r="AT200" i="1" s="1"/>
  <c r="AU200" i="1" s="1"/>
  <c r="AH200" i="1"/>
  <c r="AJ200" i="1" s="1"/>
  <c r="AP200" i="1" s="1"/>
  <c r="AG200" i="1"/>
  <c r="AI200" i="1" s="1"/>
  <c r="AY199" i="1"/>
  <c r="BA199" i="1" s="1"/>
  <c r="BB199" i="1" s="1"/>
  <c r="AR199" i="1"/>
  <c r="AT199" i="1" s="1"/>
  <c r="AU199" i="1" s="1"/>
  <c r="AH199" i="1"/>
  <c r="AJ199" i="1" s="1"/>
  <c r="AG199" i="1"/>
  <c r="AI199" i="1" s="1"/>
  <c r="AY198" i="1"/>
  <c r="BA198" i="1" s="1"/>
  <c r="BB198" i="1" s="1"/>
  <c r="AR198" i="1"/>
  <c r="AT198" i="1" s="1"/>
  <c r="AU198" i="1" s="1"/>
  <c r="AH198" i="1"/>
  <c r="AJ198" i="1" s="1"/>
  <c r="AP198" i="1" s="1"/>
  <c r="AG198" i="1"/>
  <c r="AI198" i="1" s="1"/>
  <c r="AO198" i="1" s="1"/>
  <c r="AY197" i="1"/>
  <c r="BA197" i="1" s="1"/>
  <c r="BB197" i="1" s="1"/>
  <c r="AR197" i="1"/>
  <c r="AT197" i="1" s="1"/>
  <c r="AU197" i="1" s="1"/>
  <c r="AH197" i="1"/>
  <c r="AJ197" i="1" s="1"/>
  <c r="AG197" i="1"/>
  <c r="AI197" i="1" s="1"/>
  <c r="AO197" i="1" s="1"/>
  <c r="AY196" i="1"/>
  <c r="BA196" i="1" s="1"/>
  <c r="BB196" i="1" s="1"/>
  <c r="AR196" i="1"/>
  <c r="AT196" i="1" s="1"/>
  <c r="AU196" i="1" s="1"/>
  <c r="AH196" i="1"/>
  <c r="AJ196" i="1" s="1"/>
  <c r="AG196" i="1"/>
  <c r="AI196" i="1" s="1"/>
  <c r="AY195" i="1"/>
  <c r="BA195" i="1" s="1"/>
  <c r="BB195" i="1" s="1"/>
  <c r="AR195" i="1"/>
  <c r="AT195" i="1" s="1"/>
  <c r="AU195" i="1" s="1"/>
  <c r="AH195" i="1"/>
  <c r="AJ195" i="1" s="1"/>
  <c r="AG195" i="1"/>
  <c r="AI195" i="1" s="1"/>
  <c r="AO195" i="1" s="1"/>
  <c r="AY194" i="1"/>
  <c r="BA194" i="1" s="1"/>
  <c r="BB194" i="1" s="1"/>
  <c r="AR194" i="1"/>
  <c r="AT194" i="1" s="1"/>
  <c r="AU194" i="1" s="1"/>
  <c r="AH194" i="1"/>
  <c r="AJ194" i="1" s="1"/>
  <c r="AG194" i="1"/>
  <c r="AI194" i="1" s="1"/>
  <c r="AY193" i="1"/>
  <c r="BA193" i="1" s="1"/>
  <c r="BB193" i="1" s="1"/>
  <c r="AR193" i="1"/>
  <c r="AT193" i="1" s="1"/>
  <c r="AU193" i="1" s="1"/>
  <c r="AH193" i="1"/>
  <c r="AJ193" i="1" s="1"/>
  <c r="AP193" i="1" s="1"/>
  <c r="AG193" i="1"/>
  <c r="AI193" i="1" s="1"/>
  <c r="AY192" i="1"/>
  <c r="BA192" i="1" s="1"/>
  <c r="BB192" i="1" s="1"/>
  <c r="AR192" i="1"/>
  <c r="AT192" i="1" s="1"/>
  <c r="AU192" i="1" s="1"/>
  <c r="AH192" i="1"/>
  <c r="AJ192" i="1" s="1"/>
  <c r="AL192" i="1" s="1"/>
  <c r="AG192" i="1"/>
  <c r="AI192" i="1" s="1"/>
  <c r="AY191" i="1"/>
  <c r="BA191" i="1" s="1"/>
  <c r="BB191" i="1" s="1"/>
  <c r="AR191" i="1"/>
  <c r="AT191" i="1" s="1"/>
  <c r="AU191" i="1" s="1"/>
  <c r="AH191" i="1"/>
  <c r="AJ191" i="1" s="1"/>
  <c r="AG191" i="1"/>
  <c r="AI191" i="1" s="1"/>
  <c r="AK191" i="1" s="1"/>
  <c r="AM191" i="1" s="1"/>
  <c r="AY190" i="1"/>
  <c r="BA190" i="1" s="1"/>
  <c r="BB190" i="1" s="1"/>
  <c r="AR190" i="1"/>
  <c r="AT190" i="1" s="1"/>
  <c r="AU190" i="1" s="1"/>
  <c r="AH190" i="1"/>
  <c r="AJ190" i="1" s="1"/>
  <c r="AP190" i="1" s="1"/>
  <c r="AG190" i="1"/>
  <c r="AI190" i="1" s="1"/>
  <c r="AK190" i="1" s="1"/>
  <c r="AM190" i="1" s="1"/>
  <c r="AY189" i="1"/>
  <c r="BA189" i="1" s="1"/>
  <c r="BB189" i="1" s="1"/>
  <c r="AR189" i="1"/>
  <c r="AT189" i="1" s="1"/>
  <c r="AU189" i="1" s="1"/>
  <c r="AH189" i="1"/>
  <c r="AJ189" i="1" s="1"/>
  <c r="AP189" i="1" s="1"/>
  <c r="AG189" i="1"/>
  <c r="AI189" i="1" s="1"/>
  <c r="AY188" i="1"/>
  <c r="BA188" i="1" s="1"/>
  <c r="BB188" i="1" s="1"/>
  <c r="AR188" i="1"/>
  <c r="AT188" i="1" s="1"/>
  <c r="AU188" i="1" s="1"/>
  <c r="AH188" i="1"/>
  <c r="AJ188" i="1" s="1"/>
  <c r="AG188" i="1"/>
  <c r="AI188" i="1" s="1"/>
  <c r="AY187" i="1"/>
  <c r="BA187" i="1" s="1"/>
  <c r="BB187" i="1" s="1"/>
  <c r="AR187" i="1"/>
  <c r="AT187" i="1" s="1"/>
  <c r="AU187" i="1" s="1"/>
  <c r="AH187" i="1"/>
  <c r="AJ187" i="1" s="1"/>
  <c r="AG187" i="1"/>
  <c r="AI187" i="1" s="1"/>
  <c r="AO187" i="1" s="1"/>
  <c r="AY186" i="1"/>
  <c r="BA186" i="1" s="1"/>
  <c r="BB186" i="1" s="1"/>
  <c r="AR186" i="1"/>
  <c r="AT186" i="1" s="1"/>
  <c r="AU186" i="1" s="1"/>
  <c r="AH186" i="1"/>
  <c r="AJ186" i="1" s="1"/>
  <c r="AP186" i="1" s="1"/>
  <c r="AG186" i="1"/>
  <c r="AI186" i="1" s="1"/>
  <c r="AY185" i="1"/>
  <c r="BA185" i="1" s="1"/>
  <c r="BB185" i="1" s="1"/>
  <c r="AR185" i="1"/>
  <c r="AT185" i="1" s="1"/>
  <c r="AU185" i="1" s="1"/>
  <c r="AH185" i="1"/>
  <c r="AJ185" i="1" s="1"/>
  <c r="AP185" i="1" s="1"/>
  <c r="AG185" i="1"/>
  <c r="AI185" i="1" s="1"/>
  <c r="AY184" i="1"/>
  <c r="BA184" i="1" s="1"/>
  <c r="BB184" i="1" s="1"/>
  <c r="AR184" i="1"/>
  <c r="AT184" i="1" s="1"/>
  <c r="AU184" i="1" s="1"/>
  <c r="AH184" i="1"/>
  <c r="AJ184" i="1" s="1"/>
  <c r="AG184" i="1"/>
  <c r="AI184" i="1" s="1"/>
  <c r="AY183" i="1"/>
  <c r="BA183" i="1" s="1"/>
  <c r="BB183" i="1" s="1"/>
  <c r="AR183" i="1"/>
  <c r="AT183" i="1" s="1"/>
  <c r="AU183" i="1" s="1"/>
  <c r="AH183" i="1"/>
  <c r="AJ183" i="1" s="1"/>
  <c r="AG183" i="1"/>
  <c r="AI183" i="1" s="1"/>
  <c r="AO183" i="1" s="1"/>
  <c r="AY182" i="1"/>
  <c r="BA182" i="1" s="1"/>
  <c r="BB182" i="1" s="1"/>
  <c r="AR182" i="1"/>
  <c r="AT182" i="1" s="1"/>
  <c r="AU182" i="1" s="1"/>
  <c r="AH182" i="1"/>
  <c r="AJ182" i="1" s="1"/>
  <c r="AG182" i="1"/>
  <c r="AI182" i="1" s="1"/>
  <c r="AY181" i="1"/>
  <c r="BA181" i="1" s="1"/>
  <c r="BB181" i="1" s="1"/>
  <c r="AR181" i="1"/>
  <c r="AT181" i="1" s="1"/>
  <c r="AU181" i="1" s="1"/>
  <c r="AH181" i="1"/>
  <c r="AJ181" i="1" s="1"/>
  <c r="AP181" i="1" s="1"/>
  <c r="AG181" i="1"/>
  <c r="AI181" i="1" s="1"/>
  <c r="AY180" i="1"/>
  <c r="BA180" i="1" s="1"/>
  <c r="BB180" i="1" s="1"/>
  <c r="AR180" i="1"/>
  <c r="AT180" i="1" s="1"/>
  <c r="AU180" i="1" s="1"/>
  <c r="AH180" i="1"/>
  <c r="AJ180" i="1" s="1"/>
  <c r="AG180" i="1"/>
  <c r="AI180" i="1" s="1"/>
  <c r="AY179" i="1"/>
  <c r="BA179" i="1" s="1"/>
  <c r="BB179" i="1" s="1"/>
  <c r="AR179" i="1"/>
  <c r="AT179" i="1" s="1"/>
  <c r="AU179" i="1" s="1"/>
  <c r="AH179" i="1"/>
  <c r="AJ179" i="1" s="1"/>
  <c r="AG179" i="1"/>
  <c r="AI179" i="1" s="1"/>
  <c r="AO179" i="1" s="1"/>
  <c r="AY178" i="1"/>
  <c r="BA178" i="1" s="1"/>
  <c r="BB178" i="1" s="1"/>
  <c r="AR178" i="1"/>
  <c r="AT178" i="1" s="1"/>
  <c r="AU178" i="1" s="1"/>
  <c r="AH178" i="1"/>
  <c r="AJ178" i="1" s="1"/>
  <c r="AG178" i="1"/>
  <c r="AI178" i="1" s="1"/>
  <c r="AK178" i="1" s="1"/>
  <c r="AM178" i="1" s="1"/>
  <c r="AY177" i="1"/>
  <c r="BA177" i="1" s="1"/>
  <c r="BB177" i="1" s="1"/>
  <c r="AR177" i="1"/>
  <c r="AT177" i="1" s="1"/>
  <c r="AU177" i="1" s="1"/>
  <c r="AH177" i="1"/>
  <c r="AJ177" i="1" s="1"/>
  <c r="AG177" i="1"/>
  <c r="AI177" i="1" s="1"/>
  <c r="AY176" i="1"/>
  <c r="BA176" i="1" s="1"/>
  <c r="BB176" i="1" s="1"/>
  <c r="AR176" i="1"/>
  <c r="AT176" i="1" s="1"/>
  <c r="AU176" i="1" s="1"/>
  <c r="AH176" i="1"/>
  <c r="AJ176" i="1" s="1"/>
  <c r="AG176" i="1"/>
  <c r="AI176" i="1" s="1"/>
  <c r="AK176" i="1" s="1"/>
  <c r="AM176" i="1" s="1"/>
  <c r="AY175" i="1"/>
  <c r="BA175" i="1" s="1"/>
  <c r="BB175" i="1" s="1"/>
  <c r="AR175" i="1"/>
  <c r="AT175" i="1" s="1"/>
  <c r="AU175" i="1" s="1"/>
  <c r="AH175" i="1"/>
  <c r="AJ175" i="1" s="1"/>
  <c r="AG175" i="1"/>
  <c r="AI175" i="1" s="1"/>
  <c r="AY174" i="1"/>
  <c r="BA174" i="1" s="1"/>
  <c r="BB174" i="1" s="1"/>
  <c r="AR174" i="1"/>
  <c r="AT174" i="1" s="1"/>
  <c r="AU174" i="1" s="1"/>
  <c r="AH174" i="1"/>
  <c r="AJ174" i="1" s="1"/>
  <c r="AP174" i="1" s="1"/>
  <c r="AG174" i="1"/>
  <c r="AI174" i="1" s="1"/>
  <c r="AY173" i="1"/>
  <c r="BA173" i="1" s="1"/>
  <c r="BB173" i="1" s="1"/>
  <c r="AR173" i="1"/>
  <c r="AT173" i="1" s="1"/>
  <c r="AU173" i="1" s="1"/>
  <c r="AH173" i="1"/>
  <c r="AJ173" i="1" s="1"/>
  <c r="AL173" i="1" s="1"/>
  <c r="AN173" i="1" s="1"/>
  <c r="AG173" i="1"/>
  <c r="AI173" i="1" s="1"/>
  <c r="AY172" i="1"/>
  <c r="BA172" i="1" s="1"/>
  <c r="BB172" i="1" s="1"/>
  <c r="AR172" i="1"/>
  <c r="AT172" i="1" s="1"/>
  <c r="AU172" i="1" s="1"/>
  <c r="AH172" i="1"/>
  <c r="AJ172" i="1" s="1"/>
  <c r="AL172" i="1" s="1"/>
  <c r="BC172" i="1" s="1"/>
  <c r="AG172" i="1"/>
  <c r="AI172" i="1" s="1"/>
  <c r="AO172" i="1" s="1"/>
  <c r="AY171" i="1"/>
  <c r="BA171" i="1" s="1"/>
  <c r="BB171" i="1" s="1"/>
  <c r="AR171" i="1"/>
  <c r="AT171" i="1" s="1"/>
  <c r="AU171" i="1" s="1"/>
  <c r="AH171" i="1"/>
  <c r="AJ171" i="1" s="1"/>
  <c r="AG171" i="1"/>
  <c r="AI171" i="1" s="1"/>
  <c r="AY170" i="1"/>
  <c r="BA170" i="1" s="1"/>
  <c r="BB170" i="1" s="1"/>
  <c r="AR170" i="1"/>
  <c r="AT170" i="1" s="1"/>
  <c r="AU170" i="1" s="1"/>
  <c r="AH170" i="1"/>
  <c r="AJ170" i="1" s="1"/>
  <c r="AG170" i="1"/>
  <c r="AI170" i="1" s="1"/>
  <c r="AK170" i="1" s="1"/>
  <c r="AM170" i="1" s="1"/>
  <c r="AY169" i="1"/>
  <c r="BA169" i="1" s="1"/>
  <c r="BB169" i="1" s="1"/>
  <c r="AR169" i="1"/>
  <c r="AT169" i="1" s="1"/>
  <c r="AU169" i="1" s="1"/>
  <c r="AH169" i="1"/>
  <c r="AJ169" i="1" s="1"/>
  <c r="AL169" i="1" s="1"/>
  <c r="AG169" i="1"/>
  <c r="AI169" i="1" s="1"/>
  <c r="AO169" i="1" s="1"/>
  <c r="AY168" i="1"/>
  <c r="BA168" i="1" s="1"/>
  <c r="BB168" i="1" s="1"/>
  <c r="AR168" i="1"/>
  <c r="AT168" i="1" s="1"/>
  <c r="AU168" i="1" s="1"/>
  <c r="AH168" i="1"/>
  <c r="AJ168" i="1" s="1"/>
  <c r="AG168" i="1"/>
  <c r="AI168" i="1" s="1"/>
  <c r="AY167" i="1"/>
  <c r="BA167" i="1" s="1"/>
  <c r="BB167" i="1" s="1"/>
  <c r="AR167" i="1"/>
  <c r="AT167" i="1" s="1"/>
  <c r="AU167" i="1" s="1"/>
  <c r="AH167" i="1"/>
  <c r="AJ167" i="1" s="1"/>
  <c r="AL167" i="1" s="1"/>
  <c r="AG167" i="1"/>
  <c r="AI167" i="1" s="1"/>
  <c r="AK167" i="1" s="1"/>
  <c r="AM167" i="1" s="1"/>
  <c r="AY166" i="1"/>
  <c r="BA166" i="1" s="1"/>
  <c r="BB166" i="1" s="1"/>
  <c r="AR166" i="1"/>
  <c r="AT166" i="1" s="1"/>
  <c r="AU166" i="1" s="1"/>
  <c r="AH166" i="1"/>
  <c r="AJ166" i="1" s="1"/>
  <c r="AP166" i="1" s="1"/>
  <c r="AG166" i="1"/>
  <c r="AI166" i="1" s="1"/>
  <c r="AY165" i="1"/>
  <c r="BA165" i="1" s="1"/>
  <c r="BB165" i="1" s="1"/>
  <c r="AR165" i="1"/>
  <c r="AT165" i="1" s="1"/>
  <c r="AU165" i="1" s="1"/>
  <c r="AH165" i="1"/>
  <c r="AJ165" i="1" s="1"/>
  <c r="AL165" i="1" s="1"/>
  <c r="BC165" i="1" s="1"/>
  <c r="AG165" i="1"/>
  <c r="AI165" i="1" s="1"/>
  <c r="AY164" i="1"/>
  <c r="BA164" i="1" s="1"/>
  <c r="BB164" i="1" s="1"/>
  <c r="AR164" i="1"/>
  <c r="AT164" i="1" s="1"/>
  <c r="AU164" i="1" s="1"/>
  <c r="AH164" i="1"/>
  <c r="AJ164" i="1" s="1"/>
  <c r="AG164" i="1"/>
  <c r="AI164" i="1" s="1"/>
  <c r="AY163" i="1"/>
  <c r="BA163" i="1" s="1"/>
  <c r="BB163" i="1" s="1"/>
  <c r="AR163" i="1"/>
  <c r="AT163" i="1" s="1"/>
  <c r="AU163" i="1" s="1"/>
  <c r="AH163" i="1"/>
  <c r="AJ163" i="1" s="1"/>
  <c r="AG163" i="1"/>
  <c r="AI163" i="1" s="1"/>
  <c r="AO163" i="1" s="1"/>
  <c r="AY162" i="1"/>
  <c r="BA162" i="1" s="1"/>
  <c r="BB162" i="1" s="1"/>
  <c r="AR162" i="1"/>
  <c r="AT162" i="1" s="1"/>
  <c r="AU162" i="1" s="1"/>
  <c r="AH162" i="1"/>
  <c r="AJ162" i="1" s="1"/>
  <c r="AG162" i="1"/>
  <c r="AI162" i="1" s="1"/>
  <c r="AK162" i="1" s="1"/>
  <c r="AM162" i="1" s="1"/>
  <c r="AY161" i="1"/>
  <c r="BA161" i="1" s="1"/>
  <c r="BB161" i="1" s="1"/>
  <c r="AR161" i="1"/>
  <c r="AT161" i="1" s="1"/>
  <c r="AU161" i="1" s="1"/>
  <c r="AH161" i="1"/>
  <c r="AJ161" i="1" s="1"/>
  <c r="AG161" i="1"/>
  <c r="AI161" i="1" s="1"/>
  <c r="AO161" i="1" s="1"/>
  <c r="AY160" i="1"/>
  <c r="BA160" i="1" s="1"/>
  <c r="BB160" i="1" s="1"/>
  <c r="AR160" i="1"/>
  <c r="AT160" i="1" s="1"/>
  <c r="AU160" i="1" s="1"/>
  <c r="AH160" i="1"/>
  <c r="AJ160" i="1" s="1"/>
  <c r="AG160" i="1"/>
  <c r="AI160" i="1" s="1"/>
  <c r="AK160" i="1" s="1"/>
  <c r="AM160" i="1" s="1"/>
  <c r="AY159" i="1"/>
  <c r="BA159" i="1" s="1"/>
  <c r="BB159" i="1" s="1"/>
  <c r="AR159" i="1"/>
  <c r="AT159" i="1" s="1"/>
  <c r="AU159" i="1" s="1"/>
  <c r="AH159" i="1"/>
  <c r="AJ159" i="1" s="1"/>
  <c r="AL159" i="1" s="1"/>
  <c r="AG159" i="1"/>
  <c r="AI159" i="1" s="1"/>
  <c r="AK159" i="1" s="1"/>
  <c r="AM159" i="1" s="1"/>
  <c r="AY158" i="1"/>
  <c r="BA158" i="1" s="1"/>
  <c r="BB158" i="1" s="1"/>
  <c r="AR158" i="1"/>
  <c r="AT158" i="1" s="1"/>
  <c r="AU158" i="1" s="1"/>
  <c r="AH158" i="1"/>
  <c r="AJ158" i="1" s="1"/>
  <c r="AP158" i="1" s="1"/>
  <c r="AG158" i="1"/>
  <c r="AI158" i="1" s="1"/>
  <c r="AY157" i="1"/>
  <c r="BA157" i="1" s="1"/>
  <c r="BB157" i="1" s="1"/>
  <c r="AR157" i="1"/>
  <c r="AT157" i="1" s="1"/>
  <c r="AU157" i="1" s="1"/>
  <c r="AH157" i="1"/>
  <c r="AJ157" i="1" s="1"/>
  <c r="AP157" i="1" s="1"/>
  <c r="AG157" i="1"/>
  <c r="AI157" i="1" s="1"/>
  <c r="AY156" i="1"/>
  <c r="BA156" i="1" s="1"/>
  <c r="BB156" i="1" s="1"/>
  <c r="AR156" i="1"/>
  <c r="AT156" i="1" s="1"/>
  <c r="AU156" i="1" s="1"/>
  <c r="AH156" i="1"/>
  <c r="AJ156" i="1" s="1"/>
  <c r="AG156" i="1"/>
  <c r="AI156" i="1" s="1"/>
  <c r="AO156" i="1" s="1"/>
  <c r="AY155" i="1"/>
  <c r="BA155" i="1" s="1"/>
  <c r="BB155" i="1" s="1"/>
  <c r="AR155" i="1"/>
  <c r="AT155" i="1" s="1"/>
  <c r="AU155" i="1" s="1"/>
  <c r="AH155" i="1"/>
  <c r="AJ155" i="1" s="1"/>
  <c r="AL155" i="1" s="1"/>
  <c r="AG155" i="1"/>
  <c r="AI155" i="1" s="1"/>
  <c r="AO155" i="1" s="1"/>
  <c r="AY154" i="1"/>
  <c r="BA154" i="1" s="1"/>
  <c r="BB154" i="1" s="1"/>
  <c r="AR154" i="1"/>
  <c r="AT154" i="1" s="1"/>
  <c r="AU154" i="1" s="1"/>
  <c r="AH154" i="1"/>
  <c r="AJ154" i="1" s="1"/>
  <c r="AL154" i="1" s="1"/>
  <c r="AG154" i="1"/>
  <c r="AI154" i="1" s="1"/>
  <c r="AY153" i="1"/>
  <c r="BA153" i="1" s="1"/>
  <c r="BB153" i="1" s="1"/>
  <c r="AR153" i="1"/>
  <c r="AT153" i="1" s="1"/>
  <c r="AU153" i="1" s="1"/>
  <c r="AH153" i="1"/>
  <c r="AJ153" i="1" s="1"/>
  <c r="AG153" i="1"/>
  <c r="AI153" i="1" s="1"/>
  <c r="AY152" i="1"/>
  <c r="BA152" i="1" s="1"/>
  <c r="BB152" i="1" s="1"/>
  <c r="AR152" i="1"/>
  <c r="AT152" i="1" s="1"/>
  <c r="AU152" i="1" s="1"/>
  <c r="AH152" i="1"/>
  <c r="AJ152" i="1" s="1"/>
  <c r="AG152" i="1"/>
  <c r="AI152" i="1" s="1"/>
  <c r="AO152" i="1" s="1"/>
  <c r="AY151" i="1"/>
  <c r="BA151" i="1" s="1"/>
  <c r="BB151" i="1" s="1"/>
  <c r="AR151" i="1"/>
  <c r="AT151" i="1" s="1"/>
  <c r="AU151" i="1" s="1"/>
  <c r="AH151" i="1"/>
  <c r="AJ151" i="1" s="1"/>
  <c r="AG151" i="1"/>
  <c r="AI151" i="1" s="1"/>
  <c r="AK151" i="1" s="1"/>
  <c r="AM151" i="1" s="1"/>
  <c r="AY150" i="1"/>
  <c r="BA150" i="1" s="1"/>
  <c r="BB150" i="1" s="1"/>
  <c r="AR150" i="1"/>
  <c r="AT150" i="1" s="1"/>
  <c r="AU150" i="1" s="1"/>
  <c r="AH150" i="1"/>
  <c r="AJ150" i="1" s="1"/>
  <c r="AG150" i="1"/>
  <c r="AI150" i="1" s="1"/>
  <c r="AY149" i="1"/>
  <c r="BA149" i="1" s="1"/>
  <c r="BB149" i="1" s="1"/>
  <c r="AR149" i="1"/>
  <c r="AT149" i="1" s="1"/>
  <c r="AU149" i="1" s="1"/>
  <c r="AH149" i="1"/>
  <c r="AJ149" i="1" s="1"/>
  <c r="AG149" i="1"/>
  <c r="AI149" i="1" s="1"/>
  <c r="AY148" i="1"/>
  <c r="BA148" i="1" s="1"/>
  <c r="BB148" i="1" s="1"/>
  <c r="AR148" i="1"/>
  <c r="AT148" i="1" s="1"/>
  <c r="AU148" i="1" s="1"/>
  <c r="AH148" i="1"/>
  <c r="AJ148" i="1" s="1"/>
  <c r="AG148" i="1"/>
  <c r="AI148" i="1" s="1"/>
  <c r="AY147" i="1"/>
  <c r="BA147" i="1" s="1"/>
  <c r="BB147" i="1" s="1"/>
  <c r="AR147" i="1"/>
  <c r="AT147" i="1" s="1"/>
  <c r="AU147" i="1" s="1"/>
  <c r="AH147" i="1"/>
  <c r="AJ147" i="1" s="1"/>
  <c r="AP147" i="1" s="1"/>
  <c r="AG147" i="1"/>
  <c r="AI147" i="1" s="1"/>
  <c r="AO147" i="1" s="1"/>
  <c r="AY146" i="1"/>
  <c r="BA146" i="1" s="1"/>
  <c r="BB146" i="1" s="1"/>
  <c r="AR146" i="1"/>
  <c r="AT146" i="1" s="1"/>
  <c r="AU146" i="1" s="1"/>
  <c r="AH146" i="1"/>
  <c r="AJ146" i="1" s="1"/>
  <c r="AG146" i="1"/>
  <c r="AI146" i="1" s="1"/>
  <c r="AK146" i="1" s="1"/>
  <c r="AM146" i="1" s="1"/>
  <c r="S3" i="1"/>
  <c r="AG57" i="1"/>
  <c r="AI57" i="1" s="1"/>
  <c r="AH57" i="1"/>
  <c r="AY145" i="1"/>
  <c r="BA145" i="1" s="1"/>
  <c r="BB145" i="1" s="1"/>
  <c r="AR145" i="1"/>
  <c r="AT145" i="1" s="1"/>
  <c r="AU145" i="1" s="1"/>
  <c r="AH145" i="1"/>
  <c r="AJ145" i="1" s="1"/>
  <c r="AP145" i="1" s="1"/>
  <c r="AG145" i="1"/>
  <c r="AI145" i="1" s="1"/>
  <c r="AY144" i="1"/>
  <c r="BA144" i="1" s="1"/>
  <c r="BB144" i="1" s="1"/>
  <c r="AR144" i="1"/>
  <c r="AT144" i="1" s="1"/>
  <c r="AU144" i="1" s="1"/>
  <c r="AH144" i="1"/>
  <c r="AJ144" i="1" s="1"/>
  <c r="AG144" i="1"/>
  <c r="AI144" i="1" s="1"/>
  <c r="AY143" i="1"/>
  <c r="BA143" i="1" s="1"/>
  <c r="BB143" i="1" s="1"/>
  <c r="AR143" i="1"/>
  <c r="AT143" i="1" s="1"/>
  <c r="AU143" i="1" s="1"/>
  <c r="AH143" i="1"/>
  <c r="AJ143" i="1" s="1"/>
  <c r="AG143" i="1"/>
  <c r="AI143" i="1" s="1"/>
  <c r="AY142" i="1"/>
  <c r="BA142" i="1" s="1"/>
  <c r="BB142" i="1" s="1"/>
  <c r="AR142" i="1"/>
  <c r="AT142" i="1" s="1"/>
  <c r="AU142" i="1" s="1"/>
  <c r="AH142" i="1"/>
  <c r="AJ142" i="1" s="1"/>
  <c r="AP142" i="1" s="1"/>
  <c r="AG142" i="1"/>
  <c r="AI142" i="1" s="1"/>
  <c r="AO142" i="1" s="1"/>
  <c r="AY141" i="1"/>
  <c r="BA141" i="1" s="1"/>
  <c r="BB141" i="1" s="1"/>
  <c r="AR141" i="1"/>
  <c r="AT141" i="1" s="1"/>
  <c r="AU141" i="1" s="1"/>
  <c r="AH141" i="1"/>
  <c r="AJ141" i="1" s="1"/>
  <c r="AP141" i="1" s="1"/>
  <c r="AG141" i="1"/>
  <c r="AI141" i="1" s="1"/>
  <c r="AY140" i="1"/>
  <c r="BA140" i="1" s="1"/>
  <c r="BB140" i="1" s="1"/>
  <c r="AR140" i="1"/>
  <c r="AT140" i="1" s="1"/>
  <c r="AU140" i="1" s="1"/>
  <c r="AH140" i="1"/>
  <c r="AJ140" i="1" s="1"/>
  <c r="AG140" i="1"/>
  <c r="AI140" i="1" s="1"/>
  <c r="AY139" i="1"/>
  <c r="BA139" i="1" s="1"/>
  <c r="BB139" i="1" s="1"/>
  <c r="AR139" i="1"/>
  <c r="AT139" i="1" s="1"/>
  <c r="AU139" i="1" s="1"/>
  <c r="AH139" i="1"/>
  <c r="AJ139" i="1" s="1"/>
  <c r="AG139" i="1"/>
  <c r="AI139" i="1" s="1"/>
  <c r="AY138" i="1"/>
  <c r="BA138" i="1" s="1"/>
  <c r="BB138" i="1" s="1"/>
  <c r="AR138" i="1"/>
  <c r="AT138" i="1" s="1"/>
  <c r="AU138" i="1" s="1"/>
  <c r="AH138" i="1"/>
  <c r="AJ138" i="1" s="1"/>
  <c r="AP138" i="1" s="1"/>
  <c r="AG138" i="1"/>
  <c r="AI138" i="1" s="1"/>
  <c r="AO138" i="1" s="1"/>
  <c r="AY137" i="1"/>
  <c r="BA137" i="1" s="1"/>
  <c r="BB137" i="1" s="1"/>
  <c r="AR137" i="1"/>
  <c r="AT137" i="1" s="1"/>
  <c r="AU137" i="1" s="1"/>
  <c r="AH137" i="1"/>
  <c r="AJ137" i="1" s="1"/>
  <c r="AP137" i="1" s="1"/>
  <c r="AG137" i="1"/>
  <c r="AI137" i="1" s="1"/>
  <c r="AY136" i="1"/>
  <c r="BA136" i="1" s="1"/>
  <c r="BB136" i="1" s="1"/>
  <c r="AR136" i="1"/>
  <c r="AT136" i="1" s="1"/>
  <c r="AU136" i="1" s="1"/>
  <c r="AH136" i="1"/>
  <c r="AJ136" i="1" s="1"/>
  <c r="AG136" i="1"/>
  <c r="AI136" i="1" s="1"/>
  <c r="AY135" i="1"/>
  <c r="BA135" i="1" s="1"/>
  <c r="BB135" i="1" s="1"/>
  <c r="AR135" i="1"/>
  <c r="AT135" i="1" s="1"/>
  <c r="AU135" i="1" s="1"/>
  <c r="AH135" i="1"/>
  <c r="AJ135" i="1" s="1"/>
  <c r="AG135" i="1"/>
  <c r="AI135" i="1" s="1"/>
  <c r="AY134" i="1"/>
  <c r="BA134" i="1" s="1"/>
  <c r="BB134" i="1" s="1"/>
  <c r="AR134" i="1"/>
  <c r="AT134" i="1" s="1"/>
  <c r="AU134" i="1" s="1"/>
  <c r="AH134" i="1"/>
  <c r="AJ134" i="1" s="1"/>
  <c r="AP134" i="1" s="1"/>
  <c r="AG134" i="1"/>
  <c r="AI134" i="1" s="1"/>
  <c r="AO134" i="1" s="1"/>
  <c r="AY133" i="1"/>
  <c r="BA133" i="1" s="1"/>
  <c r="BB133" i="1" s="1"/>
  <c r="AR133" i="1"/>
  <c r="AT133" i="1" s="1"/>
  <c r="AU133" i="1" s="1"/>
  <c r="AH133" i="1"/>
  <c r="AJ133" i="1" s="1"/>
  <c r="AP133" i="1" s="1"/>
  <c r="AG133" i="1"/>
  <c r="AI133" i="1" s="1"/>
  <c r="AY132" i="1"/>
  <c r="BA132" i="1" s="1"/>
  <c r="BB132" i="1" s="1"/>
  <c r="AR132" i="1"/>
  <c r="AT132" i="1" s="1"/>
  <c r="AU132" i="1" s="1"/>
  <c r="AH132" i="1"/>
  <c r="AJ132" i="1" s="1"/>
  <c r="AG132" i="1"/>
  <c r="AI132" i="1" s="1"/>
  <c r="AY131" i="1"/>
  <c r="BA131" i="1" s="1"/>
  <c r="BB131" i="1" s="1"/>
  <c r="AR131" i="1"/>
  <c r="AT131" i="1" s="1"/>
  <c r="AU131" i="1" s="1"/>
  <c r="AH131" i="1"/>
  <c r="AJ131" i="1" s="1"/>
  <c r="AG131" i="1"/>
  <c r="AI131" i="1" s="1"/>
  <c r="AY130" i="1"/>
  <c r="BA130" i="1" s="1"/>
  <c r="BB130" i="1" s="1"/>
  <c r="AR130" i="1"/>
  <c r="AT130" i="1" s="1"/>
  <c r="AU130" i="1" s="1"/>
  <c r="AH130" i="1"/>
  <c r="AJ130" i="1" s="1"/>
  <c r="AP130" i="1" s="1"/>
  <c r="AG130" i="1"/>
  <c r="AI130" i="1" s="1"/>
  <c r="AO130" i="1" s="1"/>
  <c r="AY129" i="1"/>
  <c r="BA129" i="1" s="1"/>
  <c r="BB129" i="1" s="1"/>
  <c r="AR129" i="1"/>
  <c r="AT129" i="1" s="1"/>
  <c r="AU129" i="1" s="1"/>
  <c r="AH129" i="1"/>
  <c r="AJ129" i="1" s="1"/>
  <c r="AP129" i="1" s="1"/>
  <c r="AG129" i="1"/>
  <c r="AI129" i="1" s="1"/>
  <c r="AY128" i="1"/>
  <c r="BA128" i="1" s="1"/>
  <c r="BB128" i="1" s="1"/>
  <c r="AR128" i="1"/>
  <c r="AT128" i="1" s="1"/>
  <c r="AU128" i="1" s="1"/>
  <c r="AH128" i="1"/>
  <c r="AJ128" i="1" s="1"/>
  <c r="AG128" i="1"/>
  <c r="AI128" i="1" s="1"/>
  <c r="AY127" i="1"/>
  <c r="BA127" i="1" s="1"/>
  <c r="BB127" i="1" s="1"/>
  <c r="AR127" i="1"/>
  <c r="AT127" i="1" s="1"/>
  <c r="AU127" i="1" s="1"/>
  <c r="AH127" i="1"/>
  <c r="AJ127" i="1" s="1"/>
  <c r="AG127" i="1"/>
  <c r="AI127" i="1" s="1"/>
  <c r="AY126" i="1"/>
  <c r="BA126" i="1" s="1"/>
  <c r="BB126" i="1" s="1"/>
  <c r="AR126" i="1"/>
  <c r="AT126" i="1" s="1"/>
  <c r="AU126" i="1" s="1"/>
  <c r="AH126" i="1"/>
  <c r="AJ126" i="1" s="1"/>
  <c r="AP126" i="1" s="1"/>
  <c r="AG126" i="1"/>
  <c r="AI126" i="1" s="1"/>
  <c r="AO126" i="1" s="1"/>
  <c r="AY125" i="1"/>
  <c r="BA125" i="1" s="1"/>
  <c r="BB125" i="1" s="1"/>
  <c r="AR125" i="1"/>
  <c r="AT125" i="1" s="1"/>
  <c r="AU125" i="1" s="1"/>
  <c r="AH125" i="1"/>
  <c r="AJ125" i="1" s="1"/>
  <c r="AP125" i="1" s="1"/>
  <c r="AG125" i="1"/>
  <c r="AI125" i="1" s="1"/>
  <c r="AY124" i="1"/>
  <c r="BA124" i="1" s="1"/>
  <c r="BB124" i="1" s="1"/>
  <c r="AR124" i="1"/>
  <c r="AT124" i="1" s="1"/>
  <c r="AU124" i="1" s="1"/>
  <c r="AH124" i="1"/>
  <c r="AJ124" i="1" s="1"/>
  <c r="AG124" i="1"/>
  <c r="AI124" i="1" s="1"/>
  <c r="AY123" i="1"/>
  <c r="BA123" i="1" s="1"/>
  <c r="BB123" i="1" s="1"/>
  <c r="AR123" i="1"/>
  <c r="AT123" i="1" s="1"/>
  <c r="AU123" i="1" s="1"/>
  <c r="AH123" i="1"/>
  <c r="AJ123" i="1" s="1"/>
  <c r="AG123" i="1"/>
  <c r="AI123" i="1" s="1"/>
  <c r="AY122" i="1"/>
  <c r="BA122" i="1" s="1"/>
  <c r="BB122" i="1" s="1"/>
  <c r="AR122" i="1"/>
  <c r="AT122" i="1" s="1"/>
  <c r="AU122" i="1" s="1"/>
  <c r="AH122" i="1"/>
  <c r="AJ122" i="1" s="1"/>
  <c r="AP122" i="1" s="1"/>
  <c r="AG122" i="1"/>
  <c r="AI122" i="1" s="1"/>
  <c r="AY121" i="1"/>
  <c r="BA121" i="1" s="1"/>
  <c r="BB121" i="1" s="1"/>
  <c r="AR121" i="1"/>
  <c r="AT121" i="1" s="1"/>
  <c r="AU121" i="1" s="1"/>
  <c r="AH121" i="1"/>
  <c r="AJ121" i="1" s="1"/>
  <c r="AG121" i="1"/>
  <c r="AI121" i="1" s="1"/>
  <c r="AY120" i="1"/>
  <c r="BA120" i="1" s="1"/>
  <c r="BB120" i="1" s="1"/>
  <c r="AR120" i="1"/>
  <c r="AT120" i="1" s="1"/>
  <c r="AU120" i="1" s="1"/>
  <c r="AH120" i="1"/>
  <c r="AJ120" i="1" s="1"/>
  <c r="AG120" i="1"/>
  <c r="AI120" i="1" s="1"/>
  <c r="AY119" i="1"/>
  <c r="BA119" i="1" s="1"/>
  <c r="BB119" i="1" s="1"/>
  <c r="AR119" i="1"/>
  <c r="AT119" i="1" s="1"/>
  <c r="AU119" i="1" s="1"/>
  <c r="AH119" i="1"/>
  <c r="AJ119" i="1" s="1"/>
  <c r="AP119" i="1" s="1"/>
  <c r="AG119" i="1"/>
  <c r="AI119" i="1" s="1"/>
  <c r="AY118" i="1"/>
  <c r="BA118" i="1" s="1"/>
  <c r="BB118" i="1" s="1"/>
  <c r="AR118" i="1"/>
  <c r="AT118" i="1" s="1"/>
  <c r="AU118" i="1" s="1"/>
  <c r="AH118" i="1"/>
  <c r="AJ118" i="1" s="1"/>
  <c r="AP118" i="1" s="1"/>
  <c r="AG118" i="1"/>
  <c r="AI118" i="1" s="1"/>
  <c r="AY117" i="1"/>
  <c r="BA117" i="1" s="1"/>
  <c r="BB117" i="1" s="1"/>
  <c r="AR117" i="1"/>
  <c r="AT117" i="1" s="1"/>
  <c r="AU117" i="1" s="1"/>
  <c r="AH117" i="1"/>
  <c r="AJ117" i="1" s="1"/>
  <c r="AG117" i="1"/>
  <c r="AI117" i="1" s="1"/>
  <c r="AY116" i="1"/>
  <c r="BA116" i="1" s="1"/>
  <c r="BB116" i="1" s="1"/>
  <c r="AR116" i="1"/>
  <c r="AT116" i="1" s="1"/>
  <c r="AU116" i="1" s="1"/>
  <c r="AH116" i="1"/>
  <c r="AJ116" i="1" s="1"/>
  <c r="AG116" i="1"/>
  <c r="AI116" i="1" s="1"/>
  <c r="AY115" i="1"/>
  <c r="BA115" i="1" s="1"/>
  <c r="BB115" i="1" s="1"/>
  <c r="AR115" i="1"/>
  <c r="AT115" i="1" s="1"/>
  <c r="AU115" i="1" s="1"/>
  <c r="AH115" i="1"/>
  <c r="AJ115" i="1" s="1"/>
  <c r="AG115" i="1"/>
  <c r="AI115" i="1" s="1"/>
  <c r="AY114" i="1"/>
  <c r="BA114" i="1" s="1"/>
  <c r="BB114" i="1" s="1"/>
  <c r="AR114" i="1"/>
  <c r="AT114" i="1" s="1"/>
  <c r="AU114" i="1" s="1"/>
  <c r="AH114" i="1"/>
  <c r="AJ114" i="1" s="1"/>
  <c r="AP114" i="1" s="1"/>
  <c r="AG114" i="1"/>
  <c r="AI114" i="1" s="1"/>
  <c r="AY113" i="1"/>
  <c r="BA113" i="1" s="1"/>
  <c r="BB113" i="1" s="1"/>
  <c r="AR113" i="1"/>
  <c r="AT113" i="1" s="1"/>
  <c r="AU113" i="1" s="1"/>
  <c r="AH113" i="1"/>
  <c r="AJ113" i="1" s="1"/>
  <c r="AG113" i="1"/>
  <c r="AI113" i="1" s="1"/>
  <c r="AY112" i="1"/>
  <c r="BA112" i="1" s="1"/>
  <c r="BB112" i="1" s="1"/>
  <c r="AR112" i="1"/>
  <c r="AT112" i="1" s="1"/>
  <c r="AU112" i="1" s="1"/>
  <c r="AH112" i="1"/>
  <c r="AJ112" i="1" s="1"/>
  <c r="AG112" i="1"/>
  <c r="AI112" i="1" s="1"/>
  <c r="AY111" i="1"/>
  <c r="BA111" i="1" s="1"/>
  <c r="BB111" i="1" s="1"/>
  <c r="AR111" i="1"/>
  <c r="AT111" i="1" s="1"/>
  <c r="AU111" i="1" s="1"/>
  <c r="AH111" i="1"/>
  <c r="AJ111" i="1" s="1"/>
  <c r="AP111" i="1" s="1"/>
  <c r="AG111" i="1"/>
  <c r="AI111" i="1" s="1"/>
  <c r="AY110" i="1"/>
  <c r="BA110" i="1" s="1"/>
  <c r="BB110" i="1" s="1"/>
  <c r="AR110" i="1"/>
  <c r="AT110" i="1" s="1"/>
  <c r="AU110" i="1" s="1"/>
  <c r="AH110" i="1"/>
  <c r="AJ110" i="1" s="1"/>
  <c r="AG110" i="1"/>
  <c r="AI110" i="1" s="1"/>
  <c r="AY109" i="1"/>
  <c r="BA109" i="1" s="1"/>
  <c r="BB109" i="1" s="1"/>
  <c r="AR109" i="1"/>
  <c r="AT109" i="1" s="1"/>
  <c r="AU109" i="1" s="1"/>
  <c r="AH109" i="1"/>
  <c r="AJ109" i="1" s="1"/>
  <c r="AP109" i="1" s="1"/>
  <c r="AG109" i="1"/>
  <c r="AI109" i="1" s="1"/>
  <c r="AY108" i="1"/>
  <c r="BA108" i="1" s="1"/>
  <c r="BB108" i="1" s="1"/>
  <c r="AR108" i="1"/>
  <c r="AT108" i="1" s="1"/>
  <c r="AU108" i="1" s="1"/>
  <c r="AH108" i="1"/>
  <c r="AJ108" i="1" s="1"/>
  <c r="AG108" i="1"/>
  <c r="AI108" i="1" s="1"/>
  <c r="AY107" i="1"/>
  <c r="BA107" i="1" s="1"/>
  <c r="BB107" i="1" s="1"/>
  <c r="AR107" i="1"/>
  <c r="AT107" i="1" s="1"/>
  <c r="AU107" i="1" s="1"/>
  <c r="AH107" i="1"/>
  <c r="AJ107" i="1" s="1"/>
  <c r="AG107" i="1"/>
  <c r="AI107" i="1" s="1"/>
  <c r="AY106" i="1"/>
  <c r="BA106" i="1" s="1"/>
  <c r="BB106" i="1" s="1"/>
  <c r="AR106" i="1"/>
  <c r="AT106" i="1" s="1"/>
  <c r="AU106" i="1" s="1"/>
  <c r="AH106" i="1"/>
  <c r="AJ106" i="1" s="1"/>
  <c r="AG106" i="1"/>
  <c r="AI106" i="1" s="1"/>
  <c r="AY105" i="1"/>
  <c r="BA105" i="1" s="1"/>
  <c r="BB105" i="1" s="1"/>
  <c r="AR105" i="1"/>
  <c r="AT105" i="1" s="1"/>
  <c r="AU105" i="1" s="1"/>
  <c r="AH105" i="1"/>
  <c r="AJ105" i="1" s="1"/>
  <c r="AP105" i="1" s="1"/>
  <c r="AG105" i="1"/>
  <c r="AI105" i="1" s="1"/>
  <c r="AY104" i="1"/>
  <c r="BA104" i="1" s="1"/>
  <c r="BB104" i="1" s="1"/>
  <c r="AR104" i="1"/>
  <c r="AT104" i="1" s="1"/>
  <c r="AU104" i="1" s="1"/>
  <c r="AH104" i="1"/>
  <c r="AJ104" i="1" s="1"/>
  <c r="AP104" i="1" s="1"/>
  <c r="AG104" i="1"/>
  <c r="AI104" i="1" s="1"/>
  <c r="AY103" i="1"/>
  <c r="BA103" i="1" s="1"/>
  <c r="BB103" i="1" s="1"/>
  <c r="AR103" i="1"/>
  <c r="AT103" i="1" s="1"/>
  <c r="AU103" i="1" s="1"/>
  <c r="AH103" i="1"/>
  <c r="AJ103" i="1" s="1"/>
  <c r="AG103" i="1"/>
  <c r="AI103" i="1" s="1"/>
  <c r="AY102" i="1"/>
  <c r="BA102" i="1" s="1"/>
  <c r="BB102" i="1" s="1"/>
  <c r="AR102" i="1"/>
  <c r="AT102" i="1" s="1"/>
  <c r="AU102" i="1" s="1"/>
  <c r="AH102" i="1"/>
  <c r="AJ102" i="1" s="1"/>
  <c r="AG102" i="1"/>
  <c r="AI102" i="1" s="1"/>
  <c r="AY101" i="1"/>
  <c r="BA101" i="1" s="1"/>
  <c r="BB101" i="1" s="1"/>
  <c r="AR101" i="1"/>
  <c r="AT101" i="1" s="1"/>
  <c r="AU101" i="1" s="1"/>
  <c r="AH101" i="1"/>
  <c r="AJ101" i="1" s="1"/>
  <c r="AP101" i="1" s="1"/>
  <c r="AG101" i="1"/>
  <c r="AI101" i="1" s="1"/>
  <c r="AY100" i="1"/>
  <c r="BA100" i="1" s="1"/>
  <c r="BB100" i="1" s="1"/>
  <c r="AH100" i="1"/>
  <c r="AJ100" i="1" s="1"/>
  <c r="AP100" i="1" s="1"/>
  <c r="AG100" i="1"/>
  <c r="AI100" i="1" s="1"/>
  <c r="AY99" i="1"/>
  <c r="BA99" i="1" s="1"/>
  <c r="BB99" i="1" s="1"/>
  <c r="AR99" i="1"/>
  <c r="AT99" i="1" s="1"/>
  <c r="AU99" i="1" s="1"/>
  <c r="AH99" i="1"/>
  <c r="AJ99" i="1" s="1"/>
  <c r="AG99" i="1"/>
  <c r="AI99" i="1" s="1"/>
  <c r="AY98" i="1"/>
  <c r="BA98" i="1" s="1"/>
  <c r="BB98" i="1" s="1"/>
  <c r="AR98" i="1"/>
  <c r="AT98" i="1" s="1"/>
  <c r="AU98" i="1" s="1"/>
  <c r="AH98" i="1"/>
  <c r="AJ98" i="1" s="1"/>
  <c r="AG98" i="1"/>
  <c r="AI98" i="1" s="1"/>
  <c r="AY97" i="1"/>
  <c r="BA97" i="1" s="1"/>
  <c r="BB97" i="1" s="1"/>
  <c r="AR97" i="1"/>
  <c r="AT97" i="1" s="1"/>
  <c r="AU97" i="1" s="1"/>
  <c r="AH97" i="1"/>
  <c r="AJ97" i="1" s="1"/>
  <c r="AP97" i="1" s="1"/>
  <c r="AG97" i="1"/>
  <c r="AI97" i="1" s="1"/>
  <c r="AY96" i="1"/>
  <c r="BA96" i="1" s="1"/>
  <c r="BB96" i="1" s="1"/>
  <c r="AR96" i="1"/>
  <c r="AT96" i="1" s="1"/>
  <c r="AU96" i="1" s="1"/>
  <c r="AH96" i="1"/>
  <c r="AJ96" i="1" s="1"/>
  <c r="AP96" i="1" s="1"/>
  <c r="AG96" i="1"/>
  <c r="AI96" i="1" s="1"/>
  <c r="AY95" i="1"/>
  <c r="BA95" i="1" s="1"/>
  <c r="BB95" i="1" s="1"/>
  <c r="AR95" i="1"/>
  <c r="AT95" i="1" s="1"/>
  <c r="AU95" i="1" s="1"/>
  <c r="AH95" i="1"/>
  <c r="AJ95" i="1" s="1"/>
  <c r="AG95" i="1"/>
  <c r="AI95" i="1" s="1"/>
  <c r="AY94" i="1"/>
  <c r="BA94" i="1" s="1"/>
  <c r="BB94" i="1" s="1"/>
  <c r="AR94" i="1"/>
  <c r="AT94" i="1" s="1"/>
  <c r="AU94" i="1" s="1"/>
  <c r="AH94" i="1"/>
  <c r="AJ94" i="1" s="1"/>
  <c r="AG94" i="1"/>
  <c r="AI94" i="1" s="1"/>
  <c r="AW11" i="11" l="1"/>
  <c r="BI56" i="11"/>
  <c r="BN56" i="11" s="1"/>
  <c r="AV60" i="11"/>
  <c r="BA60" i="11" s="1"/>
  <c r="AM11" i="11"/>
  <c r="BB72" i="11"/>
  <c r="BB19" i="11"/>
  <c r="BO75" i="11"/>
  <c r="AN36" i="11"/>
  <c r="BO90" i="11"/>
  <c r="AM20" i="11"/>
  <c r="BJ76" i="11"/>
  <c r="AM112" i="11"/>
  <c r="AM61" i="11"/>
  <c r="AN124" i="11"/>
  <c r="BI96" i="11"/>
  <c r="BN96" i="11" s="1"/>
  <c r="BI60" i="11"/>
  <c r="BN60" i="11" s="1"/>
  <c r="BO76" i="11"/>
  <c r="BJ96" i="11"/>
  <c r="AY80" i="11"/>
  <c r="AZ80" i="11" s="1"/>
  <c r="AW26" i="11"/>
  <c r="BO32" i="11"/>
  <c r="AW84" i="11"/>
  <c r="BB15" i="11"/>
  <c r="AM84" i="11"/>
  <c r="BI91" i="11"/>
  <c r="BN91" i="11" s="1"/>
  <c r="BI22" i="11"/>
  <c r="BN22" i="11" s="1"/>
  <c r="BI28" i="11"/>
  <c r="BN28" i="11" s="1"/>
  <c r="AN96" i="11"/>
  <c r="BJ56" i="11"/>
  <c r="BI81" i="11"/>
  <c r="BN81" i="11" s="1"/>
  <c r="AY3" i="11"/>
  <c r="AZ3" i="11" s="1"/>
  <c r="BJ55" i="11"/>
  <c r="BJ20" i="11"/>
  <c r="BI31" i="11"/>
  <c r="BN31" i="11" s="1"/>
  <c r="AY11" i="11"/>
  <c r="AZ11" i="11" s="1"/>
  <c r="BI20" i="11"/>
  <c r="BN20" i="11" s="1"/>
  <c r="BB11" i="11"/>
  <c r="BB52" i="11"/>
  <c r="BO20" i="11"/>
  <c r="BJ6" i="11"/>
  <c r="BJ80" i="11"/>
  <c r="AY64" i="11"/>
  <c r="AZ64" i="11" s="1"/>
  <c r="AM168" i="11"/>
  <c r="BO6" i="11"/>
  <c r="AY60" i="11"/>
  <c r="AZ60" i="11" s="1"/>
  <c r="AV15" i="11"/>
  <c r="BA15" i="11" s="1"/>
  <c r="AM148" i="11"/>
  <c r="BO80" i="11"/>
  <c r="BB24" i="11"/>
  <c r="BI39" i="11"/>
  <c r="BN39" i="11" s="1"/>
  <c r="BC28" i="11"/>
  <c r="BO28" i="11"/>
  <c r="AY96" i="11"/>
  <c r="AZ96" i="11" s="1"/>
  <c r="BJ98" i="11"/>
  <c r="AM98" i="11"/>
  <c r="AN75" i="11"/>
  <c r="AM24" i="11"/>
  <c r="AM65" i="11"/>
  <c r="AM92" i="11"/>
  <c r="AM120" i="11"/>
  <c r="BO56" i="11"/>
  <c r="BB92" i="11"/>
  <c r="BJ28" i="11"/>
  <c r="AV20" i="11"/>
  <c r="BA20" i="11" s="1"/>
  <c r="AN28" i="11"/>
  <c r="BB20" i="11"/>
  <c r="BI84" i="11"/>
  <c r="BN84" i="11" s="1"/>
  <c r="AM116" i="11"/>
  <c r="AW65" i="11"/>
  <c r="BI73" i="11"/>
  <c r="BN73" i="11" s="1"/>
  <c r="AV92" i="11"/>
  <c r="BA92" i="11" s="1"/>
  <c r="BB76" i="11"/>
  <c r="AW15" i="11"/>
  <c r="AW61" i="11"/>
  <c r="AY15" i="11"/>
  <c r="AZ15" i="11" s="1"/>
  <c r="AM172" i="11"/>
  <c r="BD92" i="11"/>
  <c r="AV19" i="11"/>
  <c r="BA19" i="11" s="1"/>
  <c r="BO68" i="11"/>
  <c r="AV11" i="11"/>
  <c r="BA11" i="11" s="1"/>
  <c r="BI18" i="11"/>
  <c r="BN18" i="11" s="1"/>
  <c r="AW43" i="11"/>
  <c r="BB56" i="11"/>
  <c r="AW74" i="11"/>
  <c r="AM103" i="11"/>
  <c r="AV24" i="11"/>
  <c r="BA24" i="11" s="1"/>
  <c r="BI36" i="11"/>
  <c r="BN36" i="11" s="1"/>
  <c r="AM180" i="11"/>
  <c r="AM19" i="11"/>
  <c r="BI6" i="11"/>
  <c r="BN6" i="11" s="1"/>
  <c r="BD15" i="11"/>
  <c r="BJ16" i="11"/>
  <c r="BB39" i="11"/>
  <c r="AY56" i="11"/>
  <c r="AZ56" i="11" s="1"/>
  <c r="BI97" i="11"/>
  <c r="BN97" i="11" s="1"/>
  <c r="BD34" i="11"/>
  <c r="AV12" i="11"/>
  <c r="BA12" i="11" s="1"/>
  <c r="AV64" i="11"/>
  <c r="BA64" i="11" s="1"/>
  <c r="AM85" i="11"/>
  <c r="BC36" i="11"/>
  <c r="BL36" i="11"/>
  <c r="BM36" i="11" s="1"/>
  <c r="BD43" i="11"/>
  <c r="AN104" i="11"/>
  <c r="BC32" i="11"/>
  <c r="BI34" i="11"/>
  <c r="BN34" i="11" s="1"/>
  <c r="BB23" i="11"/>
  <c r="BB29" i="11"/>
  <c r="BD55" i="11"/>
  <c r="AN35" i="11"/>
  <c r="AY88" i="11"/>
  <c r="AZ88" i="11" s="1"/>
  <c r="BO40" i="11"/>
  <c r="AN128" i="11"/>
  <c r="BI61" i="11"/>
  <c r="BN61" i="11" s="1"/>
  <c r="BI98" i="11"/>
  <c r="BN98" i="11" s="1"/>
  <c r="BJ67" i="11"/>
  <c r="AM55" i="11"/>
  <c r="AM82" i="11"/>
  <c r="AN40" i="11"/>
  <c r="BI27" i="11"/>
  <c r="BN27" i="11" s="1"/>
  <c r="BO88" i="11"/>
  <c r="BJ68" i="11"/>
  <c r="AN88" i="11"/>
  <c r="BO98" i="11"/>
  <c r="BI32" i="11"/>
  <c r="BN32" i="11" s="1"/>
  <c r="BO16" i="11"/>
  <c r="AM125" i="11"/>
  <c r="AY23" i="11"/>
  <c r="AZ23" i="11" s="1"/>
  <c r="BO55" i="11"/>
  <c r="AM136" i="11"/>
  <c r="BB84" i="11"/>
  <c r="BO60" i="11"/>
  <c r="BI88" i="11"/>
  <c r="BN88" i="11" s="1"/>
  <c r="AY39" i="11"/>
  <c r="AZ39" i="11" s="1"/>
  <c r="BD85" i="11"/>
  <c r="AV84" i="11"/>
  <c r="BA84" i="11" s="1"/>
  <c r="BJ60" i="11"/>
  <c r="BI65" i="11"/>
  <c r="BN65" i="11" s="1"/>
  <c r="BO67" i="11"/>
  <c r="BI25" i="11"/>
  <c r="BN25" i="11" s="1"/>
  <c r="BL66" i="11"/>
  <c r="BM66" i="11" s="1"/>
  <c r="BI43" i="11"/>
  <c r="BN43" i="11" s="1"/>
  <c r="BI77" i="11"/>
  <c r="BN77" i="11" s="1"/>
  <c r="BI26" i="11"/>
  <c r="BN26" i="11" s="1"/>
  <c r="BI74" i="11"/>
  <c r="BN74" i="11" s="1"/>
  <c r="AV21" i="11"/>
  <c r="BA21" i="11" s="1"/>
  <c r="BI53" i="11"/>
  <c r="BN53" i="11" s="1"/>
  <c r="BI37" i="11"/>
  <c r="BN37" i="11" s="1"/>
  <c r="BI33" i="11"/>
  <c r="BN33" i="11" s="1"/>
  <c r="BC6" i="11"/>
  <c r="BI44" i="11"/>
  <c r="BN44" i="11" s="1"/>
  <c r="AW98" i="11"/>
  <c r="BD26" i="11"/>
  <c r="BD88" i="11"/>
  <c r="BB88" i="11"/>
  <c r="AW88" i="11"/>
  <c r="AV88" i="11"/>
  <c r="BA88" i="11" s="1"/>
  <c r="BO35" i="11"/>
  <c r="AM34" i="11"/>
  <c r="BI51" i="11"/>
  <c r="BN51" i="11" s="1"/>
  <c r="BI45" i="11"/>
  <c r="BN45" i="11" s="1"/>
  <c r="AV68" i="11"/>
  <c r="BA68" i="11" s="1"/>
  <c r="BJ41" i="11"/>
  <c r="AW82" i="11"/>
  <c r="BI54" i="11"/>
  <c r="BN54" i="11" s="1"/>
  <c r="BD74" i="11"/>
  <c r="AN31" i="11"/>
  <c r="BO31" i="11"/>
  <c r="AV76" i="11"/>
  <c r="BA76" i="11" s="1"/>
  <c r="BI57" i="11"/>
  <c r="BN57" i="11" s="1"/>
  <c r="BI49" i="11"/>
  <c r="BN49" i="11" s="1"/>
  <c r="BI83" i="11"/>
  <c r="BN83" i="11" s="1"/>
  <c r="BI12" i="11"/>
  <c r="BN12" i="11" s="1"/>
  <c r="AV23" i="11"/>
  <c r="BA23" i="11" s="1"/>
  <c r="BI48" i="11"/>
  <c r="BN48" i="11" s="1"/>
  <c r="AM141" i="11"/>
  <c r="AY45" i="11"/>
  <c r="AZ45" i="11" s="1"/>
  <c r="AV45" i="11"/>
  <c r="BA45" i="11" s="1"/>
  <c r="BB45" i="11"/>
  <c r="BP45" i="11" s="1"/>
  <c r="AM41" i="11"/>
  <c r="BD41" i="11"/>
  <c r="AW41" i="11"/>
  <c r="AN154" i="11"/>
  <c r="BL58" i="11"/>
  <c r="BM58" i="11" s="1"/>
  <c r="BC58" i="11"/>
  <c r="AN105" i="11"/>
  <c r="BL9" i="11"/>
  <c r="BM9" i="11" s="1"/>
  <c r="AN157" i="11"/>
  <c r="BC61" i="11"/>
  <c r="BL61" i="11"/>
  <c r="BM61" i="11" s="1"/>
  <c r="AN194" i="11"/>
  <c r="BL98" i="11"/>
  <c r="BM98" i="11" s="1"/>
  <c r="BC98" i="11"/>
  <c r="AN169" i="11"/>
  <c r="BL73" i="11"/>
  <c r="BM73" i="11" s="1"/>
  <c r="BC73" i="11"/>
  <c r="AM181" i="11"/>
  <c r="AY85" i="11"/>
  <c r="AZ85" i="11" s="1"/>
  <c r="AV85" i="11"/>
  <c r="BA85" i="11" s="1"/>
  <c r="BB85" i="11"/>
  <c r="AN182" i="11"/>
  <c r="BL86" i="11"/>
  <c r="BM86" i="11" s="1"/>
  <c r="BC86" i="11"/>
  <c r="AN135" i="11"/>
  <c r="BL39" i="11"/>
  <c r="BM39" i="11" s="1"/>
  <c r="BC39" i="11"/>
  <c r="AM171" i="11"/>
  <c r="BB75" i="11"/>
  <c r="AY75" i="11"/>
  <c r="AZ75" i="11" s="1"/>
  <c r="AV75" i="11"/>
  <c r="BA75" i="11" s="1"/>
  <c r="AN171" i="11"/>
  <c r="BC75" i="11"/>
  <c r="BL75" i="11"/>
  <c r="BM75" i="11" s="1"/>
  <c r="AN142" i="11"/>
  <c r="BL46" i="11"/>
  <c r="BM46" i="11" s="1"/>
  <c r="BC46" i="11"/>
  <c r="AN118" i="11"/>
  <c r="BC22" i="11"/>
  <c r="BL22" i="11"/>
  <c r="BM22" i="11" s="1"/>
  <c r="AM126" i="11"/>
  <c r="AY30" i="11"/>
  <c r="AZ30" i="11" s="1"/>
  <c r="BB30" i="11"/>
  <c r="AV30" i="11"/>
  <c r="BA30" i="11" s="1"/>
  <c r="AN151" i="11"/>
  <c r="BC55" i="11"/>
  <c r="BI55" i="11"/>
  <c r="BN55" i="11" s="1"/>
  <c r="BL55" i="11"/>
  <c r="BM55" i="11" s="1"/>
  <c r="AM122" i="11"/>
  <c r="BB26" i="11"/>
  <c r="AY26" i="11"/>
  <c r="AZ26" i="11" s="1"/>
  <c r="AV26" i="11"/>
  <c r="BA26" i="11" s="1"/>
  <c r="AN99" i="11"/>
  <c r="BL3" i="11"/>
  <c r="BM3" i="11" s="1"/>
  <c r="AN63" i="11"/>
  <c r="BO63" i="11"/>
  <c r="AN71" i="11"/>
  <c r="BO71" i="11"/>
  <c r="AN86" i="11"/>
  <c r="BO86" i="11"/>
  <c r="AM47" i="11"/>
  <c r="AW47" i="11"/>
  <c r="BD47" i="11"/>
  <c r="AN43" i="11"/>
  <c r="BO43" i="11"/>
  <c r="AN78" i="11"/>
  <c r="BO78" i="11"/>
  <c r="AN17" i="11"/>
  <c r="BO17" i="11"/>
  <c r="AN74" i="11"/>
  <c r="BO74" i="11"/>
  <c r="AM194" i="11"/>
  <c r="AY98" i="11"/>
  <c r="AZ98" i="11" s="1"/>
  <c r="AV98" i="11"/>
  <c r="BA98" i="11" s="1"/>
  <c r="BB98" i="11"/>
  <c r="AY5" i="11"/>
  <c r="AZ5" i="11" s="1"/>
  <c r="AM101" i="11"/>
  <c r="AM30" i="11"/>
  <c r="BD30" i="11"/>
  <c r="AW30" i="11"/>
  <c r="AM64" i="11"/>
  <c r="BD64" i="11"/>
  <c r="AW64" i="11"/>
  <c r="AM158" i="11"/>
  <c r="BB62" i="11"/>
  <c r="AY62" i="11"/>
  <c r="AZ62" i="11" s="1"/>
  <c r="AV62" i="11"/>
  <c r="BA62" i="11" s="1"/>
  <c r="BD13" i="11"/>
  <c r="AW13" i="11"/>
  <c r="AM13" i="11"/>
  <c r="AM145" i="11"/>
  <c r="BB49" i="11"/>
  <c r="AY49" i="11"/>
  <c r="AZ49" i="11" s="1"/>
  <c r="AV49" i="11"/>
  <c r="BA49" i="11" s="1"/>
  <c r="AN34" i="11"/>
  <c r="BO34" i="11"/>
  <c r="AN15" i="11"/>
  <c r="BO15" i="11"/>
  <c r="AM186" i="11"/>
  <c r="BB90" i="11"/>
  <c r="AY90" i="11"/>
  <c r="AZ90" i="11" s="1"/>
  <c r="AV90" i="11"/>
  <c r="BA90" i="11" s="1"/>
  <c r="AN158" i="11"/>
  <c r="BC62" i="11"/>
  <c r="BL62" i="11"/>
  <c r="BM62" i="11" s="1"/>
  <c r="AM114" i="11"/>
  <c r="BB18" i="11"/>
  <c r="AY18" i="11"/>
  <c r="AZ18" i="11" s="1"/>
  <c r="AV18" i="11"/>
  <c r="BA18" i="11" s="1"/>
  <c r="AN66" i="11"/>
  <c r="BO66" i="11"/>
  <c r="AN13" i="11"/>
  <c r="BO13" i="11"/>
  <c r="BI14" i="11"/>
  <c r="BN14" i="11" s="1"/>
  <c r="AM79" i="11"/>
  <c r="BD79" i="11"/>
  <c r="AW79" i="11"/>
  <c r="AM58" i="11"/>
  <c r="BD58" i="11"/>
  <c r="AW58" i="11"/>
  <c r="AN164" i="11"/>
  <c r="BC68" i="11"/>
  <c r="BP68" i="11" s="1"/>
  <c r="BL68" i="11"/>
  <c r="BM68" i="11" s="1"/>
  <c r="AM153" i="11"/>
  <c r="BB57" i="11"/>
  <c r="AY57" i="11"/>
  <c r="AZ57" i="11" s="1"/>
  <c r="AV57" i="11"/>
  <c r="BA57" i="11" s="1"/>
  <c r="AN181" i="11"/>
  <c r="BL85" i="11"/>
  <c r="BM85" i="11" s="1"/>
  <c r="BC85" i="11"/>
  <c r="AN165" i="11"/>
  <c r="BC69" i="11"/>
  <c r="BL69" i="11"/>
  <c r="BM69" i="11" s="1"/>
  <c r="AN178" i="11"/>
  <c r="BC82" i="11"/>
  <c r="BL82" i="11"/>
  <c r="BM82" i="11" s="1"/>
  <c r="AN119" i="11"/>
  <c r="BL23" i="11"/>
  <c r="BM23" i="11" s="1"/>
  <c r="BI23" i="11"/>
  <c r="BN23" i="11" s="1"/>
  <c r="BC23" i="11"/>
  <c r="AM137" i="11"/>
  <c r="AY41" i="11"/>
  <c r="AZ41" i="11" s="1"/>
  <c r="AV41" i="11"/>
  <c r="BA41" i="11" s="1"/>
  <c r="BB41" i="11"/>
  <c r="BP41" i="11" s="1"/>
  <c r="AN113" i="11"/>
  <c r="BL17" i="11"/>
  <c r="BM17" i="11" s="1"/>
  <c r="BC17" i="11"/>
  <c r="AM52" i="11"/>
  <c r="BD52" i="11"/>
  <c r="AW52" i="11"/>
  <c r="AN61" i="11"/>
  <c r="BO61" i="11"/>
  <c r="AN95" i="11"/>
  <c r="BO95" i="11"/>
  <c r="AN57" i="11"/>
  <c r="BO57" i="11"/>
  <c r="AM33" i="11"/>
  <c r="AW33" i="11"/>
  <c r="BD33" i="11"/>
  <c r="AN42" i="11"/>
  <c r="BO42" i="11"/>
  <c r="AM42" i="11"/>
  <c r="BD42" i="11"/>
  <c r="AW42" i="11"/>
  <c r="AN83" i="11"/>
  <c r="BO83" i="11"/>
  <c r="AN117" i="11"/>
  <c r="BC21" i="11"/>
  <c r="BL21" i="11"/>
  <c r="BM21" i="11" s="1"/>
  <c r="AN58" i="11"/>
  <c r="BO58" i="11"/>
  <c r="AN121" i="11"/>
  <c r="BC25" i="11"/>
  <c r="BL25" i="11"/>
  <c r="BM25" i="11" s="1"/>
  <c r="AN38" i="11"/>
  <c r="BO38" i="11"/>
  <c r="AN11" i="11"/>
  <c r="BO11" i="11"/>
  <c r="AN62" i="11"/>
  <c r="BO62" i="11"/>
  <c r="BJ11" i="11"/>
  <c r="BJ45" i="11"/>
  <c r="BI86" i="11"/>
  <c r="BN86" i="11" s="1"/>
  <c r="AM59" i="11"/>
  <c r="BD59" i="11"/>
  <c r="AW59" i="11"/>
  <c r="BC66" i="11"/>
  <c r="AM190" i="11"/>
  <c r="AY94" i="11"/>
  <c r="AZ94" i="11" s="1"/>
  <c r="AV94" i="11"/>
  <c r="BA94" i="11" s="1"/>
  <c r="BB94" i="11"/>
  <c r="BD54" i="11"/>
  <c r="AW54" i="11"/>
  <c r="AM54" i="11"/>
  <c r="AN168" i="11"/>
  <c r="BC72" i="11"/>
  <c r="BP72" i="11" s="1"/>
  <c r="BL72" i="11"/>
  <c r="BM72" i="11" s="1"/>
  <c r="AM178" i="11"/>
  <c r="BB82" i="11"/>
  <c r="AY82" i="11"/>
  <c r="AZ82" i="11" s="1"/>
  <c r="AV82" i="11"/>
  <c r="BA82" i="11" s="1"/>
  <c r="AM51" i="11"/>
  <c r="BD51" i="11"/>
  <c r="AW51" i="11"/>
  <c r="AM187" i="11"/>
  <c r="BB91" i="11"/>
  <c r="AY91" i="11"/>
  <c r="AZ91" i="11" s="1"/>
  <c r="AV91" i="11"/>
  <c r="BA91" i="11" s="1"/>
  <c r="AM143" i="11"/>
  <c r="BB47" i="11"/>
  <c r="AY47" i="11"/>
  <c r="AZ47" i="11" s="1"/>
  <c r="AV47" i="11"/>
  <c r="BA47" i="11" s="1"/>
  <c r="AM173" i="11"/>
  <c r="BB77" i="11"/>
  <c r="AY77" i="11"/>
  <c r="AZ77" i="11" s="1"/>
  <c r="AV77" i="11"/>
  <c r="BA77" i="11" s="1"/>
  <c r="AM150" i="11"/>
  <c r="BB54" i="11"/>
  <c r="AY54" i="11"/>
  <c r="AZ54" i="11" s="1"/>
  <c r="AV54" i="11"/>
  <c r="BA54" i="11" s="1"/>
  <c r="AN189" i="11"/>
  <c r="BL93" i="11"/>
  <c r="BM93" i="11" s="1"/>
  <c r="BC93" i="11"/>
  <c r="AN115" i="11"/>
  <c r="BC19" i="11"/>
  <c r="BP19" i="11" s="1"/>
  <c r="BL19" i="11"/>
  <c r="BM19" i="11" s="1"/>
  <c r="AM163" i="11"/>
  <c r="BB67" i="11"/>
  <c r="AY67" i="11"/>
  <c r="AZ67" i="11" s="1"/>
  <c r="AV67" i="11"/>
  <c r="BA67" i="11" s="1"/>
  <c r="AN190" i="11"/>
  <c r="BL94" i="11"/>
  <c r="BM94" i="11" s="1"/>
  <c r="BC94" i="11"/>
  <c r="AN163" i="11"/>
  <c r="BC67" i="11"/>
  <c r="BL67" i="11"/>
  <c r="BM67" i="11" s="1"/>
  <c r="AM110" i="11"/>
  <c r="AY14" i="11"/>
  <c r="AZ14" i="11" s="1"/>
  <c r="AV14" i="11"/>
  <c r="BA14" i="11" s="1"/>
  <c r="BB14" i="11"/>
  <c r="AN114" i="11"/>
  <c r="BC18" i="11"/>
  <c r="BL18" i="11"/>
  <c r="BM18" i="11" s="1"/>
  <c r="AM162" i="11"/>
  <c r="BB66" i="11"/>
  <c r="AY66" i="11"/>
  <c r="AZ66" i="11" s="1"/>
  <c r="AV66" i="11"/>
  <c r="BA66" i="11" s="1"/>
  <c r="AM140" i="11"/>
  <c r="BB44" i="11"/>
  <c r="AY44" i="11"/>
  <c r="AZ44" i="11" s="1"/>
  <c r="AV44" i="11"/>
  <c r="BA44" i="11" s="1"/>
  <c r="AN126" i="11"/>
  <c r="BC30" i="11"/>
  <c r="BL30" i="11"/>
  <c r="BM30" i="11" s="1"/>
  <c r="AN51" i="11"/>
  <c r="BO51" i="11"/>
  <c r="AM48" i="11"/>
  <c r="AW48" i="11"/>
  <c r="BD48" i="11"/>
  <c r="AN54" i="11"/>
  <c r="BO54" i="11"/>
  <c r="AM36" i="11"/>
  <c r="AW36" i="11"/>
  <c r="BD36" i="11"/>
  <c r="AM80" i="11"/>
  <c r="AW80" i="11"/>
  <c r="BD80" i="11"/>
  <c r="AN37" i="11"/>
  <c r="BO37" i="11"/>
  <c r="AM45" i="11"/>
  <c r="AW45" i="11"/>
  <c r="BD45" i="11"/>
  <c r="AM81" i="11"/>
  <c r="AW81" i="11"/>
  <c r="BD81" i="11"/>
  <c r="AM31" i="11"/>
  <c r="BD31" i="11"/>
  <c r="AW31" i="11"/>
  <c r="BI68" i="11"/>
  <c r="BN68" i="11" s="1"/>
  <c r="BI69" i="11"/>
  <c r="BN69" i="11" s="1"/>
  <c r="BJ48" i="11"/>
  <c r="BI93" i="11"/>
  <c r="BN93" i="11" s="1"/>
  <c r="BI30" i="11"/>
  <c r="BN30" i="11" s="1"/>
  <c r="BJ15" i="11"/>
  <c r="AM146" i="11"/>
  <c r="BB50" i="11"/>
  <c r="AY50" i="11"/>
  <c r="AZ50" i="11" s="1"/>
  <c r="AV50" i="11"/>
  <c r="BA50" i="11" s="1"/>
  <c r="AV29" i="11"/>
  <c r="BA29" i="11" s="1"/>
  <c r="AM154" i="11"/>
  <c r="BB58" i="11"/>
  <c r="AY58" i="11"/>
  <c r="AZ58" i="11" s="1"/>
  <c r="AV58" i="11"/>
  <c r="BA58" i="11" s="1"/>
  <c r="AM102" i="11"/>
  <c r="AY6" i="11"/>
  <c r="AZ6" i="11" s="1"/>
  <c r="AW21" i="11"/>
  <c r="BD21" i="11"/>
  <c r="AM21" i="11"/>
  <c r="AV40" i="11"/>
  <c r="BA40" i="11" s="1"/>
  <c r="AV72" i="11"/>
  <c r="BA72" i="11" s="1"/>
  <c r="AN160" i="11"/>
  <c r="BL64" i="11"/>
  <c r="BM64" i="11" s="1"/>
  <c r="BC64" i="11"/>
  <c r="AM149" i="11"/>
  <c r="BB53" i="11"/>
  <c r="AY53" i="11"/>
  <c r="AZ53" i="11" s="1"/>
  <c r="AV53" i="11"/>
  <c r="BA53" i="11" s="1"/>
  <c r="AM144" i="11"/>
  <c r="BB48" i="11"/>
  <c r="AY48" i="11"/>
  <c r="AZ48" i="11" s="1"/>
  <c r="AV48" i="11"/>
  <c r="BA48" i="11" s="1"/>
  <c r="AN111" i="11"/>
  <c r="BC15" i="11"/>
  <c r="BP15" i="11" s="1"/>
  <c r="BL15" i="11"/>
  <c r="BM15" i="11" s="1"/>
  <c r="AM170" i="11"/>
  <c r="BB74" i="11"/>
  <c r="AY74" i="11"/>
  <c r="AZ74" i="11" s="1"/>
  <c r="AV74" i="11"/>
  <c r="BA74" i="11" s="1"/>
  <c r="AN97" i="11"/>
  <c r="BO97" i="11"/>
  <c r="AN47" i="11"/>
  <c r="BO47" i="11"/>
  <c r="AN69" i="11"/>
  <c r="BO69" i="11"/>
  <c r="AM95" i="11"/>
  <c r="AW95" i="11"/>
  <c r="BD95" i="11"/>
  <c r="AN26" i="11"/>
  <c r="BO26" i="11"/>
  <c r="AM35" i="11"/>
  <c r="BD35" i="11"/>
  <c r="AW35" i="11"/>
  <c r="AV35" i="11"/>
  <c r="AM75" i="11"/>
  <c r="BD75" i="11"/>
  <c r="AW75" i="11"/>
  <c r="AN112" i="11"/>
  <c r="BC16" i="11"/>
  <c r="BL16" i="11"/>
  <c r="BM16" i="11" s="1"/>
  <c r="AN33" i="11"/>
  <c r="BO33" i="11"/>
  <c r="AN12" i="11"/>
  <c r="BO12" i="11"/>
  <c r="AN18" i="11"/>
  <c r="BO18" i="11"/>
  <c r="BJ37" i="11"/>
  <c r="BJ69" i="11"/>
  <c r="BI46" i="11"/>
  <c r="BN46" i="11" s="1"/>
  <c r="BI42" i="11"/>
  <c r="BN42" i="11" s="1"/>
  <c r="BJ26" i="11"/>
  <c r="BJ47" i="11"/>
  <c r="BJ12" i="11"/>
  <c r="AN139" i="11"/>
  <c r="BC43" i="11"/>
  <c r="BL43" i="11"/>
  <c r="BM43" i="11" s="1"/>
  <c r="BB21" i="11"/>
  <c r="AY32" i="11"/>
  <c r="AZ32" i="11" s="1"/>
  <c r="AV32" i="11"/>
  <c r="BA32" i="11" s="1"/>
  <c r="AM128" i="11"/>
  <c r="BB32" i="11"/>
  <c r="BP32" i="11" s="1"/>
  <c r="BC42" i="11"/>
  <c r="BL42" i="11"/>
  <c r="BM42" i="11" s="1"/>
  <c r="AN138" i="11"/>
  <c r="AM50" i="11"/>
  <c r="BD50" i="11"/>
  <c r="AW50" i="11"/>
  <c r="AN84" i="11"/>
  <c r="BO84" i="11"/>
  <c r="BJ84" i="11"/>
  <c r="AW86" i="11"/>
  <c r="BD86" i="11"/>
  <c r="AM86" i="11"/>
  <c r="AM177" i="11"/>
  <c r="BB81" i="11"/>
  <c r="AY81" i="11"/>
  <c r="AZ81" i="11" s="1"/>
  <c r="AV81" i="11"/>
  <c r="BA81" i="11" s="1"/>
  <c r="AN186" i="11"/>
  <c r="BC90" i="11"/>
  <c r="BL90" i="11"/>
  <c r="BM90" i="11" s="1"/>
  <c r="AN81" i="11"/>
  <c r="BO81" i="11"/>
  <c r="AN192" i="11"/>
  <c r="BL96" i="11"/>
  <c r="BM96" i="11" s="1"/>
  <c r="BC96" i="11"/>
  <c r="AN156" i="11"/>
  <c r="BC60" i="11"/>
  <c r="BL60" i="11"/>
  <c r="BM60" i="11" s="1"/>
  <c r="BL87" i="11"/>
  <c r="BM87" i="11" s="1"/>
  <c r="BI87" i="11"/>
  <c r="BN87" i="11" s="1"/>
  <c r="BC87" i="11"/>
  <c r="AN136" i="11"/>
  <c r="BC40" i="11"/>
  <c r="BP40" i="11" s="1"/>
  <c r="BL40" i="11"/>
  <c r="BM40" i="11" s="1"/>
  <c r="AN177" i="11"/>
  <c r="BC81" i="11"/>
  <c r="BL81" i="11"/>
  <c r="BM81" i="11" s="1"/>
  <c r="AN161" i="11"/>
  <c r="BL65" i="11"/>
  <c r="BM65" i="11" s="1"/>
  <c r="BC65" i="11"/>
  <c r="AM139" i="11"/>
  <c r="BB43" i="11"/>
  <c r="AY43" i="11"/>
  <c r="AZ43" i="11" s="1"/>
  <c r="AV43" i="11"/>
  <c r="BA43" i="11" s="1"/>
  <c r="AM169" i="11"/>
  <c r="BB73" i="11"/>
  <c r="AY73" i="11"/>
  <c r="AZ73" i="11" s="1"/>
  <c r="AV73" i="11"/>
  <c r="BA73" i="11" s="1"/>
  <c r="AN174" i="11"/>
  <c r="BC78" i="11"/>
  <c r="BL78" i="11"/>
  <c r="BM78" i="11" s="1"/>
  <c r="AN107" i="11"/>
  <c r="BC11" i="11"/>
  <c r="BL11" i="11"/>
  <c r="BM11" i="11" s="1"/>
  <c r="AM159" i="11"/>
  <c r="BB63" i="11"/>
  <c r="AY63" i="11"/>
  <c r="AZ63" i="11" s="1"/>
  <c r="AV63" i="11"/>
  <c r="BA63" i="11" s="1"/>
  <c r="AY87" i="11"/>
  <c r="AZ87" i="11" s="1"/>
  <c r="AV87" i="11"/>
  <c r="BA87" i="11" s="1"/>
  <c r="BB87" i="11"/>
  <c r="AN159" i="11"/>
  <c r="BI63" i="11"/>
  <c r="BN63" i="11" s="1"/>
  <c r="BC63" i="11"/>
  <c r="BL63" i="11"/>
  <c r="BM63" i="11" s="1"/>
  <c r="AM189" i="11"/>
  <c r="AY93" i="11"/>
  <c r="AZ93" i="11" s="1"/>
  <c r="AV93" i="11"/>
  <c r="BA93" i="11" s="1"/>
  <c r="BB93" i="11"/>
  <c r="AM106" i="11"/>
  <c r="AY10" i="11"/>
  <c r="AZ10" i="11" s="1"/>
  <c r="AN110" i="11"/>
  <c r="BC14" i="11"/>
  <c r="BP14" i="11" s="1"/>
  <c r="BL14" i="11"/>
  <c r="BM14" i="11" s="1"/>
  <c r="AM182" i="11"/>
  <c r="AY86" i="11"/>
  <c r="AZ86" i="11" s="1"/>
  <c r="AV86" i="11"/>
  <c r="BA86" i="11" s="1"/>
  <c r="BB86" i="11"/>
  <c r="AN109" i="11"/>
  <c r="BC13" i="11"/>
  <c r="BL13" i="11"/>
  <c r="BM13" i="11" s="1"/>
  <c r="AM93" i="11"/>
  <c r="AW93" i="11"/>
  <c r="BD93" i="11"/>
  <c r="AM69" i="11"/>
  <c r="BD69" i="11"/>
  <c r="AW69" i="11"/>
  <c r="AN70" i="11"/>
  <c r="BO70" i="11"/>
  <c r="AW40" i="11"/>
  <c r="BD40" i="11"/>
  <c r="AN46" i="11"/>
  <c r="BO46" i="11"/>
  <c r="BJ46" i="11"/>
  <c r="BJ42" i="11"/>
  <c r="BI78" i="11"/>
  <c r="BN78" i="11" s="1"/>
  <c r="BJ4" i="11"/>
  <c r="BI15" i="11"/>
  <c r="BN15" i="11" s="1"/>
  <c r="AY9" i="11"/>
  <c r="AZ9" i="11" s="1"/>
  <c r="AM105" i="11"/>
  <c r="AM38" i="11"/>
  <c r="BD38" i="11"/>
  <c r="AW38" i="11"/>
  <c r="AM100" i="11"/>
  <c r="AY4" i="11"/>
  <c r="AZ4" i="11" s="1"/>
  <c r="AM138" i="11"/>
  <c r="AY42" i="11"/>
  <c r="AZ42" i="11" s="1"/>
  <c r="AV42" i="11"/>
  <c r="BA42" i="11" s="1"/>
  <c r="BB42" i="11"/>
  <c r="AV56" i="11"/>
  <c r="BA56" i="11" s="1"/>
  <c r="AN23" i="11"/>
  <c r="BO23" i="11"/>
  <c r="AN188" i="11"/>
  <c r="BL92" i="11"/>
  <c r="BM92" i="11" s="1"/>
  <c r="BC92" i="11"/>
  <c r="BP92" i="11" s="1"/>
  <c r="AN152" i="11"/>
  <c r="BC56" i="11"/>
  <c r="BL56" i="11"/>
  <c r="BM56" i="11" s="1"/>
  <c r="AN153" i="11"/>
  <c r="BL57" i="11"/>
  <c r="BM57" i="11" s="1"/>
  <c r="BC57" i="11"/>
  <c r="AN143" i="11"/>
  <c r="BL47" i="11"/>
  <c r="BM47" i="11" s="1"/>
  <c r="BC47" i="11"/>
  <c r="BI47" i="11"/>
  <c r="BN47" i="11" s="1"/>
  <c r="AN145" i="11"/>
  <c r="BC49" i="11"/>
  <c r="BL49" i="11"/>
  <c r="BM49" i="11" s="1"/>
  <c r="AM155" i="11"/>
  <c r="BB59" i="11"/>
  <c r="AY59" i="11"/>
  <c r="AZ59" i="11" s="1"/>
  <c r="AV59" i="11"/>
  <c r="BA59" i="11" s="1"/>
  <c r="AM96" i="11"/>
  <c r="AW96" i="11"/>
  <c r="BD96" i="11"/>
  <c r="AN147" i="11"/>
  <c r="BC51" i="11"/>
  <c r="BL51" i="11"/>
  <c r="BM51" i="11" s="1"/>
  <c r="AN134" i="11"/>
  <c r="BL38" i="11"/>
  <c r="BM38" i="11" s="1"/>
  <c r="BC38" i="11"/>
  <c r="AN103" i="11"/>
  <c r="BL7" i="11"/>
  <c r="BM7" i="11" s="1"/>
  <c r="AN89" i="11"/>
  <c r="BO89" i="11"/>
  <c r="AM133" i="11"/>
  <c r="AY37" i="11"/>
  <c r="AZ37" i="11" s="1"/>
  <c r="BB37" i="11"/>
  <c r="AV37" i="11"/>
  <c r="BA37" i="11" s="1"/>
  <c r="AM90" i="11"/>
  <c r="AW90" i="11"/>
  <c r="BD90" i="11"/>
  <c r="AM68" i="11"/>
  <c r="BD68" i="11"/>
  <c r="AW68" i="11"/>
  <c r="AM91" i="11"/>
  <c r="AW91" i="11"/>
  <c r="BD91" i="11"/>
  <c r="AN82" i="11"/>
  <c r="BO82" i="11"/>
  <c r="AM25" i="11"/>
  <c r="BD25" i="11"/>
  <c r="AW25" i="11"/>
  <c r="AN29" i="11"/>
  <c r="BO29" i="11"/>
  <c r="AN41" i="11"/>
  <c r="BO41" i="11"/>
  <c r="AM37" i="11"/>
  <c r="AW37" i="11"/>
  <c r="BD37" i="11"/>
  <c r="AN91" i="11"/>
  <c r="BO91" i="11"/>
  <c r="AM44" i="11"/>
  <c r="AW44" i="11"/>
  <c r="BD44" i="11"/>
  <c r="AM18" i="11"/>
  <c r="AW18" i="11"/>
  <c r="BD18" i="11"/>
  <c r="AN22" i="11"/>
  <c r="BO22" i="11"/>
  <c r="BI67" i="11"/>
  <c r="BN67" i="11" s="1"/>
  <c r="BI66" i="11"/>
  <c r="BN66" i="11" s="1"/>
  <c r="BI94" i="11"/>
  <c r="BN94" i="11" s="1"/>
  <c r="BI90" i="11"/>
  <c r="BN90" i="11" s="1"/>
  <c r="BI19" i="11"/>
  <c r="BN19" i="11" s="1"/>
  <c r="BI64" i="11"/>
  <c r="BN64" i="11" s="1"/>
  <c r="BJ18" i="11"/>
  <c r="BJ78" i="11"/>
  <c r="BI38" i="11"/>
  <c r="BN38" i="11" s="1"/>
  <c r="BI13" i="11"/>
  <c r="BN13" i="11" s="1"/>
  <c r="BO94" i="11"/>
  <c r="AN94" i="11"/>
  <c r="AN27" i="11"/>
  <c r="BO27" i="11"/>
  <c r="AM83" i="11"/>
  <c r="AW83" i="11"/>
  <c r="BD83" i="11"/>
  <c r="BB36" i="11"/>
  <c r="BP36" i="11" s="1"/>
  <c r="AY36" i="11"/>
  <c r="AZ36" i="11" s="1"/>
  <c r="AV36" i="11"/>
  <c r="BA36" i="11" s="1"/>
  <c r="AM132" i="11"/>
  <c r="AM193" i="11"/>
  <c r="AY97" i="11"/>
  <c r="AZ97" i="11" s="1"/>
  <c r="AV97" i="11"/>
  <c r="BA97" i="11" s="1"/>
  <c r="BB97" i="11"/>
  <c r="AN127" i="11"/>
  <c r="BC31" i="11"/>
  <c r="BL31" i="11"/>
  <c r="BM31" i="11" s="1"/>
  <c r="AN65" i="11"/>
  <c r="BO65" i="11"/>
  <c r="AN184" i="11"/>
  <c r="BL88" i="11"/>
  <c r="BM88" i="11" s="1"/>
  <c r="BC88" i="11"/>
  <c r="AN191" i="11"/>
  <c r="BL95" i="11"/>
  <c r="BM95" i="11" s="1"/>
  <c r="BI95" i="11"/>
  <c r="BN95" i="11" s="1"/>
  <c r="BC95" i="11"/>
  <c r="AM165" i="11"/>
  <c r="BB69" i="11"/>
  <c r="AY69" i="11"/>
  <c r="AZ69" i="11" s="1"/>
  <c r="AV69" i="11"/>
  <c r="BA69" i="11" s="1"/>
  <c r="AM185" i="11"/>
  <c r="BB89" i="11"/>
  <c r="AY89" i="11"/>
  <c r="AZ89" i="11" s="1"/>
  <c r="AV89" i="11"/>
  <c r="BA89" i="11" s="1"/>
  <c r="AM179" i="11"/>
  <c r="BB83" i="11"/>
  <c r="AY83" i="11"/>
  <c r="AZ83" i="11" s="1"/>
  <c r="AV83" i="11"/>
  <c r="BA83" i="11" s="1"/>
  <c r="AN155" i="11"/>
  <c r="BL59" i="11"/>
  <c r="BM59" i="11" s="1"/>
  <c r="BC59" i="11"/>
  <c r="AN179" i="11"/>
  <c r="BC83" i="11"/>
  <c r="BL83" i="11"/>
  <c r="BM83" i="11" s="1"/>
  <c r="AN106" i="11"/>
  <c r="BL10" i="11"/>
  <c r="BM10" i="11" s="1"/>
  <c r="AN44" i="11"/>
  <c r="BO44" i="11"/>
  <c r="AN85" i="11"/>
  <c r="BO85" i="11"/>
  <c r="AM94" i="11"/>
  <c r="AW94" i="11"/>
  <c r="BD94" i="11"/>
  <c r="AM28" i="11"/>
  <c r="BD28" i="11"/>
  <c r="AW28" i="11"/>
  <c r="AN108" i="11"/>
  <c r="BL12" i="11"/>
  <c r="BM12" i="11" s="1"/>
  <c r="BC12" i="11"/>
  <c r="AM71" i="11"/>
  <c r="BD71" i="11"/>
  <c r="AW71" i="11"/>
  <c r="AM87" i="11"/>
  <c r="AW87" i="11"/>
  <c r="BD87" i="11"/>
  <c r="AN79" i="11"/>
  <c r="BO79" i="11"/>
  <c r="AN19" i="11"/>
  <c r="BO19" i="11"/>
  <c r="BI59" i="11"/>
  <c r="BN59" i="11" s="1"/>
  <c r="BJ54" i="11"/>
  <c r="BJ33" i="11"/>
  <c r="BI85" i="11"/>
  <c r="BN85" i="11" s="1"/>
  <c r="BJ66" i="11"/>
  <c r="BJ44" i="11"/>
  <c r="BI92" i="11"/>
  <c r="BN92" i="11" s="1"/>
  <c r="BI41" i="11"/>
  <c r="BN41" i="11" s="1"/>
  <c r="BI11" i="11"/>
  <c r="BN11" i="11" s="1"/>
  <c r="BJ38" i="11"/>
  <c r="BI17" i="11"/>
  <c r="BN17" i="11" s="1"/>
  <c r="BJ13" i="11"/>
  <c r="AM17" i="11"/>
  <c r="BD17" i="11"/>
  <c r="AW17" i="11"/>
  <c r="AM76" i="11"/>
  <c r="BD76" i="11"/>
  <c r="AW76" i="11"/>
  <c r="AN102" i="11"/>
  <c r="BL6" i="11"/>
  <c r="BM6" i="11" s="1"/>
  <c r="AN166" i="11"/>
  <c r="BC70" i="11"/>
  <c r="BL70" i="11"/>
  <c r="BM70" i="11" s="1"/>
  <c r="AV80" i="11"/>
  <c r="BA80" i="11" s="1"/>
  <c r="BB64" i="11"/>
  <c r="AV39" i="11"/>
  <c r="BA39" i="11" s="1"/>
  <c r="AM62" i="11"/>
  <c r="BD62" i="11"/>
  <c r="AW62" i="11"/>
  <c r="AM167" i="11"/>
  <c r="BB71" i="11"/>
  <c r="AY71" i="11"/>
  <c r="AZ71" i="11" s="1"/>
  <c r="AV71" i="11"/>
  <c r="BA71" i="11" s="1"/>
  <c r="AN125" i="11"/>
  <c r="BC29" i="11"/>
  <c r="BL29" i="11"/>
  <c r="BM29" i="11" s="1"/>
  <c r="AN49" i="11"/>
  <c r="BO49" i="11"/>
  <c r="BJ81" i="11"/>
  <c r="AN180" i="11"/>
  <c r="BL84" i="11"/>
  <c r="BM84" i="11" s="1"/>
  <c r="BC84" i="11"/>
  <c r="AN148" i="11"/>
  <c r="BC52" i="11"/>
  <c r="BP52" i="11" s="1"/>
  <c r="BL52" i="11"/>
  <c r="BM52" i="11" s="1"/>
  <c r="AN146" i="11"/>
  <c r="BC50" i="11"/>
  <c r="BL50" i="11"/>
  <c r="BM50" i="11" s="1"/>
  <c r="AN173" i="11"/>
  <c r="BC77" i="11"/>
  <c r="BL77" i="11"/>
  <c r="BM77" i="11" s="1"/>
  <c r="AN185" i="11"/>
  <c r="BC89" i="11"/>
  <c r="BL89" i="11"/>
  <c r="BM89" i="11" s="1"/>
  <c r="AN140" i="11"/>
  <c r="BL44" i="11"/>
  <c r="BM44" i="11" s="1"/>
  <c r="BC44" i="11"/>
  <c r="AM151" i="11"/>
  <c r="BB55" i="11"/>
  <c r="AY55" i="11"/>
  <c r="AZ55" i="11" s="1"/>
  <c r="AV55" i="11"/>
  <c r="BA55" i="11" s="1"/>
  <c r="AN122" i="11"/>
  <c r="BC26" i="11"/>
  <c r="BP26" i="11" s="1"/>
  <c r="BL26" i="11"/>
  <c r="BM26" i="11" s="1"/>
  <c r="AM130" i="11"/>
  <c r="BB34" i="11"/>
  <c r="AY34" i="11"/>
  <c r="AZ34" i="11" s="1"/>
  <c r="AV34" i="11"/>
  <c r="BA34" i="11" s="1"/>
  <c r="AM174" i="11"/>
  <c r="BB78" i="11"/>
  <c r="AY78" i="11"/>
  <c r="AZ78" i="11" s="1"/>
  <c r="AV78" i="11"/>
  <c r="BA78" i="11" s="1"/>
  <c r="AM166" i="11"/>
  <c r="BB70" i="11"/>
  <c r="AY70" i="11"/>
  <c r="AZ70" i="11" s="1"/>
  <c r="AV70" i="11"/>
  <c r="BA70" i="11" s="1"/>
  <c r="AM73" i="11"/>
  <c r="BD73" i="11"/>
  <c r="AW73" i="11"/>
  <c r="AN73" i="11"/>
  <c r="BO73" i="11"/>
  <c r="AM46" i="11"/>
  <c r="AW46" i="11"/>
  <c r="BD46" i="11"/>
  <c r="AM27" i="11"/>
  <c r="BD27" i="11"/>
  <c r="AW27" i="11"/>
  <c r="AM60" i="11"/>
  <c r="BD60" i="11"/>
  <c r="AW60" i="11"/>
  <c r="AN30" i="11"/>
  <c r="BO30" i="11"/>
  <c r="AN25" i="11"/>
  <c r="BO25" i="11"/>
  <c r="BI29" i="11"/>
  <c r="BN29" i="11" s="1"/>
  <c r="BI89" i="11"/>
  <c r="BN89" i="11" s="1"/>
  <c r="BI62" i="11"/>
  <c r="BN62" i="11" s="1"/>
  <c r="BI58" i="11"/>
  <c r="BN58" i="11" s="1"/>
  <c r="BI70" i="11"/>
  <c r="BN70" i="11" s="1"/>
  <c r="BB31" i="11"/>
  <c r="AM56" i="11"/>
  <c r="BD56" i="11"/>
  <c r="AW56" i="11"/>
  <c r="AM16" i="11"/>
  <c r="BD16" i="11"/>
  <c r="AW16" i="11"/>
  <c r="AM78" i="11"/>
  <c r="BD78" i="11"/>
  <c r="AW78" i="11"/>
  <c r="AM113" i="11"/>
  <c r="BB17" i="11"/>
  <c r="AY17" i="11"/>
  <c r="AZ17" i="11" s="1"/>
  <c r="AV17" i="11"/>
  <c r="BA17" i="11" s="1"/>
  <c r="BB16" i="11"/>
  <c r="BB96" i="11"/>
  <c r="AM49" i="11"/>
  <c r="AW49" i="11"/>
  <c r="BD49" i="11"/>
  <c r="AN14" i="11"/>
  <c r="BO14" i="11"/>
  <c r="AN167" i="11"/>
  <c r="BC71" i="11"/>
  <c r="BI71" i="11"/>
  <c r="BN71" i="11" s="1"/>
  <c r="BL71" i="11"/>
  <c r="BM71" i="11" s="1"/>
  <c r="AN176" i="11"/>
  <c r="BC80" i="11"/>
  <c r="BL80" i="11"/>
  <c r="BM80" i="11" s="1"/>
  <c r="AN144" i="11"/>
  <c r="BC48" i="11"/>
  <c r="BL48" i="11"/>
  <c r="BM48" i="11" s="1"/>
  <c r="AN149" i="11"/>
  <c r="BC53" i="11"/>
  <c r="BL53" i="11"/>
  <c r="BM53" i="11" s="1"/>
  <c r="AM157" i="11"/>
  <c r="BB61" i="11"/>
  <c r="AY61" i="11"/>
  <c r="AZ61" i="11" s="1"/>
  <c r="AV61" i="11"/>
  <c r="BA61" i="11" s="1"/>
  <c r="AM161" i="11"/>
  <c r="BB65" i="11"/>
  <c r="AY65" i="11"/>
  <c r="AZ65" i="11" s="1"/>
  <c r="AV65" i="11"/>
  <c r="BA65" i="11" s="1"/>
  <c r="AM175" i="11"/>
  <c r="BB79" i="11"/>
  <c r="AY79" i="11"/>
  <c r="AZ79" i="11" s="1"/>
  <c r="AV79" i="11"/>
  <c r="BA79" i="11" s="1"/>
  <c r="AN175" i="11"/>
  <c r="BC79" i="11"/>
  <c r="BL79" i="11"/>
  <c r="BM79" i="11" s="1"/>
  <c r="BI79" i="11"/>
  <c r="BN79" i="11" s="1"/>
  <c r="AN93" i="11"/>
  <c r="BO93" i="11"/>
  <c r="AN133" i="11"/>
  <c r="BL37" i="11"/>
  <c r="BM37" i="11" s="1"/>
  <c r="BC37" i="11"/>
  <c r="AN129" i="11"/>
  <c r="BC33" i="11"/>
  <c r="BL33" i="11"/>
  <c r="BM33" i="11" s="1"/>
  <c r="AM89" i="11"/>
  <c r="AW89" i="11"/>
  <c r="BD89" i="11"/>
  <c r="AN92" i="11"/>
  <c r="BO92" i="11"/>
  <c r="BJ92" i="11"/>
  <c r="AN87" i="11"/>
  <c r="BO87" i="11"/>
  <c r="AM39" i="11"/>
  <c r="AW39" i="11"/>
  <c r="BD39" i="11"/>
  <c r="AM63" i="11"/>
  <c r="BD63" i="11"/>
  <c r="AW63" i="11"/>
  <c r="AN120" i="11"/>
  <c r="BC24" i="11"/>
  <c r="BP24" i="11" s="1"/>
  <c r="BL24" i="11"/>
  <c r="BM24" i="11" s="1"/>
  <c r="BI50" i="11"/>
  <c r="BN50" i="11" s="1"/>
  <c r="BI72" i="11"/>
  <c r="BN72" i="11" s="1"/>
  <c r="BJ87" i="11"/>
  <c r="BJ58" i="11"/>
  <c r="BJ70" i="11"/>
  <c r="BI24" i="11"/>
  <c r="BN24" i="11" s="1"/>
  <c r="BI21" i="11"/>
  <c r="BN21" i="11" s="1"/>
  <c r="AN170" i="11"/>
  <c r="BC74" i="11"/>
  <c r="BL74" i="11"/>
  <c r="BM74" i="11" s="1"/>
  <c r="AV27" i="11"/>
  <c r="BA27" i="11" s="1"/>
  <c r="AM32" i="11"/>
  <c r="BD32" i="11"/>
  <c r="AW32" i="11"/>
  <c r="BB27" i="11"/>
  <c r="AM12" i="11"/>
  <c r="BD12" i="11"/>
  <c r="AW12" i="11"/>
  <c r="AM109" i="11"/>
  <c r="AY13" i="11"/>
  <c r="AZ13" i="11" s="1"/>
  <c r="BB13" i="11"/>
  <c r="AV13" i="11"/>
  <c r="BA13" i="11" s="1"/>
  <c r="BB80" i="11"/>
  <c r="AV52" i="11"/>
  <c r="BA52" i="11" s="1"/>
  <c r="AV96" i="11"/>
  <c r="BA96" i="11" s="1"/>
  <c r="BB60" i="11"/>
  <c r="BB12" i="11"/>
  <c r="AN53" i="11"/>
  <c r="BO53" i="11"/>
  <c r="AN50" i="11"/>
  <c r="BO50" i="11"/>
  <c r="AN59" i="11"/>
  <c r="BO59" i="11"/>
  <c r="AM142" i="11"/>
  <c r="BB46" i="11"/>
  <c r="AY46" i="11"/>
  <c r="AZ46" i="11" s="1"/>
  <c r="AV46" i="11"/>
  <c r="BA46" i="11" s="1"/>
  <c r="AM191" i="11"/>
  <c r="AY95" i="11"/>
  <c r="AZ95" i="11" s="1"/>
  <c r="AV95" i="11"/>
  <c r="BA95" i="11" s="1"/>
  <c r="BB95" i="11"/>
  <c r="AN123" i="11"/>
  <c r="BC27" i="11"/>
  <c r="BL27" i="11"/>
  <c r="BM27" i="11" s="1"/>
  <c r="AM134" i="11"/>
  <c r="AY38" i="11"/>
  <c r="AZ38" i="11" s="1"/>
  <c r="AV38" i="11"/>
  <c r="BA38" i="11" s="1"/>
  <c r="BB38" i="11"/>
  <c r="AM121" i="11"/>
  <c r="AY25" i="11"/>
  <c r="AZ25" i="11" s="1"/>
  <c r="AV25" i="11"/>
  <c r="BA25" i="11" s="1"/>
  <c r="BB25" i="11"/>
  <c r="AN116" i="11"/>
  <c r="BC20" i="11"/>
  <c r="BL20" i="11"/>
  <c r="BM20" i="11" s="1"/>
  <c r="AM129" i="11"/>
  <c r="BB33" i="11"/>
  <c r="AY33" i="11"/>
  <c r="AZ33" i="11" s="1"/>
  <c r="AV33" i="11"/>
  <c r="BA33" i="11" s="1"/>
  <c r="AN172" i="11"/>
  <c r="BC76" i="11"/>
  <c r="BP76" i="11" s="1"/>
  <c r="BL76" i="11"/>
  <c r="BM76" i="11" s="1"/>
  <c r="AN187" i="11"/>
  <c r="BC91" i="11"/>
  <c r="BP91" i="11" s="1"/>
  <c r="BL91" i="11"/>
  <c r="BM91" i="11" s="1"/>
  <c r="AM147" i="11"/>
  <c r="BB51" i="11"/>
  <c r="AY51" i="11"/>
  <c r="AZ51" i="11" s="1"/>
  <c r="AV51" i="11"/>
  <c r="BA51" i="11" s="1"/>
  <c r="AN193" i="11"/>
  <c r="BL97" i="11"/>
  <c r="BM97" i="11" s="1"/>
  <c r="BC97" i="11"/>
  <c r="AM118" i="11"/>
  <c r="BB22" i="11"/>
  <c r="AY22" i="11"/>
  <c r="AZ22" i="11" s="1"/>
  <c r="AV22" i="11"/>
  <c r="BA22" i="11" s="1"/>
  <c r="AN130" i="11"/>
  <c r="BL34" i="11"/>
  <c r="BM34" i="11" s="1"/>
  <c r="BC34" i="11"/>
  <c r="AN101" i="11"/>
  <c r="BL5" i="11"/>
  <c r="BM5" i="11" s="1"/>
  <c r="AM72" i="11"/>
  <c r="BD72" i="11"/>
  <c r="AW72" i="11"/>
  <c r="AN45" i="11"/>
  <c r="BO45" i="11"/>
  <c r="AN77" i="11"/>
  <c r="BO77" i="11"/>
  <c r="AM23" i="11"/>
  <c r="AW23" i="11"/>
  <c r="BD23" i="11"/>
  <c r="AM14" i="11"/>
  <c r="BD14" i="11"/>
  <c r="AW14" i="11"/>
  <c r="AM29" i="11"/>
  <c r="BD29" i="11"/>
  <c r="AW29" i="11"/>
  <c r="AM70" i="11"/>
  <c r="BD70" i="11"/>
  <c r="AW70" i="11"/>
  <c r="AN39" i="11"/>
  <c r="BO39" i="11"/>
  <c r="BJ50" i="11"/>
  <c r="BI82" i="11"/>
  <c r="BN82" i="11" s="1"/>
  <c r="BJ34" i="11"/>
  <c r="BI16" i="11"/>
  <c r="BN16" i="11" s="1"/>
  <c r="BI9" i="11"/>
  <c r="BN9" i="11" s="1"/>
  <c r="AM22" i="11"/>
  <c r="AW22" i="11"/>
  <c r="BD22" i="11"/>
  <c r="AN150" i="11"/>
  <c r="BC54" i="11"/>
  <c r="BP54" i="11" s="1"/>
  <c r="BL54" i="11"/>
  <c r="BM54" i="11" s="1"/>
  <c r="BB28" i="11"/>
  <c r="BP28" i="11" s="1"/>
  <c r="AY28" i="11"/>
  <c r="AZ28" i="11" s="1"/>
  <c r="AM124" i="11"/>
  <c r="AV28" i="11"/>
  <c r="BA28" i="11" s="1"/>
  <c r="AN24" i="11"/>
  <c r="BO24" i="11"/>
  <c r="AV31" i="11"/>
  <c r="BA31" i="11" s="1"/>
  <c r="BD66" i="11"/>
  <c r="AW66" i="11"/>
  <c r="AM66" i="11"/>
  <c r="AM67" i="11"/>
  <c r="BD67" i="11"/>
  <c r="AW67" i="11"/>
  <c r="AV16" i="11"/>
  <c r="BA16" i="11" s="1"/>
  <c r="AM9" i="11"/>
  <c r="AW9" i="11"/>
  <c r="BD9" i="11"/>
  <c r="AV9" i="11"/>
  <c r="BA9" i="11" s="1"/>
  <c r="BB9" i="11"/>
  <c r="AN9" i="11"/>
  <c r="BO9" i="11"/>
  <c r="BC9" i="11"/>
  <c r="BI8" i="11"/>
  <c r="BN8" i="11" s="1"/>
  <c r="AN5" i="11"/>
  <c r="BO5" i="11"/>
  <c r="BC5" i="11"/>
  <c r="AN7" i="11"/>
  <c r="BO7" i="11"/>
  <c r="BC7" i="11"/>
  <c r="AN8" i="11"/>
  <c r="BO8" i="11"/>
  <c r="BC8" i="11"/>
  <c r="AM4" i="11"/>
  <c r="AW4" i="11"/>
  <c r="AV4" i="11"/>
  <c r="BA4" i="11" s="1"/>
  <c r="BD4" i="11"/>
  <c r="BB4" i="11"/>
  <c r="BI7" i="11"/>
  <c r="BN7" i="11" s="1"/>
  <c r="AN10" i="11"/>
  <c r="BO10" i="11"/>
  <c r="BC10" i="11"/>
  <c r="BI5" i="11"/>
  <c r="BN5" i="11" s="1"/>
  <c r="BB3" i="11"/>
  <c r="AV3" i="11"/>
  <c r="BA3" i="11" s="1"/>
  <c r="BJ5" i="11"/>
  <c r="AM5" i="11"/>
  <c r="AV5" i="11"/>
  <c r="BA5" i="11" s="1"/>
  <c r="BD5" i="11"/>
  <c r="BB5" i="11"/>
  <c r="AW5" i="11"/>
  <c r="AN4" i="11"/>
  <c r="BO4" i="11"/>
  <c r="BC4" i="11"/>
  <c r="AM10" i="11"/>
  <c r="BB10" i="11"/>
  <c r="AW10" i="11"/>
  <c r="AV10" i="11"/>
  <c r="BA10" i="11" s="1"/>
  <c r="BD10" i="11"/>
  <c r="BI10" i="11"/>
  <c r="BN10" i="11" s="1"/>
  <c r="AM7" i="11"/>
  <c r="BD7" i="11"/>
  <c r="BB7" i="11"/>
  <c r="AW7" i="11"/>
  <c r="AV7" i="11"/>
  <c r="BA7" i="11" s="1"/>
  <c r="BI3" i="11"/>
  <c r="BN3" i="11" s="1"/>
  <c r="BC3" i="11"/>
  <c r="AM6" i="11"/>
  <c r="BD6" i="11"/>
  <c r="BB6" i="11"/>
  <c r="AV6" i="11"/>
  <c r="BA6" i="11" s="1"/>
  <c r="AW6" i="11"/>
  <c r="AM40" i="11"/>
  <c r="AN183" i="11"/>
  <c r="AM183" i="11"/>
  <c r="AN48" i="11"/>
  <c r="AM3" i="11"/>
  <c r="BD3" i="11"/>
  <c r="AW3" i="11"/>
  <c r="BJ3" i="11"/>
  <c r="BO3" i="11"/>
  <c r="BC158" i="16"/>
  <c r="BD158" i="16" s="1"/>
  <c r="AN97" i="16"/>
  <c r="BC177" i="16"/>
  <c r="BD177" i="16" s="1"/>
  <c r="AN189" i="16"/>
  <c r="AN93" i="16"/>
  <c r="AN103" i="16"/>
  <c r="AN193" i="16"/>
  <c r="AN182" i="16"/>
  <c r="BC163" i="16"/>
  <c r="BD163" i="16" s="1"/>
  <c r="BC170" i="16"/>
  <c r="BD170" i="16" s="1"/>
  <c r="AN121" i="16"/>
  <c r="BC143" i="16"/>
  <c r="BD143" i="16" s="1"/>
  <c r="AN110" i="16"/>
  <c r="BC174" i="16"/>
  <c r="BD174" i="16" s="1"/>
  <c r="AN136" i="16"/>
  <c r="AN114" i="16"/>
  <c r="AN113" i="16"/>
  <c r="BC91" i="16"/>
  <c r="BD91" i="16" s="1"/>
  <c r="AN91" i="16"/>
  <c r="BC118" i="16"/>
  <c r="BD118" i="16" s="1"/>
  <c r="AN118" i="16"/>
  <c r="BC140" i="16"/>
  <c r="BD140" i="16" s="1"/>
  <c r="AN140" i="16"/>
  <c r="AN185" i="16"/>
  <c r="BC185" i="16"/>
  <c r="BD185" i="16" s="1"/>
  <c r="BC173" i="16"/>
  <c r="BD173" i="16" s="1"/>
  <c r="AN173" i="16"/>
  <c r="BC183" i="16"/>
  <c r="BD183" i="16" s="1"/>
  <c r="AN183" i="16"/>
  <c r="AN166" i="16"/>
  <c r="BC166" i="16"/>
  <c r="BD166" i="16" s="1"/>
  <c r="BC133" i="16"/>
  <c r="BD133" i="16" s="1"/>
  <c r="AN133" i="16"/>
  <c r="BC98" i="16"/>
  <c r="BD98" i="16" s="1"/>
  <c r="AN98" i="16"/>
  <c r="AN105" i="16"/>
  <c r="BC105" i="16"/>
  <c r="BD105" i="16" s="1"/>
  <c r="AN104" i="16"/>
  <c r="BC104" i="16"/>
  <c r="BD104" i="16" s="1"/>
  <c r="BC89" i="16"/>
  <c r="BD89" i="16" s="1"/>
  <c r="AN89" i="16"/>
  <c r="BC161" i="16"/>
  <c r="BD161" i="16" s="1"/>
  <c r="AN161" i="16"/>
  <c r="AN95" i="16"/>
  <c r="BC95" i="16"/>
  <c r="BD95" i="16" s="1"/>
  <c r="BC180" i="16"/>
  <c r="BD180" i="16" s="1"/>
  <c r="AN180" i="16"/>
  <c r="BC179" i="16"/>
  <c r="BD179" i="16" s="1"/>
  <c r="AN179" i="16"/>
  <c r="AN188" i="16"/>
  <c r="BC188" i="16"/>
  <c r="BD188" i="16" s="1"/>
  <c r="AN192" i="16"/>
  <c r="BC192" i="16"/>
  <c r="BD192" i="16" s="1"/>
  <c r="BC194" i="16"/>
  <c r="BD194" i="16" s="1"/>
  <c r="AN194" i="16"/>
  <c r="BC146" i="16"/>
  <c r="BD146" i="16" s="1"/>
  <c r="AN146" i="16"/>
  <c r="BC169" i="16"/>
  <c r="BD169" i="16" s="1"/>
  <c r="AN169" i="16"/>
  <c r="AN142" i="16"/>
  <c r="BC142" i="16"/>
  <c r="BD142" i="16" s="1"/>
  <c r="BC155" i="16"/>
  <c r="BD155" i="16" s="1"/>
  <c r="AN155" i="16"/>
  <c r="BC96" i="16"/>
  <c r="BD96" i="16" s="1"/>
  <c r="AN96" i="16"/>
  <c r="AN147" i="16"/>
  <c r="BC147" i="16"/>
  <c r="BD147" i="16" s="1"/>
  <c r="AN102" i="16"/>
  <c r="BC102" i="16"/>
  <c r="BD102" i="16" s="1"/>
  <c r="AN120" i="16"/>
  <c r="BC120" i="16"/>
  <c r="BD120" i="16" s="1"/>
  <c r="BC186" i="16"/>
  <c r="BD186" i="16" s="1"/>
  <c r="AN186" i="16"/>
  <c r="AN123" i="16"/>
  <c r="BC123" i="16"/>
  <c r="BD123" i="16" s="1"/>
  <c r="BC190" i="16"/>
  <c r="BD190" i="16" s="1"/>
  <c r="AN190" i="16"/>
  <c r="BC191" i="16"/>
  <c r="BD191" i="16" s="1"/>
  <c r="AN191" i="16"/>
  <c r="BC172" i="16"/>
  <c r="BD172" i="16" s="1"/>
  <c r="AN172" i="16"/>
  <c r="AN153" i="16"/>
  <c r="BC153" i="16"/>
  <c r="BD153" i="16" s="1"/>
  <c r="BC130" i="16"/>
  <c r="BD130" i="16" s="1"/>
  <c r="AN130" i="16"/>
  <c r="BC139" i="16"/>
  <c r="BD139" i="16" s="1"/>
  <c r="AN139" i="16"/>
  <c r="BC178" i="16"/>
  <c r="BD178" i="16" s="1"/>
  <c r="AN178" i="16"/>
  <c r="BC124" i="16"/>
  <c r="BD124" i="16" s="1"/>
  <c r="AN124" i="16"/>
  <c r="AN115" i="16"/>
  <c r="BC115" i="16"/>
  <c r="BD115" i="16" s="1"/>
  <c r="AN109" i="16"/>
  <c r="BC109" i="16"/>
  <c r="BD109" i="16" s="1"/>
  <c r="AN108" i="16"/>
  <c r="BC108" i="16"/>
  <c r="BD108" i="16" s="1"/>
  <c r="AN119" i="16"/>
  <c r="BC119" i="16"/>
  <c r="BD119" i="16" s="1"/>
  <c r="AN112" i="16"/>
  <c r="BC112" i="16"/>
  <c r="BD112" i="16" s="1"/>
  <c r="AN90" i="16"/>
  <c r="BC90" i="16"/>
  <c r="BD90" i="16" s="1"/>
  <c r="AN164" i="16"/>
  <c r="BC164" i="16"/>
  <c r="BD164" i="16" s="1"/>
  <c r="BC157" i="16"/>
  <c r="BD157" i="16" s="1"/>
  <c r="AN157" i="16"/>
  <c r="BC135" i="16"/>
  <c r="BD135" i="16" s="1"/>
  <c r="AN135" i="16"/>
  <c r="BC184" i="16"/>
  <c r="BD184" i="16" s="1"/>
  <c r="AN184" i="16"/>
  <c r="BC187" i="16"/>
  <c r="BD187" i="16" s="1"/>
  <c r="AN187" i="16"/>
  <c r="AN162" i="16"/>
  <c r="BC162" i="16"/>
  <c r="BD162" i="16" s="1"/>
  <c r="BC152" i="16"/>
  <c r="BD152" i="16" s="1"/>
  <c r="AN152" i="16"/>
  <c r="AN167" i="16"/>
  <c r="BC167" i="16"/>
  <c r="BD167" i="16" s="1"/>
  <c r="BC148" i="16"/>
  <c r="BD148" i="16" s="1"/>
  <c r="AN148" i="16"/>
  <c r="AN149" i="16"/>
  <c r="BC149" i="16"/>
  <c r="BD149" i="16" s="1"/>
  <c r="AN116" i="16"/>
  <c r="BC116" i="16"/>
  <c r="BD116" i="16" s="1"/>
  <c r="BC141" i="16"/>
  <c r="BD141" i="16" s="1"/>
  <c r="AN141" i="16"/>
  <c r="BC117" i="16"/>
  <c r="BD117" i="16" s="1"/>
  <c r="AN117" i="16"/>
  <c r="AN106" i="16"/>
  <c r="BC106" i="16"/>
  <c r="BD106" i="16" s="1"/>
  <c r="AN154" i="16"/>
  <c r="BC154" i="16"/>
  <c r="BD154" i="16" s="1"/>
  <c r="BC137" i="16"/>
  <c r="BD137" i="16" s="1"/>
  <c r="AN137" i="16"/>
  <c r="AN107" i="16"/>
  <c r="BC107" i="16"/>
  <c r="BD107" i="16" s="1"/>
  <c r="BC168" i="16"/>
  <c r="BD168" i="16" s="1"/>
  <c r="AN168" i="16"/>
  <c r="AN129" i="16"/>
  <c r="BC129" i="16"/>
  <c r="BD129" i="16" s="1"/>
  <c r="AN145" i="16"/>
  <c r="BC145" i="16"/>
  <c r="BD145" i="16" s="1"/>
  <c r="AN131" i="16"/>
  <c r="BC131" i="16"/>
  <c r="BD131" i="16" s="1"/>
  <c r="AN122" i="16"/>
  <c r="BC122" i="16"/>
  <c r="BD122" i="16" s="1"/>
  <c r="BC99" i="16"/>
  <c r="BD99" i="16" s="1"/>
  <c r="AN99" i="16"/>
  <c r="BC94" i="16"/>
  <c r="BD94" i="16" s="1"/>
  <c r="AN94" i="16"/>
  <c r="AN88" i="16"/>
  <c r="BC88" i="16"/>
  <c r="BD88" i="16" s="1"/>
  <c r="AN151" i="16"/>
  <c r="BC151" i="16"/>
  <c r="BD151" i="16" s="1"/>
  <c r="AN127" i="16"/>
  <c r="BC127" i="16"/>
  <c r="BD127" i="16" s="1"/>
  <c r="AN132" i="16"/>
  <c r="BC132" i="16"/>
  <c r="BD132" i="16" s="1"/>
  <c r="AN175" i="16"/>
  <c r="BC175" i="16"/>
  <c r="BD175" i="16" s="1"/>
  <c r="AN171" i="16"/>
  <c r="BC171" i="16"/>
  <c r="BD171" i="16" s="1"/>
  <c r="BC165" i="16"/>
  <c r="BD165" i="16" s="1"/>
  <c r="AN165" i="16"/>
  <c r="AN160" i="16"/>
  <c r="BC160" i="16"/>
  <c r="BD160" i="16" s="1"/>
  <c r="AN156" i="16"/>
  <c r="BC156" i="16"/>
  <c r="BD156" i="16" s="1"/>
  <c r="BC159" i="16"/>
  <c r="BD159" i="16" s="1"/>
  <c r="AN159" i="16"/>
  <c r="BC150" i="16"/>
  <c r="BD150" i="16" s="1"/>
  <c r="AN150" i="16"/>
  <c r="BC101" i="16"/>
  <c r="BD101" i="16" s="1"/>
  <c r="AN101" i="16"/>
  <c r="AN111" i="16"/>
  <c r="BC111" i="16"/>
  <c r="BD111" i="16" s="1"/>
  <c r="AN87" i="16"/>
  <c r="BC87" i="16"/>
  <c r="BD87" i="16" s="1"/>
  <c r="BC126" i="16"/>
  <c r="BD126" i="16" s="1"/>
  <c r="AN126" i="16"/>
  <c r="AN138" i="16"/>
  <c r="BC138" i="16"/>
  <c r="BD138" i="16" s="1"/>
  <c r="AN181" i="16"/>
  <c r="BC181" i="16"/>
  <c r="BD181" i="16" s="1"/>
  <c r="BC176" i="16"/>
  <c r="BD176" i="16" s="1"/>
  <c r="AN176" i="16"/>
  <c r="BC144" i="16"/>
  <c r="BD144" i="16" s="1"/>
  <c r="AN144" i="16"/>
  <c r="AN134" i="16"/>
  <c r="BC134" i="16"/>
  <c r="BD134" i="16" s="1"/>
  <c r="BC128" i="16"/>
  <c r="BD128" i="16" s="1"/>
  <c r="AN128" i="16"/>
  <c r="AN100" i="16"/>
  <c r="BC100" i="16"/>
  <c r="BD100" i="16" s="1"/>
  <c r="AN125" i="16"/>
  <c r="BC125" i="16"/>
  <c r="BD125" i="16" s="1"/>
  <c r="BC3" i="16"/>
  <c r="BD3" i="16" s="1"/>
  <c r="AN3" i="16"/>
  <c r="AN245" i="1"/>
  <c r="AN243" i="1"/>
  <c r="AQ230" i="1"/>
  <c r="AN248" i="1"/>
  <c r="BC242" i="1"/>
  <c r="BD242" i="1" s="1"/>
  <c r="AN242" i="1"/>
  <c r="AN249" i="1"/>
  <c r="BC249" i="1"/>
  <c r="BD249" i="1" s="1"/>
  <c r="BC250" i="1"/>
  <c r="BD250" i="1" s="1"/>
  <c r="AN250" i="1"/>
  <c r="BC247" i="1"/>
  <c r="BD247" i="1" s="1"/>
  <c r="AN247" i="1"/>
  <c r="AN244" i="1"/>
  <c r="BC244" i="1"/>
  <c r="BD244" i="1" s="1"/>
  <c r="AN3" i="11"/>
  <c r="AQ217" i="1"/>
  <c r="BE228" i="1"/>
  <c r="AI231" i="1"/>
  <c r="AO231" i="1" s="1"/>
  <c r="AX220" i="1"/>
  <c r="AO214" i="1"/>
  <c r="AK214" i="1"/>
  <c r="AM214" i="1" s="1"/>
  <c r="AO223" i="1"/>
  <c r="AK223" i="1"/>
  <c r="AM223" i="1" s="1"/>
  <c r="AX161" i="1"/>
  <c r="AJ231" i="1"/>
  <c r="BE231" i="1" s="1"/>
  <c r="AJ222" i="1"/>
  <c r="AP222" i="1" s="1"/>
  <c r="AL230" i="1"/>
  <c r="BC230" i="1" s="1"/>
  <c r="BD230" i="1" s="1"/>
  <c r="AO220" i="1"/>
  <c r="AK220" i="1"/>
  <c r="AM220" i="1" s="1"/>
  <c r="BC215" i="1"/>
  <c r="BD215" i="1" s="1"/>
  <c r="AN215" i="1"/>
  <c r="AL217" i="1"/>
  <c r="BC217" i="1" s="1"/>
  <c r="BD217" i="1" s="1"/>
  <c r="AL228" i="1"/>
  <c r="AI222" i="1"/>
  <c r="AO222" i="1" s="1"/>
  <c r="AO219" i="1"/>
  <c r="AX219" i="1"/>
  <c r="AK219" i="1"/>
  <c r="AM219" i="1" s="1"/>
  <c r="AK215" i="1"/>
  <c r="AM215" i="1" s="1"/>
  <c r="AO215" i="1"/>
  <c r="AX215" i="1"/>
  <c r="AL216" i="1"/>
  <c r="BE216" i="1"/>
  <c r="AQ216" i="1"/>
  <c r="AP216" i="1"/>
  <c r="BE215" i="1"/>
  <c r="AX218" i="1"/>
  <c r="AK218" i="1"/>
  <c r="AM218" i="1" s="1"/>
  <c r="AO218" i="1"/>
  <c r="AL218" i="1"/>
  <c r="BE218" i="1"/>
  <c r="AQ218" i="1"/>
  <c r="AP218" i="1"/>
  <c r="AO230" i="1"/>
  <c r="AX230" i="1"/>
  <c r="AK230" i="1"/>
  <c r="AM230" i="1" s="1"/>
  <c r="AO217" i="1"/>
  <c r="AX217" i="1"/>
  <c r="AK217" i="1"/>
  <c r="AM217" i="1" s="1"/>
  <c r="AQ223" i="1"/>
  <c r="AP223" i="1"/>
  <c r="AL223" i="1"/>
  <c r="BE223" i="1"/>
  <c r="AL229" i="1"/>
  <c r="AQ229" i="1"/>
  <c r="BE229" i="1"/>
  <c r="AP229" i="1"/>
  <c r="AQ214" i="1"/>
  <c r="BE214" i="1"/>
  <c r="AP214" i="1"/>
  <c r="AL214" i="1"/>
  <c r="BE220" i="1"/>
  <c r="AQ220" i="1"/>
  <c r="AP220" i="1"/>
  <c r="AL220" i="1"/>
  <c r="BE217" i="1"/>
  <c r="AQ219" i="1"/>
  <c r="AX228" i="1"/>
  <c r="BE230" i="1"/>
  <c r="BE219" i="1"/>
  <c r="AO228" i="1"/>
  <c r="AX214" i="1"/>
  <c r="AP215" i="1"/>
  <c r="AK216" i="1"/>
  <c r="AM216" i="1" s="1"/>
  <c r="AL219" i="1"/>
  <c r="AX223" i="1"/>
  <c r="AP228" i="1"/>
  <c r="AK229" i="1"/>
  <c r="AM229" i="1" s="1"/>
  <c r="AQ215" i="1"/>
  <c r="AQ228" i="1"/>
  <c r="AX216" i="1"/>
  <c r="AP217" i="1"/>
  <c r="AX229" i="1"/>
  <c r="AP230" i="1"/>
  <c r="AL181" i="1"/>
  <c r="AN181" i="1" s="1"/>
  <c r="BE191" i="1"/>
  <c r="AX203" i="1"/>
  <c r="AP172" i="1"/>
  <c r="AQ150" i="1"/>
  <c r="AX165" i="1"/>
  <c r="AX188" i="1"/>
  <c r="BE162" i="1"/>
  <c r="AQ182" i="1"/>
  <c r="AO170" i="1"/>
  <c r="AX207" i="1"/>
  <c r="AL186" i="1"/>
  <c r="BC186" i="1" s="1"/>
  <c r="BD186" i="1" s="1"/>
  <c r="AX151" i="1"/>
  <c r="AX164" i="1"/>
  <c r="AL158" i="1"/>
  <c r="BC158" i="1" s="1"/>
  <c r="BD158" i="1" s="1"/>
  <c r="BE169" i="1"/>
  <c r="AX172" i="1"/>
  <c r="BE194" i="1"/>
  <c r="AL204" i="1"/>
  <c r="BC204" i="1" s="1"/>
  <c r="BD204" i="1" s="1"/>
  <c r="AN192" i="1"/>
  <c r="BC192" i="1"/>
  <c r="BD192" i="1" s="1"/>
  <c r="AN155" i="1"/>
  <c r="BC155" i="1"/>
  <c r="BD155" i="1" s="1"/>
  <c r="BE183" i="1"/>
  <c r="AL183" i="1"/>
  <c r="BC183" i="1" s="1"/>
  <c r="BD183" i="1" s="1"/>
  <c r="AQ196" i="1"/>
  <c r="AK184" i="1"/>
  <c r="AM184" i="1" s="1"/>
  <c r="AX184" i="1"/>
  <c r="AO184" i="1"/>
  <c r="AX200" i="1"/>
  <c r="AN159" i="1"/>
  <c r="BC159" i="1"/>
  <c r="BD159" i="1" s="1"/>
  <c r="AN167" i="1"/>
  <c r="BC167" i="1"/>
  <c r="BD167" i="1" s="1"/>
  <c r="AP175" i="1"/>
  <c r="BE175" i="1"/>
  <c r="AL175" i="1"/>
  <c r="AN175" i="1" s="1"/>
  <c r="AQ184" i="1"/>
  <c r="AQ188" i="1"/>
  <c r="AO171" i="1"/>
  <c r="AK171" i="1"/>
  <c r="AM171" i="1" s="1"/>
  <c r="AO164" i="1"/>
  <c r="AK164" i="1"/>
  <c r="AM164" i="1" s="1"/>
  <c r="AL177" i="1"/>
  <c r="AN177" i="1" s="1"/>
  <c r="AP177" i="1"/>
  <c r="AX181" i="1"/>
  <c r="AQ174" i="1"/>
  <c r="AK174" i="1"/>
  <c r="AM174" i="1" s="1"/>
  <c r="AQ192" i="1"/>
  <c r="AX182" i="1"/>
  <c r="AX192" i="1"/>
  <c r="AQ164" i="1"/>
  <c r="AK172" i="1"/>
  <c r="AM172" i="1" s="1"/>
  <c r="AK182" i="1"/>
  <c r="AM182" i="1" s="1"/>
  <c r="AK198" i="1"/>
  <c r="AM198" i="1" s="1"/>
  <c r="AN165" i="1"/>
  <c r="AL182" i="1"/>
  <c r="BC182" i="1" s="1"/>
  <c r="BD182" i="1" s="1"/>
  <c r="AX209" i="1"/>
  <c r="AP165" i="1"/>
  <c r="AO178" i="1"/>
  <c r="AX180" i="1"/>
  <c r="AO182" i="1"/>
  <c r="AL157" i="1"/>
  <c r="BC157" i="1" s="1"/>
  <c r="BD157" i="1" s="1"/>
  <c r="AO160" i="1"/>
  <c r="AK161" i="1"/>
  <c r="AM161" i="1" s="1"/>
  <c r="AK163" i="1"/>
  <c r="AM163" i="1" s="1"/>
  <c r="AL166" i="1"/>
  <c r="BC166" i="1" s="1"/>
  <c r="BD166" i="1" s="1"/>
  <c r="AX179" i="1"/>
  <c r="AP182" i="1"/>
  <c r="AQ204" i="1"/>
  <c r="AK209" i="1"/>
  <c r="AM209" i="1" s="1"/>
  <c r="AX176" i="1"/>
  <c r="AX178" i="1"/>
  <c r="AX196" i="1"/>
  <c r="AK206" i="1"/>
  <c r="AM206" i="1" s="1"/>
  <c r="AO209" i="1"/>
  <c r="AX162" i="1"/>
  <c r="AL201" i="1"/>
  <c r="AN201" i="1" s="1"/>
  <c r="AQ172" i="1"/>
  <c r="BC173" i="1"/>
  <c r="BD173" i="1" s="1"/>
  <c r="BE174" i="1"/>
  <c r="AK183" i="1"/>
  <c r="AM183" i="1" s="1"/>
  <c r="BE203" i="1"/>
  <c r="AX208" i="1"/>
  <c r="BE211" i="1"/>
  <c r="AL163" i="1"/>
  <c r="BE163" i="1"/>
  <c r="AQ163" i="1"/>
  <c r="AP163" i="1"/>
  <c r="AX168" i="1"/>
  <c r="AK168" i="1"/>
  <c r="AM168" i="1" s="1"/>
  <c r="AO168" i="1"/>
  <c r="AQ168" i="1"/>
  <c r="AO150" i="1"/>
  <c r="AX150" i="1"/>
  <c r="AK150" i="1"/>
  <c r="AM150" i="1" s="1"/>
  <c r="AK153" i="1"/>
  <c r="AM153" i="1" s="1"/>
  <c r="AO153" i="1"/>
  <c r="AX153" i="1"/>
  <c r="BC154" i="1"/>
  <c r="BD154" i="1" s="1"/>
  <c r="AN154" i="1"/>
  <c r="AX158" i="1"/>
  <c r="AK158" i="1"/>
  <c r="AM158" i="1" s="1"/>
  <c r="AO158" i="1"/>
  <c r="AL171" i="1"/>
  <c r="BE171" i="1"/>
  <c r="AQ171" i="1"/>
  <c r="AP171" i="1"/>
  <c r="BD172" i="1"/>
  <c r="BE172" i="1"/>
  <c r="AK175" i="1"/>
  <c r="AM175" i="1" s="1"/>
  <c r="AO175" i="1"/>
  <c r="AX175" i="1"/>
  <c r="AO177" i="1"/>
  <c r="AK177" i="1"/>
  <c r="AM177" i="1" s="1"/>
  <c r="AX177" i="1"/>
  <c r="AL149" i="1"/>
  <c r="BE149" i="1"/>
  <c r="AQ149" i="1"/>
  <c r="AP149" i="1"/>
  <c r="AQ161" i="1"/>
  <c r="AL161" i="1"/>
  <c r="BE161" i="1"/>
  <c r="AP161" i="1"/>
  <c r="AL152" i="1"/>
  <c r="BE152" i="1"/>
  <c r="AQ152" i="1"/>
  <c r="AP152" i="1"/>
  <c r="AQ153" i="1"/>
  <c r="AP153" i="1"/>
  <c r="AL153" i="1"/>
  <c r="BE153" i="1"/>
  <c r="BE160" i="1"/>
  <c r="AL160" i="1"/>
  <c r="AQ160" i="1"/>
  <c r="AP160" i="1"/>
  <c r="AL170" i="1"/>
  <c r="BE170" i="1"/>
  <c r="AQ170" i="1"/>
  <c r="AP170" i="1"/>
  <c r="BE156" i="1"/>
  <c r="AX173" i="1"/>
  <c r="AK173" i="1"/>
  <c r="AM173" i="1" s="1"/>
  <c r="AO173" i="1"/>
  <c r="BE155" i="1"/>
  <c r="AK148" i="1"/>
  <c r="AM148" i="1" s="1"/>
  <c r="AO148" i="1"/>
  <c r="AX148" i="1"/>
  <c r="AL151" i="1"/>
  <c r="BE151" i="1"/>
  <c r="AQ151" i="1"/>
  <c r="AP151" i="1"/>
  <c r="AX154" i="1"/>
  <c r="AK154" i="1"/>
  <c r="AM154" i="1" s="1"/>
  <c r="AO154" i="1"/>
  <c r="BD165" i="1"/>
  <c r="BE165" i="1"/>
  <c r="AX149" i="1"/>
  <c r="AK149" i="1"/>
  <c r="AM149" i="1" s="1"/>
  <c r="AO149" i="1"/>
  <c r="AX157" i="1"/>
  <c r="AO157" i="1"/>
  <c r="AQ157" i="1"/>
  <c r="AK157" i="1"/>
  <c r="AM157" i="1" s="1"/>
  <c r="BE148" i="1"/>
  <c r="AQ148" i="1"/>
  <c r="AP148" i="1"/>
  <c r="AL148" i="1"/>
  <c r="BE157" i="1"/>
  <c r="BE178" i="1"/>
  <c r="BE150" i="1"/>
  <c r="AX155" i="1"/>
  <c r="AQ158" i="1"/>
  <c r="BE158" i="1"/>
  <c r="AO159" i="1"/>
  <c r="AL164" i="1"/>
  <c r="AO165" i="1"/>
  <c r="BE166" i="1"/>
  <c r="AO167" i="1"/>
  <c r="AP173" i="1"/>
  <c r="BE173" i="1"/>
  <c r="AQ177" i="1"/>
  <c r="AL187" i="1"/>
  <c r="AQ187" i="1"/>
  <c r="AP187" i="1"/>
  <c r="BE187" i="1"/>
  <c r="AK147" i="1"/>
  <c r="AM147" i="1" s="1"/>
  <c r="BE147" i="1"/>
  <c r="AL150" i="1"/>
  <c r="AO151" i="1"/>
  <c r="AP154" i="1"/>
  <c r="AK155" i="1"/>
  <c r="AM155" i="1" s="1"/>
  <c r="AK156" i="1"/>
  <c r="AM156" i="1" s="1"/>
  <c r="AQ159" i="1"/>
  <c r="AO162" i="1"/>
  <c r="AQ166" i="1"/>
  <c r="AQ167" i="1"/>
  <c r="AQ169" i="1"/>
  <c r="AP169" i="1"/>
  <c r="AX169" i="1"/>
  <c r="AN172" i="1"/>
  <c r="AQ173" i="1"/>
  <c r="BE176" i="1"/>
  <c r="AQ176" i="1"/>
  <c r="AP176" i="1"/>
  <c r="BE177" i="1"/>
  <c r="AL179" i="1"/>
  <c r="BE179" i="1"/>
  <c r="AQ179" i="1"/>
  <c r="AP179" i="1"/>
  <c r="AP183" i="1"/>
  <c r="AQ183" i="1"/>
  <c r="AN208" i="1"/>
  <c r="BC208" i="1"/>
  <c r="BD208" i="1" s="1"/>
  <c r="AL147" i="1"/>
  <c r="AK152" i="1"/>
  <c r="AM152" i="1" s="1"/>
  <c r="AQ154" i="1"/>
  <c r="AL156" i="1"/>
  <c r="AX156" i="1"/>
  <c r="AP162" i="1"/>
  <c r="BE164" i="1"/>
  <c r="AQ165" i="1"/>
  <c r="AK169" i="1"/>
  <c r="AM169" i="1" s="1"/>
  <c r="AL176" i="1"/>
  <c r="AK179" i="1"/>
  <c r="AM179" i="1" s="1"/>
  <c r="AX147" i="1"/>
  <c r="AP164" i="1"/>
  <c r="BE168" i="1"/>
  <c r="BC169" i="1"/>
  <c r="BD169" i="1" s="1"/>
  <c r="AN169" i="1"/>
  <c r="AO174" i="1"/>
  <c r="AX174" i="1"/>
  <c r="AQ178" i="1"/>
  <c r="AP178" i="1"/>
  <c r="AK189" i="1"/>
  <c r="AM189" i="1" s="1"/>
  <c r="AO189" i="1"/>
  <c r="AQ190" i="1"/>
  <c r="AL190" i="1"/>
  <c r="BE190" i="1"/>
  <c r="AQ147" i="1"/>
  <c r="AX152" i="1"/>
  <c r="BE154" i="1"/>
  <c r="AP155" i="1"/>
  <c r="BE159" i="1"/>
  <c r="AP159" i="1"/>
  <c r="AX159" i="1"/>
  <c r="AX160" i="1"/>
  <c r="AO166" i="1"/>
  <c r="AX166" i="1"/>
  <c r="BE167" i="1"/>
  <c r="AX167" i="1"/>
  <c r="AL168" i="1"/>
  <c r="AO176" i="1"/>
  <c r="AL178" i="1"/>
  <c r="AO180" i="1"/>
  <c r="AK180" i="1"/>
  <c r="AM180" i="1" s="1"/>
  <c r="AN182" i="1"/>
  <c r="AX194" i="1"/>
  <c r="AO194" i="1"/>
  <c r="AP197" i="1"/>
  <c r="AL197" i="1"/>
  <c r="AQ197" i="1"/>
  <c r="BE197" i="1"/>
  <c r="AO201" i="1"/>
  <c r="AX201" i="1"/>
  <c r="AK201" i="1"/>
  <c r="AM201" i="1" s="1"/>
  <c r="AX202" i="1"/>
  <c r="AO202" i="1"/>
  <c r="AK202" i="1"/>
  <c r="AM202" i="1" s="1"/>
  <c r="AP150" i="1"/>
  <c r="AQ155" i="1"/>
  <c r="AP156" i="1"/>
  <c r="AL162" i="1"/>
  <c r="AQ162" i="1"/>
  <c r="AX171" i="1"/>
  <c r="AL180" i="1"/>
  <c r="AP180" i="1"/>
  <c r="AQ180" i="1"/>
  <c r="BE180" i="1"/>
  <c r="BE181" i="1"/>
  <c r="AQ181" i="1"/>
  <c r="BE193" i="1"/>
  <c r="AQ193" i="1"/>
  <c r="AL193" i="1"/>
  <c r="BE185" i="1"/>
  <c r="AQ185" i="1"/>
  <c r="AL185" i="1"/>
  <c r="AQ156" i="1"/>
  <c r="AX163" i="1"/>
  <c r="AK165" i="1"/>
  <c r="AM165" i="1" s="1"/>
  <c r="AK166" i="1"/>
  <c r="AM166" i="1" s="1"/>
  <c r="AP168" i="1"/>
  <c r="AX170" i="1"/>
  <c r="AL174" i="1"/>
  <c r="AO181" i="1"/>
  <c r="AK181" i="1"/>
  <c r="AM181" i="1" s="1"/>
  <c r="BE182" i="1"/>
  <c r="AO186" i="1"/>
  <c r="AX186" i="1"/>
  <c r="AK186" i="1"/>
  <c r="AM186" i="1" s="1"/>
  <c r="BE186" i="1"/>
  <c r="AX189" i="1"/>
  <c r="AK194" i="1"/>
  <c r="AM194" i="1" s="1"/>
  <c r="AP195" i="1"/>
  <c r="AL195" i="1"/>
  <c r="BE195" i="1"/>
  <c r="AQ195" i="1"/>
  <c r="AQ198" i="1"/>
  <c r="BE198" i="1"/>
  <c r="AL198" i="1"/>
  <c r="AL210" i="1"/>
  <c r="AQ210" i="1"/>
  <c r="BE210" i="1"/>
  <c r="AP167" i="1"/>
  <c r="AQ175" i="1"/>
  <c r="AK185" i="1"/>
  <c r="AM185" i="1" s="1"/>
  <c r="AO185" i="1"/>
  <c r="AX185" i="1"/>
  <c r="AK187" i="1"/>
  <c r="AM187" i="1" s="1"/>
  <c r="AX190" i="1"/>
  <c r="AO200" i="1"/>
  <c r="AK200" i="1"/>
  <c r="AM200" i="1" s="1"/>
  <c r="BE201" i="1"/>
  <c r="BE209" i="1"/>
  <c r="AX183" i="1"/>
  <c r="AK188" i="1"/>
  <c r="AM188" i="1" s="1"/>
  <c r="AO188" i="1"/>
  <c r="AO193" i="1"/>
  <c r="AX193" i="1"/>
  <c r="AK193" i="1"/>
  <c r="AM193" i="1" s="1"/>
  <c r="AK196" i="1"/>
  <c r="AM196" i="1" s="1"/>
  <c r="AO196" i="1"/>
  <c r="AL202" i="1"/>
  <c r="AQ202" i="1"/>
  <c r="AP202" i="1"/>
  <c r="BE202" i="1"/>
  <c r="AO203" i="1"/>
  <c r="AK203" i="1"/>
  <c r="AM203" i="1" s="1"/>
  <c r="BE184" i="1"/>
  <c r="AP184" i="1"/>
  <c r="AL184" i="1"/>
  <c r="BE188" i="1"/>
  <c r="AP188" i="1"/>
  <c r="AL188" i="1"/>
  <c r="AO190" i="1"/>
  <c r="AO191" i="1"/>
  <c r="AX191" i="1"/>
  <c r="BE196" i="1"/>
  <c r="AP196" i="1"/>
  <c r="AL196" i="1"/>
  <c r="AQ200" i="1"/>
  <c r="AP203" i="1"/>
  <c r="AL203" i="1"/>
  <c r="AQ203" i="1"/>
  <c r="BE205" i="1"/>
  <c r="AQ205" i="1"/>
  <c r="AL205" i="1"/>
  <c r="BE208" i="1"/>
  <c r="AQ208" i="1"/>
  <c r="AP208" i="1"/>
  <c r="AX187" i="1"/>
  <c r="BE189" i="1"/>
  <c r="AQ189" i="1"/>
  <c r="AL191" i="1"/>
  <c r="AQ191" i="1"/>
  <c r="AP191" i="1"/>
  <c r="AQ194" i="1"/>
  <c r="AP194" i="1"/>
  <c r="AX197" i="1"/>
  <c r="AK199" i="1"/>
  <c r="AM199" i="1" s="1"/>
  <c r="AO199" i="1"/>
  <c r="AX199" i="1"/>
  <c r="AQ186" i="1"/>
  <c r="AL189" i="1"/>
  <c r="AO192" i="1"/>
  <c r="AK192" i="1"/>
  <c r="AM192" i="1" s="1"/>
  <c r="AL194" i="1"/>
  <c r="AX195" i="1"/>
  <c r="AK195" i="1"/>
  <c r="AM195" i="1" s="1"/>
  <c r="AQ199" i="1"/>
  <c r="AK207" i="1"/>
  <c r="AM207" i="1" s="1"/>
  <c r="AQ207" i="1"/>
  <c r="AO207" i="1"/>
  <c r="AP192" i="1"/>
  <c r="AX206" i="1"/>
  <c r="AL207" i="1"/>
  <c r="BE207" i="1"/>
  <c r="AP207" i="1"/>
  <c r="AQ209" i="1"/>
  <c r="AL209" i="1"/>
  <c r="AX198" i="1"/>
  <c r="BE200" i="1"/>
  <c r="AX205" i="1"/>
  <c r="AQ206" i="1"/>
  <c r="AP206" i="1"/>
  <c r="BE206" i="1"/>
  <c r="AX211" i="1"/>
  <c r="BE192" i="1"/>
  <c r="AK197" i="1"/>
  <c r="AM197" i="1" s="1"/>
  <c r="AL200" i="1"/>
  <c r="BE204" i="1"/>
  <c r="AK205" i="1"/>
  <c r="AM205" i="1" s="1"/>
  <c r="AL199" i="1"/>
  <c r="BE199" i="1"/>
  <c r="AP199" i="1"/>
  <c r="AK204" i="1"/>
  <c r="AM204" i="1" s="1"/>
  <c r="AO204" i="1"/>
  <c r="AX204" i="1"/>
  <c r="AL206" i="1"/>
  <c r="AP209" i="1"/>
  <c r="AX210" i="1"/>
  <c r="AO210" i="1"/>
  <c r="AK211" i="1"/>
  <c r="AM211" i="1" s="1"/>
  <c r="AQ201" i="1"/>
  <c r="AK210" i="1"/>
  <c r="AM210" i="1" s="1"/>
  <c r="AQ211" i="1"/>
  <c r="AK208" i="1"/>
  <c r="AM208" i="1" s="1"/>
  <c r="AL211" i="1"/>
  <c r="BE146" i="1"/>
  <c r="AQ146" i="1"/>
  <c r="AP146" i="1"/>
  <c r="AL146" i="1"/>
  <c r="AX146" i="1"/>
  <c r="AO146" i="1"/>
  <c r="AK112" i="1"/>
  <c r="AM112" i="1" s="1"/>
  <c r="AK116" i="1"/>
  <c r="AM116" i="1" s="1"/>
  <c r="AK124" i="1"/>
  <c r="AM124" i="1" s="1"/>
  <c r="AL115" i="1"/>
  <c r="BC115" i="1" s="1"/>
  <c r="BD115" i="1" s="1"/>
  <c r="AL123" i="1"/>
  <c r="AN123" i="1" s="1"/>
  <c r="AQ114" i="1"/>
  <c r="AO116" i="1"/>
  <c r="AX127" i="1"/>
  <c r="AX131" i="1"/>
  <c r="AX143" i="1"/>
  <c r="BE112" i="1"/>
  <c r="AX123" i="1"/>
  <c r="AL111" i="1"/>
  <c r="AN111" i="1" s="1"/>
  <c r="AP115" i="1"/>
  <c r="AX135" i="1"/>
  <c r="AX118" i="1"/>
  <c r="AX112" i="1"/>
  <c r="AX120" i="1"/>
  <c r="AP123" i="1"/>
  <c r="AX139" i="1"/>
  <c r="AX110" i="1"/>
  <c r="BE120" i="1"/>
  <c r="AQ122" i="1"/>
  <c r="AX122" i="1"/>
  <c r="AP110" i="1"/>
  <c r="AQ110" i="1"/>
  <c r="AX115" i="1"/>
  <c r="BE116" i="1"/>
  <c r="AQ118" i="1"/>
  <c r="BE97" i="1"/>
  <c r="BE101" i="1"/>
  <c r="AO124" i="1"/>
  <c r="BE105" i="1"/>
  <c r="AQ94" i="1"/>
  <c r="BE94" i="1"/>
  <c r="AP94" i="1"/>
  <c r="AL94" i="1"/>
  <c r="AQ99" i="1"/>
  <c r="AX99" i="1"/>
  <c r="AO99" i="1"/>
  <c r="AK99" i="1"/>
  <c r="AM99" i="1" s="1"/>
  <c r="AK105" i="1"/>
  <c r="AM105" i="1" s="1"/>
  <c r="AQ105" i="1"/>
  <c r="AX105" i="1"/>
  <c r="AO105" i="1"/>
  <c r="AQ106" i="1"/>
  <c r="BE106" i="1"/>
  <c r="AP106" i="1"/>
  <c r="AL106" i="1"/>
  <c r="AQ103" i="1"/>
  <c r="AX103" i="1"/>
  <c r="AO103" i="1"/>
  <c r="AK103" i="1"/>
  <c r="AM103" i="1" s="1"/>
  <c r="AK97" i="1"/>
  <c r="AM97" i="1" s="1"/>
  <c r="AQ97" i="1"/>
  <c r="AX97" i="1"/>
  <c r="AO97" i="1"/>
  <c r="AQ98" i="1"/>
  <c r="BE98" i="1"/>
  <c r="AP98" i="1"/>
  <c r="AL98" i="1"/>
  <c r="AQ107" i="1"/>
  <c r="AX107" i="1"/>
  <c r="AO107" i="1"/>
  <c r="AK107" i="1"/>
  <c r="AM107" i="1" s="1"/>
  <c r="AQ95" i="1"/>
  <c r="AX95" i="1"/>
  <c r="AO95" i="1"/>
  <c r="AK95" i="1"/>
  <c r="AM95" i="1" s="1"/>
  <c r="AK101" i="1"/>
  <c r="AM101" i="1" s="1"/>
  <c r="AQ101" i="1"/>
  <c r="AX101" i="1"/>
  <c r="AO101" i="1"/>
  <c r="AQ102" i="1"/>
  <c r="BE102" i="1"/>
  <c r="AP102" i="1"/>
  <c r="AL102" i="1"/>
  <c r="AQ108" i="1"/>
  <c r="AX108" i="1"/>
  <c r="AO108" i="1"/>
  <c r="AK108" i="1"/>
  <c r="AM108" i="1" s="1"/>
  <c r="AO110" i="1"/>
  <c r="AK110" i="1"/>
  <c r="AM110" i="1" s="1"/>
  <c r="BE110" i="1"/>
  <c r="AX111" i="1"/>
  <c r="AQ112" i="1"/>
  <c r="AP112" i="1"/>
  <c r="AL112" i="1"/>
  <c r="AO113" i="1"/>
  <c r="AK113" i="1"/>
  <c r="AM113" i="1" s="1"/>
  <c r="AX113" i="1"/>
  <c r="AQ115" i="1"/>
  <c r="BE115" i="1"/>
  <c r="AX116" i="1"/>
  <c r="AO120" i="1"/>
  <c r="AP121" i="1"/>
  <c r="AL121" i="1"/>
  <c r="BE121" i="1"/>
  <c r="AQ121" i="1"/>
  <c r="AQ127" i="1"/>
  <c r="AP127" i="1"/>
  <c r="AL127" i="1"/>
  <c r="BE127" i="1"/>
  <c r="AX128" i="1"/>
  <c r="AO128" i="1"/>
  <c r="AK128" i="1"/>
  <c r="AM128" i="1" s="1"/>
  <c r="AQ131" i="1"/>
  <c r="AP131" i="1"/>
  <c r="AL131" i="1"/>
  <c r="BE131" i="1"/>
  <c r="AX132" i="1"/>
  <c r="AO132" i="1"/>
  <c r="AK132" i="1"/>
  <c r="AM132" i="1" s="1"/>
  <c r="AQ135" i="1"/>
  <c r="AP135" i="1"/>
  <c r="AL135" i="1"/>
  <c r="BE135" i="1"/>
  <c r="AX136" i="1"/>
  <c r="AO136" i="1"/>
  <c r="AK136" i="1"/>
  <c r="AM136" i="1" s="1"/>
  <c r="AQ139" i="1"/>
  <c r="AP139" i="1"/>
  <c r="AL139" i="1"/>
  <c r="BE139" i="1"/>
  <c r="AX140" i="1"/>
  <c r="AO140" i="1"/>
  <c r="AK140" i="1"/>
  <c r="AM140" i="1" s="1"/>
  <c r="AQ143" i="1"/>
  <c r="AP143" i="1"/>
  <c r="AL143" i="1"/>
  <c r="BE143" i="1"/>
  <c r="AX144" i="1"/>
  <c r="AO144" i="1"/>
  <c r="AK144" i="1"/>
  <c r="AM144" i="1" s="1"/>
  <c r="BE96" i="1"/>
  <c r="AQ96" i="1"/>
  <c r="BE100" i="1"/>
  <c r="BE104" i="1"/>
  <c r="AQ104" i="1"/>
  <c r="BE109" i="1"/>
  <c r="AQ109" i="1"/>
  <c r="AO114" i="1"/>
  <c r="AK114" i="1"/>
  <c r="AM114" i="1" s="1"/>
  <c r="BE114" i="1"/>
  <c r="AQ116" i="1"/>
  <c r="AP116" i="1"/>
  <c r="AL116" i="1"/>
  <c r="AO117" i="1"/>
  <c r="AK117" i="1"/>
  <c r="AM117" i="1" s="1"/>
  <c r="AX117" i="1"/>
  <c r="AQ119" i="1"/>
  <c r="BE119" i="1"/>
  <c r="AQ128" i="1"/>
  <c r="AP128" i="1"/>
  <c r="AL128" i="1"/>
  <c r="BE128" i="1"/>
  <c r="AQ132" i="1"/>
  <c r="AP132" i="1"/>
  <c r="AL132" i="1"/>
  <c r="BE132" i="1"/>
  <c r="AQ136" i="1"/>
  <c r="AP136" i="1"/>
  <c r="AL136" i="1"/>
  <c r="BE136" i="1"/>
  <c r="AQ140" i="1"/>
  <c r="AP140" i="1"/>
  <c r="AL140" i="1"/>
  <c r="BE140" i="1"/>
  <c r="AQ144" i="1"/>
  <c r="AP144" i="1"/>
  <c r="AL144" i="1"/>
  <c r="BE144" i="1"/>
  <c r="AP95" i="1"/>
  <c r="AL95" i="1"/>
  <c r="BE95" i="1"/>
  <c r="AL96" i="1"/>
  <c r="AP99" i="1"/>
  <c r="AL99" i="1"/>
  <c r="BE99" i="1"/>
  <c r="AL100" i="1"/>
  <c r="AP103" i="1"/>
  <c r="AL103" i="1"/>
  <c r="BE103" i="1"/>
  <c r="AL104" i="1"/>
  <c r="AP107" i="1"/>
  <c r="AL107" i="1"/>
  <c r="BE107" i="1"/>
  <c r="AP108" i="1"/>
  <c r="AL108" i="1"/>
  <c r="BE108" i="1"/>
  <c r="AL109" i="1"/>
  <c r="AO112" i="1"/>
  <c r="AP113" i="1"/>
  <c r="AL113" i="1"/>
  <c r="BE113" i="1"/>
  <c r="AQ113" i="1"/>
  <c r="AO118" i="1"/>
  <c r="AK118" i="1"/>
  <c r="AM118" i="1" s="1"/>
  <c r="BE118" i="1"/>
  <c r="AX119" i="1"/>
  <c r="AQ120" i="1"/>
  <c r="AP120" i="1"/>
  <c r="AL120" i="1"/>
  <c r="AO121" i="1"/>
  <c r="AK121" i="1"/>
  <c r="AM121" i="1" s="1"/>
  <c r="AX121" i="1"/>
  <c r="AQ123" i="1"/>
  <c r="BE123" i="1"/>
  <c r="AX124" i="1"/>
  <c r="AO125" i="1"/>
  <c r="AK125" i="1"/>
  <c r="AM125" i="1" s="1"/>
  <c r="AX125" i="1"/>
  <c r="BE126" i="1"/>
  <c r="AO129" i="1"/>
  <c r="AK129" i="1"/>
  <c r="AM129" i="1" s="1"/>
  <c r="AX129" i="1"/>
  <c r="BE130" i="1"/>
  <c r="AO133" i="1"/>
  <c r="AK133" i="1"/>
  <c r="AM133" i="1" s="1"/>
  <c r="AX133" i="1"/>
  <c r="BE134" i="1"/>
  <c r="AO137" i="1"/>
  <c r="AK137" i="1"/>
  <c r="AM137" i="1" s="1"/>
  <c r="AX137" i="1"/>
  <c r="BE138" i="1"/>
  <c r="AO141" i="1"/>
  <c r="AK141" i="1"/>
  <c r="AM141" i="1" s="1"/>
  <c r="AX141" i="1"/>
  <c r="BE142" i="1"/>
  <c r="AO145" i="1"/>
  <c r="AK145" i="1"/>
  <c r="AM145" i="1" s="1"/>
  <c r="AX145" i="1"/>
  <c r="AX94" i="1"/>
  <c r="AO96" i="1"/>
  <c r="AK96" i="1"/>
  <c r="AM96" i="1" s="1"/>
  <c r="AX96" i="1"/>
  <c r="AX98" i="1"/>
  <c r="AO100" i="1"/>
  <c r="AK100" i="1"/>
  <c r="AM100" i="1" s="1"/>
  <c r="AX102" i="1"/>
  <c r="AO104" i="1"/>
  <c r="AK104" i="1"/>
  <c r="AM104" i="1" s="1"/>
  <c r="AX104" i="1"/>
  <c r="AX106" i="1"/>
  <c r="AO109" i="1"/>
  <c r="AK109" i="1"/>
  <c r="AM109" i="1" s="1"/>
  <c r="AX109" i="1"/>
  <c r="AQ111" i="1"/>
  <c r="BE111" i="1"/>
  <c r="AX114" i="1"/>
  <c r="AP117" i="1"/>
  <c r="AL117" i="1"/>
  <c r="BE117" i="1"/>
  <c r="AQ117" i="1"/>
  <c r="AL119" i="1"/>
  <c r="AK120" i="1"/>
  <c r="AM120" i="1" s="1"/>
  <c r="AO122" i="1"/>
  <c r="AK122" i="1"/>
  <c r="AM122" i="1" s="1"/>
  <c r="BE122" i="1"/>
  <c r="AQ124" i="1"/>
  <c r="AP124" i="1"/>
  <c r="AL124" i="1"/>
  <c r="BE124" i="1"/>
  <c r="AK94" i="1"/>
  <c r="AM94" i="1" s="1"/>
  <c r="AO94" i="1"/>
  <c r="AL97" i="1"/>
  <c r="AK98" i="1"/>
  <c r="AM98" i="1" s="1"/>
  <c r="AO98" i="1"/>
  <c r="AL101" i="1"/>
  <c r="AK102" i="1"/>
  <c r="AM102" i="1" s="1"/>
  <c r="AO102" i="1"/>
  <c r="AL105" i="1"/>
  <c r="AK106" i="1"/>
  <c r="AM106" i="1" s="1"/>
  <c r="AO106" i="1"/>
  <c r="AL110" i="1"/>
  <c r="AK111" i="1"/>
  <c r="AM111" i="1" s="1"/>
  <c r="AO111" i="1"/>
  <c r="AL114" i="1"/>
  <c r="AK115" i="1"/>
  <c r="AM115" i="1" s="1"/>
  <c r="AO115" i="1"/>
  <c r="AL118" i="1"/>
  <c r="AK119" i="1"/>
  <c r="AM119" i="1" s="1"/>
  <c r="AO119" i="1"/>
  <c r="AL122" i="1"/>
  <c r="AK123" i="1"/>
  <c r="AM123" i="1" s="1"/>
  <c r="AO123" i="1"/>
  <c r="AQ125" i="1"/>
  <c r="AL126" i="1"/>
  <c r="AK127" i="1"/>
  <c r="AM127" i="1" s="1"/>
  <c r="AO127" i="1"/>
  <c r="AQ129" i="1"/>
  <c r="AL130" i="1"/>
  <c r="AK131" i="1"/>
  <c r="AM131" i="1" s="1"/>
  <c r="AO131" i="1"/>
  <c r="AQ133" i="1"/>
  <c r="AL134" i="1"/>
  <c r="AK135" i="1"/>
  <c r="AM135" i="1" s="1"/>
  <c r="AO135" i="1"/>
  <c r="AQ137" i="1"/>
  <c r="AL138" i="1"/>
  <c r="AK139" i="1"/>
  <c r="AM139" i="1" s="1"/>
  <c r="AO139" i="1"/>
  <c r="AQ141" i="1"/>
  <c r="AL142" i="1"/>
  <c r="AK143" i="1"/>
  <c r="AM143" i="1" s="1"/>
  <c r="AO143" i="1"/>
  <c r="AQ145" i="1"/>
  <c r="AQ126" i="1"/>
  <c r="AX126" i="1"/>
  <c r="AQ130" i="1"/>
  <c r="AX130" i="1"/>
  <c r="AQ134" i="1"/>
  <c r="AX134" i="1"/>
  <c r="AQ138" i="1"/>
  <c r="AX138" i="1"/>
  <c r="AQ142" i="1"/>
  <c r="AX142" i="1"/>
  <c r="BE125" i="1"/>
  <c r="BE129" i="1"/>
  <c r="BE133" i="1"/>
  <c r="BE137" i="1"/>
  <c r="BE141" i="1"/>
  <c r="BE145" i="1"/>
  <c r="AL125" i="1"/>
  <c r="AK126" i="1"/>
  <c r="AM126" i="1" s="1"/>
  <c r="AL129" i="1"/>
  <c r="AK130" i="1"/>
  <c r="AM130" i="1" s="1"/>
  <c r="AL133" i="1"/>
  <c r="AK134" i="1"/>
  <c r="AM134" i="1" s="1"/>
  <c r="AL137" i="1"/>
  <c r="AK138" i="1"/>
  <c r="AM138" i="1" s="1"/>
  <c r="AL141" i="1"/>
  <c r="AK142" i="1"/>
  <c r="AM142" i="1" s="1"/>
  <c r="AL145" i="1"/>
  <c r="AY93" i="1"/>
  <c r="BA93" i="1" s="1"/>
  <c r="BB93" i="1" s="1"/>
  <c r="AR93" i="1"/>
  <c r="AT93" i="1" s="1"/>
  <c r="AU93" i="1" s="1"/>
  <c r="AH93" i="1"/>
  <c r="AJ93" i="1" s="1"/>
  <c r="AP93" i="1" s="1"/>
  <c r="AG93" i="1"/>
  <c r="AI93" i="1" s="1"/>
  <c r="AO93" i="1" s="1"/>
  <c r="AY92" i="1"/>
  <c r="BA92" i="1" s="1"/>
  <c r="BB92" i="1" s="1"/>
  <c r="AR92" i="1"/>
  <c r="AT92" i="1" s="1"/>
  <c r="AU92" i="1" s="1"/>
  <c r="AH92" i="1"/>
  <c r="AJ92" i="1" s="1"/>
  <c r="AP92" i="1" s="1"/>
  <c r="AG92" i="1"/>
  <c r="AI92" i="1" s="1"/>
  <c r="AO92" i="1" s="1"/>
  <c r="AY91" i="1"/>
  <c r="BA91" i="1" s="1"/>
  <c r="BB91" i="1" s="1"/>
  <c r="AR91" i="1"/>
  <c r="AT91" i="1" s="1"/>
  <c r="AU91" i="1" s="1"/>
  <c r="AH91" i="1"/>
  <c r="AJ91" i="1" s="1"/>
  <c r="AP91" i="1" s="1"/>
  <c r="AG91" i="1"/>
  <c r="AI91" i="1" s="1"/>
  <c r="AY90" i="1"/>
  <c r="BA90" i="1" s="1"/>
  <c r="BB90" i="1" s="1"/>
  <c r="AR90" i="1"/>
  <c r="AT90" i="1" s="1"/>
  <c r="AU90" i="1" s="1"/>
  <c r="AH90" i="1"/>
  <c r="AJ90" i="1" s="1"/>
  <c r="AG90" i="1"/>
  <c r="AI90" i="1" s="1"/>
  <c r="AY89" i="1"/>
  <c r="BA89" i="1" s="1"/>
  <c r="BB89" i="1" s="1"/>
  <c r="AR89" i="1"/>
  <c r="AT89" i="1" s="1"/>
  <c r="AU89" i="1" s="1"/>
  <c r="AH89" i="1"/>
  <c r="AJ89" i="1" s="1"/>
  <c r="AP89" i="1" s="1"/>
  <c r="AG89" i="1"/>
  <c r="AI89" i="1" s="1"/>
  <c r="AO89" i="1" s="1"/>
  <c r="AY88" i="1"/>
  <c r="BA88" i="1" s="1"/>
  <c r="BB88" i="1" s="1"/>
  <c r="AR88" i="1"/>
  <c r="AT88" i="1" s="1"/>
  <c r="AU88" i="1" s="1"/>
  <c r="AH88" i="1"/>
  <c r="AJ88" i="1" s="1"/>
  <c r="AP88" i="1" s="1"/>
  <c r="AG88" i="1"/>
  <c r="AI88" i="1" s="1"/>
  <c r="AO88" i="1" s="1"/>
  <c r="AY87" i="1"/>
  <c r="BA87" i="1" s="1"/>
  <c r="BB87" i="1" s="1"/>
  <c r="AR87" i="1"/>
  <c r="AT87" i="1" s="1"/>
  <c r="AU87" i="1" s="1"/>
  <c r="AH87" i="1"/>
  <c r="AJ87" i="1" s="1"/>
  <c r="AP87" i="1" s="1"/>
  <c r="AG87" i="1"/>
  <c r="AI87" i="1" s="1"/>
  <c r="AO87" i="1" s="1"/>
  <c r="AY86" i="1"/>
  <c r="BA86" i="1" s="1"/>
  <c r="BB86" i="1" s="1"/>
  <c r="AR86" i="1"/>
  <c r="AT86" i="1" s="1"/>
  <c r="AU86" i="1" s="1"/>
  <c r="AH86" i="1"/>
  <c r="AJ86" i="1" s="1"/>
  <c r="AP86" i="1" s="1"/>
  <c r="AG86" i="1"/>
  <c r="AI86" i="1" s="1"/>
  <c r="AO86" i="1" s="1"/>
  <c r="AY85" i="1"/>
  <c r="BA85" i="1" s="1"/>
  <c r="BB85" i="1" s="1"/>
  <c r="AR85" i="1"/>
  <c r="AT85" i="1" s="1"/>
  <c r="AU85" i="1" s="1"/>
  <c r="AH85" i="1"/>
  <c r="AJ85" i="1" s="1"/>
  <c r="AP85" i="1" s="1"/>
  <c r="AG85" i="1"/>
  <c r="AI85" i="1" s="1"/>
  <c r="AY84" i="1"/>
  <c r="BA84" i="1" s="1"/>
  <c r="BB84" i="1" s="1"/>
  <c r="AR84" i="1"/>
  <c r="AT84" i="1" s="1"/>
  <c r="AU84" i="1" s="1"/>
  <c r="AH84" i="1"/>
  <c r="AJ84" i="1" s="1"/>
  <c r="AP84" i="1" s="1"/>
  <c r="AG84" i="1"/>
  <c r="AI84" i="1" s="1"/>
  <c r="AO84" i="1" s="1"/>
  <c r="AY83" i="1"/>
  <c r="BA83" i="1" s="1"/>
  <c r="BB83" i="1" s="1"/>
  <c r="AR83" i="1"/>
  <c r="AT83" i="1" s="1"/>
  <c r="AU83" i="1" s="1"/>
  <c r="AH83" i="1"/>
  <c r="AJ83" i="1" s="1"/>
  <c r="AG83" i="1"/>
  <c r="AI83" i="1" s="1"/>
  <c r="AY82" i="1"/>
  <c r="BA82" i="1" s="1"/>
  <c r="BB82" i="1" s="1"/>
  <c r="AR82" i="1"/>
  <c r="AT82" i="1" s="1"/>
  <c r="AU82" i="1" s="1"/>
  <c r="AH82" i="1"/>
  <c r="AJ82" i="1" s="1"/>
  <c r="AG82" i="1"/>
  <c r="AI82" i="1" s="1"/>
  <c r="AY81" i="1"/>
  <c r="BA81" i="1" s="1"/>
  <c r="BB81" i="1" s="1"/>
  <c r="AR81" i="1"/>
  <c r="AT81" i="1" s="1"/>
  <c r="AU81" i="1" s="1"/>
  <c r="AH81" i="1"/>
  <c r="AJ81" i="1" s="1"/>
  <c r="AG81" i="1"/>
  <c r="AI81" i="1" s="1"/>
  <c r="AO81" i="1" s="1"/>
  <c r="AY80" i="1"/>
  <c r="BA80" i="1" s="1"/>
  <c r="BB80" i="1" s="1"/>
  <c r="AR80" i="1"/>
  <c r="AT80" i="1" s="1"/>
  <c r="AU80" i="1" s="1"/>
  <c r="AH80" i="1"/>
  <c r="AJ80" i="1" s="1"/>
  <c r="AP80" i="1" s="1"/>
  <c r="AG80" i="1"/>
  <c r="AI80" i="1" s="1"/>
  <c r="AO80" i="1" s="1"/>
  <c r="AY79" i="1"/>
  <c r="BA79" i="1" s="1"/>
  <c r="BB79" i="1" s="1"/>
  <c r="AR79" i="1"/>
  <c r="AT79" i="1" s="1"/>
  <c r="AU79" i="1" s="1"/>
  <c r="AH79" i="1"/>
  <c r="AJ79" i="1" s="1"/>
  <c r="AG79" i="1"/>
  <c r="AI79" i="1" s="1"/>
  <c r="AO79" i="1" s="1"/>
  <c r="AY78" i="1"/>
  <c r="BA78" i="1" s="1"/>
  <c r="BB78" i="1" s="1"/>
  <c r="AR78" i="1"/>
  <c r="AT78" i="1" s="1"/>
  <c r="AU78" i="1" s="1"/>
  <c r="AH78" i="1"/>
  <c r="AJ78" i="1" s="1"/>
  <c r="AG78" i="1"/>
  <c r="AI78" i="1" s="1"/>
  <c r="AO78" i="1" s="1"/>
  <c r="AY77" i="1"/>
  <c r="BA77" i="1" s="1"/>
  <c r="BB77" i="1" s="1"/>
  <c r="AR77" i="1"/>
  <c r="AT77" i="1" s="1"/>
  <c r="AU77" i="1" s="1"/>
  <c r="AH77" i="1"/>
  <c r="AJ77" i="1" s="1"/>
  <c r="AG77" i="1"/>
  <c r="AI77" i="1" s="1"/>
  <c r="AY76" i="1"/>
  <c r="BA76" i="1" s="1"/>
  <c r="BB76" i="1" s="1"/>
  <c r="AR76" i="1"/>
  <c r="AT76" i="1" s="1"/>
  <c r="AU76" i="1" s="1"/>
  <c r="AH76" i="1"/>
  <c r="AJ76" i="1" s="1"/>
  <c r="AP76" i="1" s="1"/>
  <c r="AG76" i="1"/>
  <c r="AI76" i="1" s="1"/>
  <c r="AO76" i="1" s="1"/>
  <c r="AY75" i="1"/>
  <c r="BA75" i="1" s="1"/>
  <c r="BB75" i="1" s="1"/>
  <c r="AR75" i="1"/>
  <c r="AT75" i="1" s="1"/>
  <c r="AU75" i="1" s="1"/>
  <c r="AH75" i="1"/>
  <c r="AJ75" i="1" s="1"/>
  <c r="AG75" i="1"/>
  <c r="AI75" i="1" s="1"/>
  <c r="AY74" i="1"/>
  <c r="BA74" i="1" s="1"/>
  <c r="BB74" i="1" s="1"/>
  <c r="AR74" i="1"/>
  <c r="AT74" i="1" s="1"/>
  <c r="AU74" i="1" s="1"/>
  <c r="AH74" i="1"/>
  <c r="AJ74" i="1" s="1"/>
  <c r="AP74" i="1" s="1"/>
  <c r="AG74" i="1"/>
  <c r="AI74" i="1" s="1"/>
  <c r="AO74" i="1" s="1"/>
  <c r="AY73" i="1"/>
  <c r="BA73" i="1" s="1"/>
  <c r="BB73" i="1" s="1"/>
  <c r="AR73" i="1"/>
  <c r="AT73" i="1" s="1"/>
  <c r="AU73" i="1" s="1"/>
  <c r="AH73" i="1"/>
  <c r="AJ73" i="1" s="1"/>
  <c r="AP73" i="1" s="1"/>
  <c r="AG73" i="1"/>
  <c r="AI73" i="1" s="1"/>
  <c r="AY72" i="1"/>
  <c r="BA72" i="1" s="1"/>
  <c r="BB72" i="1" s="1"/>
  <c r="AR72" i="1"/>
  <c r="AT72" i="1" s="1"/>
  <c r="AU72" i="1" s="1"/>
  <c r="AH72" i="1"/>
  <c r="AJ72" i="1" s="1"/>
  <c r="AP72" i="1" s="1"/>
  <c r="AG72" i="1"/>
  <c r="AI72" i="1" s="1"/>
  <c r="AO72" i="1" s="1"/>
  <c r="AY71" i="1"/>
  <c r="BA71" i="1" s="1"/>
  <c r="BB71" i="1" s="1"/>
  <c r="AR71" i="1"/>
  <c r="AT71" i="1" s="1"/>
  <c r="AU71" i="1" s="1"/>
  <c r="AH71" i="1"/>
  <c r="AJ71" i="1" s="1"/>
  <c r="AP71" i="1" s="1"/>
  <c r="AG71" i="1"/>
  <c r="AI71" i="1" s="1"/>
  <c r="AO71" i="1" s="1"/>
  <c r="AY70" i="1"/>
  <c r="BA70" i="1" s="1"/>
  <c r="BB70" i="1" s="1"/>
  <c r="AR70" i="1"/>
  <c r="AT70" i="1" s="1"/>
  <c r="AU70" i="1" s="1"/>
  <c r="AH70" i="1"/>
  <c r="AJ70" i="1" s="1"/>
  <c r="AP70" i="1" s="1"/>
  <c r="AG70" i="1"/>
  <c r="AI70" i="1" s="1"/>
  <c r="AO70" i="1" s="1"/>
  <c r="AY69" i="1"/>
  <c r="BA69" i="1" s="1"/>
  <c r="BB69" i="1" s="1"/>
  <c r="AR69" i="1"/>
  <c r="AT69" i="1" s="1"/>
  <c r="AU69" i="1" s="1"/>
  <c r="AH69" i="1"/>
  <c r="AJ69" i="1" s="1"/>
  <c r="AP69" i="1" s="1"/>
  <c r="AG69" i="1"/>
  <c r="AI69" i="1" s="1"/>
  <c r="AY68" i="1"/>
  <c r="BA68" i="1" s="1"/>
  <c r="BB68" i="1" s="1"/>
  <c r="AR68" i="1"/>
  <c r="AT68" i="1" s="1"/>
  <c r="AU68" i="1" s="1"/>
  <c r="AH68" i="1"/>
  <c r="AJ68" i="1" s="1"/>
  <c r="AG68" i="1"/>
  <c r="AI68" i="1" s="1"/>
  <c r="AO68" i="1" s="1"/>
  <c r="AY67" i="1"/>
  <c r="BA67" i="1" s="1"/>
  <c r="BB67" i="1" s="1"/>
  <c r="AR67" i="1"/>
  <c r="AT67" i="1" s="1"/>
  <c r="AU67" i="1" s="1"/>
  <c r="AH67" i="1"/>
  <c r="AJ67" i="1" s="1"/>
  <c r="AP67" i="1" s="1"/>
  <c r="AG67" i="1"/>
  <c r="AI67" i="1" s="1"/>
  <c r="AO67" i="1" s="1"/>
  <c r="AY66" i="1"/>
  <c r="BA66" i="1" s="1"/>
  <c r="BB66" i="1" s="1"/>
  <c r="AR66" i="1"/>
  <c r="AT66" i="1" s="1"/>
  <c r="AU66" i="1" s="1"/>
  <c r="AH66" i="1"/>
  <c r="AJ66" i="1" s="1"/>
  <c r="AP66" i="1" s="1"/>
  <c r="AG66" i="1"/>
  <c r="AI66" i="1" s="1"/>
  <c r="AY65" i="1"/>
  <c r="BA65" i="1" s="1"/>
  <c r="BB65" i="1" s="1"/>
  <c r="AR65" i="1"/>
  <c r="AT65" i="1" s="1"/>
  <c r="AU65" i="1" s="1"/>
  <c r="AH65" i="1"/>
  <c r="AJ65" i="1" s="1"/>
  <c r="AP65" i="1" s="1"/>
  <c r="AG65" i="1"/>
  <c r="AI65" i="1" s="1"/>
  <c r="AO65" i="1" s="1"/>
  <c r="AY64" i="1"/>
  <c r="BA64" i="1" s="1"/>
  <c r="BB64" i="1" s="1"/>
  <c r="AR64" i="1"/>
  <c r="AT64" i="1" s="1"/>
  <c r="AU64" i="1" s="1"/>
  <c r="AH64" i="1"/>
  <c r="AJ64" i="1" s="1"/>
  <c r="AP64" i="1" s="1"/>
  <c r="AG64" i="1"/>
  <c r="AI64" i="1" s="1"/>
  <c r="AO64" i="1" s="1"/>
  <c r="AY63" i="1"/>
  <c r="BA63" i="1" s="1"/>
  <c r="BB63" i="1" s="1"/>
  <c r="AR63" i="1"/>
  <c r="AT63" i="1" s="1"/>
  <c r="AU63" i="1" s="1"/>
  <c r="AH63" i="1"/>
  <c r="AJ63" i="1" s="1"/>
  <c r="AG63" i="1"/>
  <c r="AI63" i="1" s="1"/>
  <c r="AY62" i="1"/>
  <c r="BA62" i="1" s="1"/>
  <c r="BB62" i="1" s="1"/>
  <c r="AR62" i="1"/>
  <c r="AT62" i="1" s="1"/>
  <c r="AU62" i="1" s="1"/>
  <c r="AH62" i="1"/>
  <c r="AJ62" i="1" s="1"/>
  <c r="AG62" i="1"/>
  <c r="AI62" i="1" s="1"/>
  <c r="AO62" i="1" s="1"/>
  <c r="AY61" i="1"/>
  <c r="BA61" i="1" s="1"/>
  <c r="BB61" i="1" s="1"/>
  <c r="AR61" i="1"/>
  <c r="AT61" i="1" s="1"/>
  <c r="AU61" i="1" s="1"/>
  <c r="AH61" i="1"/>
  <c r="AJ61" i="1" s="1"/>
  <c r="AP61" i="1" s="1"/>
  <c r="AG61" i="1"/>
  <c r="AI61" i="1" s="1"/>
  <c r="AO61" i="1" s="1"/>
  <c r="AY60" i="1"/>
  <c r="BA60" i="1" s="1"/>
  <c r="BB60" i="1" s="1"/>
  <c r="AR60" i="1"/>
  <c r="AT60" i="1" s="1"/>
  <c r="AU60" i="1" s="1"/>
  <c r="AH60" i="1"/>
  <c r="AJ60" i="1" s="1"/>
  <c r="AP60" i="1" s="1"/>
  <c r="AG60" i="1"/>
  <c r="AI60" i="1" s="1"/>
  <c r="AO60" i="1" s="1"/>
  <c r="AY59" i="1"/>
  <c r="BA59" i="1" s="1"/>
  <c r="BB59" i="1" s="1"/>
  <c r="AR59" i="1"/>
  <c r="AT59" i="1" s="1"/>
  <c r="AU59" i="1" s="1"/>
  <c r="AH59" i="1"/>
  <c r="AJ59" i="1" s="1"/>
  <c r="AG59" i="1"/>
  <c r="AI59" i="1" s="1"/>
  <c r="AO59" i="1" s="1"/>
  <c r="AY58" i="1"/>
  <c r="BA58" i="1" s="1"/>
  <c r="BB58" i="1" s="1"/>
  <c r="AR58" i="1"/>
  <c r="AT58" i="1" s="1"/>
  <c r="AU58" i="1" s="1"/>
  <c r="AH58" i="1"/>
  <c r="AJ58" i="1" s="1"/>
  <c r="AG58" i="1"/>
  <c r="AI58" i="1" s="1"/>
  <c r="AY57" i="1"/>
  <c r="BA57" i="1" s="1"/>
  <c r="BB57" i="1" s="1"/>
  <c r="AR57" i="1"/>
  <c r="AT57" i="1" s="1"/>
  <c r="AU57" i="1" s="1"/>
  <c r="AJ57" i="1"/>
  <c r="AY56" i="1"/>
  <c r="BA56" i="1" s="1"/>
  <c r="BB56" i="1" s="1"/>
  <c r="AR56" i="1"/>
  <c r="AT56" i="1" s="1"/>
  <c r="AU56" i="1" s="1"/>
  <c r="AH56" i="1"/>
  <c r="AJ56" i="1" s="1"/>
  <c r="AP56" i="1" s="1"/>
  <c r="AG56" i="1"/>
  <c r="AI56" i="1" s="1"/>
  <c r="AO56" i="1" s="1"/>
  <c r="AH55" i="1"/>
  <c r="AJ55" i="1" s="1"/>
  <c r="AG55" i="1"/>
  <c r="AI55" i="1" s="1"/>
  <c r="AH54" i="1"/>
  <c r="AJ54" i="1" s="1"/>
  <c r="AG54" i="1"/>
  <c r="AI54" i="1" s="1"/>
  <c r="AH53" i="1"/>
  <c r="AJ53" i="1" s="1"/>
  <c r="AG53" i="1"/>
  <c r="AI53" i="1" s="1"/>
  <c r="AH52" i="1"/>
  <c r="AJ52" i="1" s="1"/>
  <c r="AG52" i="1"/>
  <c r="AI52" i="1" s="1"/>
  <c r="AH51" i="1"/>
  <c r="AJ51" i="1" s="1"/>
  <c r="AG51" i="1"/>
  <c r="AI51" i="1" s="1"/>
  <c r="AH50" i="1"/>
  <c r="AJ50" i="1" s="1"/>
  <c r="AG50" i="1"/>
  <c r="AI50" i="1" s="1"/>
  <c r="AH49" i="1"/>
  <c r="AJ49" i="1" s="1"/>
  <c r="AG49" i="1"/>
  <c r="AI49" i="1" s="1"/>
  <c r="AH48" i="1"/>
  <c r="AJ48" i="1" s="1"/>
  <c r="AG48" i="1"/>
  <c r="AI48" i="1" s="1"/>
  <c r="AH47" i="1"/>
  <c r="AJ47" i="1" s="1"/>
  <c r="AG47" i="1"/>
  <c r="AI47" i="1" s="1"/>
  <c r="AH46" i="1"/>
  <c r="AJ46" i="1" s="1"/>
  <c r="AG46" i="1"/>
  <c r="AI46" i="1" s="1"/>
  <c r="AH45" i="1"/>
  <c r="AJ45" i="1" s="1"/>
  <c r="AG45" i="1"/>
  <c r="AI45" i="1" s="1"/>
  <c r="AH44" i="1"/>
  <c r="AJ44" i="1" s="1"/>
  <c r="AG44" i="1"/>
  <c r="AI44" i="1" s="1"/>
  <c r="AH43" i="1"/>
  <c r="AJ43" i="1" s="1"/>
  <c r="AG43" i="1"/>
  <c r="AI43" i="1" s="1"/>
  <c r="AY42" i="1"/>
  <c r="BA42" i="1" s="1"/>
  <c r="BB42" i="1" s="1"/>
  <c r="AR42" i="1"/>
  <c r="AT42" i="1" s="1"/>
  <c r="AU42" i="1" s="1"/>
  <c r="AH42" i="1"/>
  <c r="AJ42" i="1" s="1"/>
  <c r="AG42" i="1"/>
  <c r="AI42" i="1" s="1"/>
  <c r="AY41" i="1"/>
  <c r="BA41" i="1" s="1"/>
  <c r="BB41" i="1" s="1"/>
  <c r="AR41" i="1"/>
  <c r="AT41" i="1" s="1"/>
  <c r="AU41" i="1" s="1"/>
  <c r="AH41" i="1"/>
  <c r="AJ41" i="1" s="1"/>
  <c r="AG41" i="1"/>
  <c r="AI41" i="1" s="1"/>
  <c r="AY40" i="1"/>
  <c r="BA40" i="1" s="1"/>
  <c r="BB40" i="1" s="1"/>
  <c r="AR40" i="1"/>
  <c r="AT40" i="1" s="1"/>
  <c r="AU40" i="1" s="1"/>
  <c r="AH40" i="1"/>
  <c r="AJ40" i="1" s="1"/>
  <c r="AG40" i="1"/>
  <c r="AI40" i="1" s="1"/>
  <c r="AO40" i="1" s="1"/>
  <c r="AY39" i="1"/>
  <c r="BA39" i="1" s="1"/>
  <c r="BB39" i="1" s="1"/>
  <c r="AR39" i="1"/>
  <c r="AT39" i="1" s="1"/>
  <c r="AU39" i="1" s="1"/>
  <c r="AH39" i="1"/>
  <c r="AJ39" i="1" s="1"/>
  <c r="AP39" i="1" s="1"/>
  <c r="AG39" i="1"/>
  <c r="AI39" i="1" s="1"/>
  <c r="AY38" i="1"/>
  <c r="BA38" i="1" s="1"/>
  <c r="BB38" i="1" s="1"/>
  <c r="AR38" i="1"/>
  <c r="AT38" i="1" s="1"/>
  <c r="AU38" i="1" s="1"/>
  <c r="AH38" i="1"/>
  <c r="AJ38" i="1" s="1"/>
  <c r="AG38" i="1"/>
  <c r="AI38" i="1" s="1"/>
  <c r="AY37" i="1"/>
  <c r="BA37" i="1" s="1"/>
  <c r="BB37" i="1" s="1"/>
  <c r="AR37" i="1"/>
  <c r="AT37" i="1" s="1"/>
  <c r="AU37" i="1" s="1"/>
  <c r="AH37" i="1"/>
  <c r="AJ37" i="1" s="1"/>
  <c r="AG37" i="1"/>
  <c r="AI37" i="1" s="1"/>
  <c r="AY36" i="1"/>
  <c r="BA36" i="1" s="1"/>
  <c r="BB36" i="1" s="1"/>
  <c r="AR36" i="1"/>
  <c r="AT36" i="1" s="1"/>
  <c r="AU36" i="1" s="1"/>
  <c r="AH36" i="1"/>
  <c r="AJ36" i="1" s="1"/>
  <c r="AP36" i="1" s="1"/>
  <c r="AG36" i="1"/>
  <c r="AI36" i="1" s="1"/>
  <c r="AY35" i="1"/>
  <c r="BA35" i="1" s="1"/>
  <c r="BB35" i="1" s="1"/>
  <c r="AR35" i="1"/>
  <c r="AT35" i="1" s="1"/>
  <c r="AU35" i="1" s="1"/>
  <c r="AH35" i="1"/>
  <c r="AJ35" i="1" s="1"/>
  <c r="AG35" i="1"/>
  <c r="AI35" i="1" s="1"/>
  <c r="AO35" i="1" s="1"/>
  <c r="AY34" i="1"/>
  <c r="BA34" i="1" s="1"/>
  <c r="BB34" i="1" s="1"/>
  <c r="AR34" i="1"/>
  <c r="AT34" i="1" s="1"/>
  <c r="AU34" i="1" s="1"/>
  <c r="AH34" i="1"/>
  <c r="AJ34" i="1" s="1"/>
  <c r="AP34" i="1" s="1"/>
  <c r="AG34" i="1"/>
  <c r="AI34" i="1" s="1"/>
  <c r="AY33" i="1"/>
  <c r="BA33" i="1" s="1"/>
  <c r="BB33" i="1" s="1"/>
  <c r="AR33" i="1"/>
  <c r="AT33" i="1" s="1"/>
  <c r="AU33" i="1" s="1"/>
  <c r="AH33" i="1"/>
  <c r="AJ33" i="1" s="1"/>
  <c r="AP33" i="1" s="1"/>
  <c r="AG33" i="1"/>
  <c r="AI33" i="1" s="1"/>
  <c r="AY32" i="1"/>
  <c r="BA32" i="1" s="1"/>
  <c r="BB32" i="1" s="1"/>
  <c r="AR32" i="1"/>
  <c r="AT32" i="1" s="1"/>
  <c r="AU32" i="1" s="1"/>
  <c r="AH32" i="1"/>
  <c r="AJ32" i="1" s="1"/>
  <c r="AG32" i="1"/>
  <c r="AI32" i="1" s="1"/>
  <c r="AO32" i="1" s="1"/>
  <c r="AY31" i="1"/>
  <c r="BA31" i="1" s="1"/>
  <c r="BB31" i="1" s="1"/>
  <c r="AR31" i="1"/>
  <c r="AT31" i="1" s="1"/>
  <c r="AU31" i="1" s="1"/>
  <c r="AH31" i="1"/>
  <c r="AJ31" i="1" s="1"/>
  <c r="AP31" i="1" s="1"/>
  <c r="AG31" i="1"/>
  <c r="AI31" i="1" s="1"/>
  <c r="AY30" i="1"/>
  <c r="BA30" i="1" s="1"/>
  <c r="BB30" i="1" s="1"/>
  <c r="AR30" i="1"/>
  <c r="AT30" i="1" s="1"/>
  <c r="AU30" i="1" s="1"/>
  <c r="AH30" i="1"/>
  <c r="AJ30" i="1" s="1"/>
  <c r="AP30" i="1" s="1"/>
  <c r="AG30" i="1"/>
  <c r="AI30" i="1" s="1"/>
  <c r="AO30" i="1" s="1"/>
  <c r="AY29" i="1"/>
  <c r="BA29" i="1" s="1"/>
  <c r="BB29" i="1" s="1"/>
  <c r="AR29" i="1"/>
  <c r="AT29" i="1" s="1"/>
  <c r="AU29" i="1" s="1"/>
  <c r="AH29" i="1"/>
  <c r="AJ29" i="1" s="1"/>
  <c r="AP29" i="1" s="1"/>
  <c r="AG29" i="1"/>
  <c r="AI29" i="1" s="1"/>
  <c r="AO29" i="1" s="1"/>
  <c r="AY28" i="1"/>
  <c r="BA28" i="1" s="1"/>
  <c r="BB28" i="1" s="1"/>
  <c r="AR28" i="1"/>
  <c r="AT28" i="1" s="1"/>
  <c r="AU28" i="1" s="1"/>
  <c r="AH28" i="1"/>
  <c r="AJ28" i="1" s="1"/>
  <c r="AP28" i="1" s="1"/>
  <c r="AG28" i="1"/>
  <c r="AI28" i="1" s="1"/>
  <c r="AY27" i="1"/>
  <c r="BA27" i="1" s="1"/>
  <c r="BB27" i="1" s="1"/>
  <c r="AR27" i="1"/>
  <c r="AT27" i="1" s="1"/>
  <c r="AU27" i="1" s="1"/>
  <c r="AH27" i="1"/>
  <c r="AJ27" i="1" s="1"/>
  <c r="AP27" i="1" s="1"/>
  <c r="AG27" i="1"/>
  <c r="AI27" i="1" s="1"/>
  <c r="AY26" i="1"/>
  <c r="BA26" i="1" s="1"/>
  <c r="BB26" i="1" s="1"/>
  <c r="AR26" i="1"/>
  <c r="AT26" i="1" s="1"/>
  <c r="AU26" i="1" s="1"/>
  <c r="AH26" i="1"/>
  <c r="AJ26" i="1" s="1"/>
  <c r="AG26" i="1"/>
  <c r="AI26" i="1" s="1"/>
  <c r="AY25" i="1"/>
  <c r="BA25" i="1" s="1"/>
  <c r="BB25" i="1" s="1"/>
  <c r="AR25" i="1"/>
  <c r="AT25" i="1" s="1"/>
  <c r="AU25" i="1" s="1"/>
  <c r="AH25" i="1"/>
  <c r="AJ25" i="1" s="1"/>
  <c r="AG25" i="1"/>
  <c r="AI25" i="1" s="1"/>
  <c r="AY24" i="1"/>
  <c r="BA24" i="1" s="1"/>
  <c r="BB24" i="1" s="1"/>
  <c r="AR24" i="1"/>
  <c r="AT24" i="1" s="1"/>
  <c r="AU24" i="1" s="1"/>
  <c r="AH24" i="1"/>
  <c r="AJ24" i="1" s="1"/>
  <c r="AG24" i="1"/>
  <c r="AI24" i="1" s="1"/>
  <c r="AY23" i="1"/>
  <c r="BA23" i="1" s="1"/>
  <c r="BB23" i="1" s="1"/>
  <c r="AR23" i="1"/>
  <c r="AT23" i="1" s="1"/>
  <c r="AU23" i="1" s="1"/>
  <c r="AH23" i="1"/>
  <c r="AJ23" i="1" s="1"/>
  <c r="AP23" i="1" s="1"/>
  <c r="AG23" i="1"/>
  <c r="AI23" i="1" s="1"/>
  <c r="AY22" i="1"/>
  <c r="BA22" i="1" s="1"/>
  <c r="BB22" i="1" s="1"/>
  <c r="AR22" i="1"/>
  <c r="AT22" i="1" s="1"/>
  <c r="AU22" i="1" s="1"/>
  <c r="AH22" i="1"/>
  <c r="AJ22" i="1" s="1"/>
  <c r="AG22" i="1"/>
  <c r="AI22" i="1" s="1"/>
  <c r="AY21" i="1"/>
  <c r="BA21" i="1" s="1"/>
  <c r="BB21" i="1" s="1"/>
  <c r="AR21" i="1"/>
  <c r="AT21" i="1" s="1"/>
  <c r="AU21" i="1" s="1"/>
  <c r="AH21" i="1"/>
  <c r="AJ21" i="1" s="1"/>
  <c r="AG21" i="1"/>
  <c r="AI21" i="1" s="1"/>
  <c r="AY20" i="1"/>
  <c r="BA20" i="1" s="1"/>
  <c r="BB20" i="1" s="1"/>
  <c r="AR20" i="1"/>
  <c r="AT20" i="1" s="1"/>
  <c r="AU20" i="1" s="1"/>
  <c r="AH20" i="1"/>
  <c r="AJ20" i="1" s="1"/>
  <c r="AG20" i="1"/>
  <c r="AI20" i="1" s="1"/>
  <c r="AY19" i="1"/>
  <c r="BA19" i="1" s="1"/>
  <c r="BB19" i="1" s="1"/>
  <c r="AR19" i="1"/>
  <c r="AT19" i="1" s="1"/>
  <c r="AU19" i="1" s="1"/>
  <c r="AH19" i="1"/>
  <c r="AJ19" i="1" s="1"/>
  <c r="AP19" i="1" s="1"/>
  <c r="AG19" i="1"/>
  <c r="AI19" i="1" s="1"/>
  <c r="AY18" i="1"/>
  <c r="BA18" i="1" s="1"/>
  <c r="BB18" i="1" s="1"/>
  <c r="AR18" i="1"/>
  <c r="AT18" i="1" s="1"/>
  <c r="AU18" i="1" s="1"/>
  <c r="AH18" i="1"/>
  <c r="AJ18" i="1" s="1"/>
  <c r="AG18" i="1"/>
  <c r="AI18" i="1" s="1"/>
  <c r="AY17" i="1"/>
  <c r="BA17" i="1" s="1"/>
  <c r="BB17" i="1" s="1"/>
  <c r="AR17" i="1"/>
  <c r="AT17" i="1" s="1"/>
  <c r="AU17" i="1" s="1"/>
  <c r="AH17" i="1"/>
  <c r="AJ17" i="1" s="1"/>
  <c r="AG17" i="1"/>
  <c r="AI17" i="1" s="1"/>
  <c r="AY16" i="1"/>
  <c r="BA16" i="1" s="1"/>
  <c r="BB16" i="1" s="1"/>
  <c r="AR16" i="1"/>
  <c r="AT16" i="1" s="1"/>
  <c r="AU16" i="1" s="1"/>
  <c r="AH16" i="1"/>
  <c r="AJ16" i="1" s="1"/>
  <c r="AP16" i="1" s="1"/>
  <c r="AG16" i="1"/>
  <c r="AI16" i="1" s="1"/>
  <c r="AY15" i="1"/>
  <c r="BA15" i="1" s="1"/>
  <c r="BB15" i="1" s="1"/>
  <c r="AR15" i="1"/>
  <c r="AT15" i="1" s="1"/>
  <c r="AU15" i="1" s="1"/>
  <c r="AH15" i="1"/>
  <c r="AJ15" i="1" s="1"/>
  <c r="AP15" i="1" s="1"/>
  <c r="AG15" i="1"/>
  <c r="AI15" i="1" s="1"/>
  <c r="AY14" i="1"/>
  <c r="BA14" i="1" s="1"/>
  <c r="BB14" i="1" s="1"/>
  <c r="AR14" i="1"/>
  <c r="AT14" i="1" s="1"/>
  <c r="AU14" i="1" s="1"/>
  <c r="AH14" i="1"/>
  <c r="AJ14" i="1" s="1"/>
  <c r="AG14" i="1"/>
  <c r="AI14" i="1" s="1"/>
  <c r="AY13" i="1"/>
  <c r="BA13" i="1" s="1"/>
  <c r="BB13" i="1" s="1"/>
  <c r="AR13" i="1"/>
  <c r="AT13" i="1" s="1"/>
  <c r="AU13" i="1" s="1"/>
  <c r="AH13" i="1"/>
  <c r="AJ13" i="1" s="1"/>
  <c r="AG13" i="1"/>
  <c r="AI13" i="1" s="1"/>
  <c r="AY12" i="1"/>
  <c r="BA12" i="1" s="1"/>
  <c r="BB12" i="1" s="1"/>
  <c r="AR12" i="1"/>
  <c r="AT12" i="1" s="1"/>
  <c r="AU12" i="1" s="1"/>
  <c r="AH12" i="1"/>
  <c r="AJ12" i="1" s="1"/>
  <c r="AG12" i="1"/>
  <c r="AI12" i="1" s="1"/>
  <c r="AY11" i="1"/>
  <c r="BA11" i="1" s="1"/>
  <c r="BB11" i="1" s="1"/>
  <c r="AR11" i="1"/>
  <c r="AT11" i="1" s="1"/>
  <c r="AU11" i="1" s="1"/>
  <c r="AH11" i="1"/>
  <c r="AJ11" i="1" s="1"/>
  <c r="AP11" i="1" s="1"/>
  <c r="AG11" i="1"/>
  <c r="AI11" i="1" s="1"/>
  <c r="AY10" i="1"/>
  <c r="BA10" i="1" s="1"/>
  <c r="BB10" i="1" s="1"/>
  <c r="AR10" i="1"/>
  <c r="AT10" i="1" s="1"/>
  <c r="AU10" i="1" s="1"/>
  <c r="AH10" i="1"/>
  <c r="AJ10" i="1" s="1"/>
  <c r="AG10" i="1"/>
  <c r="AI10" i="1" s="1"/>
  <c r="AY9" i="1"/>
  <c r="BA9" i="1" s="1"/>
  <c r="BB9" i="1" s="1"/>
  <c r="AR9" i="1"/>
  <c r="AT9" i="1" s="1"/>
  <c r="AU9" i="1" s="1"/>
  <c r="AH9" i="1"/>
  <c r="AJ9" i="1" s="1"/>
  <c r="AG9" i="1"/>
  <c r="AI9" i="1" s="1"/>
  <c r="AY8" i="1"/>
  <c r="BA8" i="1" s="1"/>
  <c r="BB8" i="1" s="1"/>
  <c r="AR8" i="1"/>
  <c r="AT8" i="1" s="1"/>
  <c r="AU8" i="1" s="1"/>
  <c r="AH8" i="1"/>
  <c r="AJ8" i="1" s="1"/>
  <c r="AG8" i="1"/>
  <c r="AI8" i="1" s="1"/>
  <c r="AO8" i="1" s="1"/>
  <c r="AY7" i="1"/>
  <c r="BA7" i="1" s="1"/>
  <c r="BB7" i="1" s="1"/>
  <c r="AR7" i="1"/>
  <c r="AT7" i="1" s="1"/>
  <c r="AU7" i="1" s="1"/>
  <c r="AH7" i="1"/>
  <c r="AJ7" i="1" s="1"/>
  <c r="AP7" i="1" s="1"/>
  <c r="AG7" i="1"/>
  <c r="AI7" i="1" s="1"/>
  <c r="AY6" i="1"/>
  <c r="BA6" i="1" s="1"/>
  <c r="BB6" i="1" s="1"/>
  <c r="AR6" i="1"/>
  <c r="AT6" i="1" s="1"/>
  <c r="AU6" i="1" s="1"/>
  <c r="AH6" i="1"/>
  <c r="AJ6" i="1" s="1"/>
  <c r="AG6" i="1"/>
  <c r="AI6" i="1" s="1"/>
  <c r="AY5" i="1"/>
  <c r="BA5" i="1" s="1"/>
  <c r="BB5" i="1" s="1"/>
  <c r="AR5" i="1"/>
  <c r="AT5" i="1" s="1"/>
  <c r="AU5" i="1" s="1"/>
  <c r="AH5" i="1"/>
  <c r="AJ5" i="1" s="1"/>
  <c r="AG5" i="1"/>
  <c r="AI5" i="1" s="1"/>
  <c r="AY4" i="1"/>
  <c r="BA4" i="1" s="1"/>
  <c r="BB4" i="1" s="1"/>
  <c r="AR4" i="1"/>
  <c r="AT4" i="1" s="1"/>
  <c r="AU4" i="1" s="1"/>
  <c r="AH4" i="1"/>
  <c r="AJ4" i="1" s="1"/>
  <c r="AP4" i="1" s="1"/>
  <c r="AG4" i="1"/>
  <c r="AI4" i="1" s="1"/>
  <c r="BP20" i="11" l="1"/>
  <c r="BP49" i="11"/>
  <c r="BP84" i="11"/>
  <c r="BP88" i="11"/>
  <c r="BP11" i="11"/>
  <c r="BP18" i="11"/>
  <c r="BP39" i="11"/>
  <c r="BP97" i="11"/>
  <c r="BP77" i="11"/>
  <c r="BP56" i="11"/>
  <c r="BP50" i="11"/>
  <c r="BP29" i="11"/>
  <c r="BP23" i="11"/>
  <c r="BP67" i="11"/>
  <c r="BP48" i="11"/>
  <c r="BP44" i="11"/>
  <c r="BP59" i="11"/>
  <c r="BP73" i="11"/>
  <c r="BP6" i="11"/>
  <c r="BP47" i="11"/>
  <c r="BP62" i="11"/>
  <c r="BP63" i="11"/>
  <c r="BP82" i="11"/>
  <c r="BP30" i="11"/>
  <c r="BP89" i="11"/>
  <c r="BP31" i="11"/>
  <c r="BP42" i="11"/>
  <c r="BP7" i="11"/>
  <c r="BP33" i="11"/>
  <c r="BP70" i="11"/>
  <c r="BP87" i="11"/>
  <c r="BP43" i="11"/>
  <c r="BP64" i="11"/>
  <c r="BP17" i="11"/>
  <c r="BP98" i="11"/>
  <c r="BP57" i="11"/>
  <c r="BP86" i="11"/>
  <c r="BP79" i="11"/>
  <c r="BP81" i="11"/>
  <c r="BP5" i="11"/>
  <c r="BP27" i="11"/>
  <c r="BP53" i="11"/>
  <c r="BP66" i="11"/>
  <c r="BP51" i="11"/>
  <c r="BP94" i="11"/>
  <c r="BP25" i="11"/>
  <c r="BP58" i="11"/>
  <c r="BP3" i="11"/>
  <c r="BP80" i="11"/>
  <c r="BP60" i="11"/>
  <c r="BP16" i="11"/>
  <c r="BP22" i="11"/>
  <c r="BP65" i="11"/>
  <c r="BP10" i="11"/>
  <c r="BP95" i="11"/>
  <c r="BP78" i="11"/>
  <c r="BP96" i="11"/>
  <c r="BP21" i="11"/>
  <c r="BP69" i="11"/>
  <c r="BP46" i="11"/>
  <c r="BP34" i="11"/>
  <c r="BP71" i="11"/>
  <c r="BP12" i="11"/>
  <c r="BP85" i="11"/>
  <c r="BP74" i="11"/>
  <c r="BP38" i="11"/>
  <c r="BP55" i="11"/>
  <c r="BP61" i="11"/>
  <c r="BP75" i="11"/>
  <c r="BP13" i="11"/>
  <c r="BP93" i="11"/>
  <c r="BP37" i="11"/>
  <c r="BP83" i="11"/>
  <c r="BP90" i="11"/>
  <c r="BP9" i="11"/>
  <c r="BP4" i="11"/>
  <c r="AK231" i="1"/>
  <c r="AM231" i="1" s="1"/>
  <c r="AK222" i="1"/>
  <c r="AM222" i="1" s="1"/>
  <c r="BE222" i="1"/>
  <c r="BC181" i="1"/>
  <c r="BD181" i="1" s="1"/>
  <c r="AN204" i="1"/>
  <c r="BC201" i="1"/>
  <c r="BD201" i="1" s="1"/>
  <c r="AX231" i="1"/>
  <c r="BC175" i="1"/>
  <c r="BD175" i="1" s="1"/>
  <c r="AP231" i="1"/>
  <c r="AL231" i="1"/>
  <c r="BC231" i="1" s="1"/>
  <c r="BD231" i="1" s="1"/>
  <c r="AQ231" i="1"/>
  <c r="BC177" i="1"/>
  <c r="BD177" i="1" s="1"/>
  <c r="AX222" i="1"/>
  <c r="AQ222" i="1"/>
  <c r="AN217" i="1"/>
  <c r="AL222" i="1"/>
  <c r="BC222" i="1" s="1"/>
  <c r="BD222" i="1" s="1"/>
  <c r="AN230" i="1"/>
  <c r="BC228" i="1"/>
  <c r="BD228" i="1" s="1"/>
  <c r="AN228" i="1"/>
  <c r="BC223" i="1"/>
  <c r="BD223" i="1" s="1"/>
  <c r="AN223" i="1"/>
  <c r="AN216" i="1"/>
  <c r="BC216" i="1"/>
  <c r="BD216" i="1" s="1"/>
  <c r="BC214" i="1"/>
  <c r="BD214" i="1" s="1"/>
  <c r="AN214" i="1"/>
  <c r="AN219" i="1"/>
  <c r="BC219" i="1"/>
  <c r="BD219" i="1" s="1"/>
  <c r="BC220" i="1"/>
  <c r="BD220" i="1" s="1"/>
  <c r="AN220" i="1"/>
  <c r="AN229" i="1"/>
  <c r="BC229" i="1"/>
  <c r="BD229" i="1" s="1"/>
  <c r="BC218" i="1"/>
  <c r="BD218" i="1" s="1"/>
  <c r="AN218" i="1"/>
  <c r="AN166" i="1"/>
  <c r="AN186" i="1"/>
  <c r="AN158" i="1"/>
  <c r="AN183" i="1"/>
  <c r="AN157" i="1"/>
  <c r="BC194" i="1"/>
  <c r="BD194" i="1" s="1"/>
  <c r="AN194" i="1"/>
  <c r="AN205" i="1"/>
  <c r="BC205" i="1"/>
  <c r="BD205" i="1" s="1"/>
  <c r="AN188" i="1"/>
  <c r="BC188" i="1"/>
  <c r="BD188" i="1" s="1"/>
  <c r="BC198" i="1"/>
  <c r="BD198" i="1" s="1"/>
  <c r="AN198" i="1"/>
  <c r="AN193" i="1"/>
  <c r="BC193" i="1"/>
  <c r="BD193" i="1" s="1"/>
  <c r="BC190" i="1"/>
  <c r="BD190" i="1" s="1"/>
  <c r="AN190" i="1"/>
  <c r="AN185" i="1"/>
  <c r="BC185" i="1"/>
  <c r="BD185" i="1" s="1"/>
  <c r="BC150" i="1"/>
  <c r="BD150" i="1" s="1"/>
  <c r="AN150" i="1"/>
  <c r="BC191" i="1"/>
  <c r="BD191" i="1" s="1"/>
  <c r="AN191" i="1"/>
  <c r="AN180" i="1"/>
  <c r="BC180" i="1"/>
  <c r="BD180" i="1" s="1"/>
  <c r="BC178" i="1"/>
  <c r="BD178" i="1" s="1"/>
  <c r="AN178" i="1"/>
  <c r="BC164" i="1"/>
  <c r="BD164" i="1" s="1"/>
  <c r="AN164" i="1"/>
  <c r="BC151" i="1"/>
  <c r="BD151" i="1" s="1"/>
  <c r="AN151" i="1"/>
  <c r="BC153" i="1"/>
  <c r="BD153" i="1" s="1"/>
  <c r="AN153" i="1"/>
  <c r="BC209" i="1"/>
  <c r="BD209" i="1" s="1"/>
  <c r="AN209" i="1"/>
  <c r="AN189" i="1"/>
  <c r="BC189" i="1"/>
  <c r="BD189" i="1" s="1"/>
  <c r="BC203" i="1"/>
  <c r="BD203" i="1" s="1"/>
  <c r="AN203" i="1"/>
  <c r="BC176" i="1"/>
  <c r="BD176" i="1" s="1"/>
  <c r="AN176" i="1"/>
  <c r="BC170" i="1"/>
  <c r="BD170" i="1" s="1"/>
  <c r="AN170" i="1"/>
  <c r="AN149" i="1"/>
  <c r="BC149" i="1"/>
  <c r="BD149" i="1" s="1"/>
  <c r="AN171" i="1"/>
  <c r="BC171" i="1"/>
  <c r="BD171" i="1" s="1"/>
  <c r="AN196" i="1"/>
  <c r="BC196" i="1"/>
  <c r="BD196" i="1" s="1"/>
  <c r="BC156" i="1"/>
  <c r="BD156" i="1" s="1"/>
  <c r="AN156" i="1"/>
  <c r="BC199" i="1"/>
  <c r="BD199" i="1" s="1"/>
  <c r="AN199" i="1"/>
  <c r="AN207" i="1"/>
  <c r="BC207" i="1"/>
  <c r="BD207" i="1" s="1"/>
  <c r="BC195" i="1"/>
  <c r="BD195" i="1" s="1"/>
  <c r="AN195" i="1"/>
  <c r="AN147" i="1"/>
  <c r="BC147" i="1"/>
  <c r="BD147" i="1" s="1"/>
  <c r="BC163" i="1"/>
  <c r="BD163" i="1" s="1"/>
  <c r="AN163" i="1"/>
  <c r="AN152" i="1"/>
  <c r="BC152" i="1"/>
  <c r="BD152" i="1" s="1"/>
  <c r="BC211" i="1"/>
  <c r="BD211" i="1" s="1"/>
  <c r="AN211" i="1"/>
  <c r="BC202" i="1"/>
  <c r="BD202" i="1" s="1"/>
  <c r="AN202" i="1"/>
  <c r="BC162" i="1"/>
  <c r="BD162" i="1" s="1"/>
  <c r="AN162" i="1"/>
  <c r="AN197" i="1"/>
  <c r="BC197" i="1"/>
  <c r="BD197" i="1" s="1"/>
  <c r="AN168" i="1"/>
  <c r="BC168" i="1"/>
  <c r="BD168" i="1" s="1"/>
  <c r="BC174" i="1"/>
  <c r="BD174" i="1" s="1"/>
  <c r="AN174" i="1"/>
  <c r="BC187" i="1"/>
  <c r="BD187" i="1" s="1"/>
  <c r="AN187" i="1"/>
  <c r="BC148" i="1"/>
  <c r="BD148" i="1" s="1"/>
  <c r="AN148" i="1"/>
  <c r="BC206" i="1"/>
  <c r="BD206" i="1" s="1"/>
  <c r="AN206" i="1"/>
  <c r="AN200" i="1"/>
  <c r="BC200" i="1"/>
  <c r="BD200" i="1" s="1"/>
  <c r="AN184" i="1"/>
  <c r="BC184" i="1"/>
  <c r="BD184" i="1" s="1"/>
  <c r="BC210" i="1"/>
  <c r="BD210" i="1" s="1"/>
  <c r="AN210" i="1"/>
  <c r="BC179" i="1"/>
  <c r="BD179" i="1" s="1"/>
  <c r="AN179" i="1"/>
  <c r="AN160" i="1"/>
  <c r="BC160" i="1"/>
  <c r="BD160" i="1" s="1"/>
  <c r="BC161" i="1"/>
  <c r="BD161" i="1" s="1"/>
  <c r="AN161" i="1"/>
  <c r="BC146" i="1"/>
  <c r="BD146" i="1" s="1"/>
  <c r="AN146" i="1"/>
  <c r="AK65" i="1"/>
  <c r="AM65" i="1" s="1"/>
  <c r="AL88" i="1"/>
  <c r="AN88" i="1" s="1"/>
  <c r="AL77" i="1"/>
  <c r="AN77" i="1" s="1"/>
  <c r="BC123" i="1"/>
  <c r="BD123" i="1" s="1"/>
  <c r="AN115" i="1"/>
  <c r="AK84" i="1"/>
  <c r="AM84" i="1" s="1"/>
  <c r="AK92" i="1"/>
  <c r="AM92" i="1" s="1"/>
  <c r="AK74" i="1"/>
  <c r="AM74" i="1" s="1"/>
  <c r="BC111" i="1"/>
  <c r="BD111" i="1" s="1"/>
  <c r="AN141" i="1"/>
  <c r="BC141" i="1"/>
  <c r="BD141" i="1" s="1"/>
  <c r="AN133" i="1"/>
  <c r="BC133" i="1"/>
  <c r="BD133" i="1" s="1"/>
  <c r="AN125" i="1"/>
  <c r="BC125" i="1"/>
  <c r="BD125" i="1" s="1"/>
  <c r="AN118" i="1"/>
  <c r="BC118" i="1"/>
  <c r="BD118" i="1" s="1"/>
  <c r="AN105" i="1"/>
  <c r="BC105" i="1"/>
  <c r="BD105" i="1" s="1"/>
  <c r="BC124" i="1"/>
  <c r="BD124" i="1" s="1"/>
  <c r="AN124" i="1"/>
  <c r="AN119" i="1"/>
  <c r="BC119" i="1"/>
  <c r="BD119" i="1" s="1"/>
  <c r="AN107" i="1"/>
  <c r="BC107" i="1"/>
  <c r="BD107" i="1" s="1"/>
  <c r="BC100" i="1"/>
  <c r="BD100" i="1" s="1"/>
  <c r="AN100" i="1"/>
  <c r="BC136" i="1"/>
  <c r="BD136" i="1" s="1"/>
  <c r="AN136" i="1"/>
  <c r="BC116" i="1"/>
  <c r="BD116" i="1" s="1"/>
  <c r="AN116" i="1"/>
  <c r="AN143" i="1"/>
  <c r="BC143" i="1"/>
  <c r="BD143" i="1" s="1"/>
  <c r="AN127" i="1"/>
  <c r="BC127" i="1"/>
  <c r="BD127" i="1" s="1"/>
  <c r="BC94" i="1"/>
  <c r="BD94" i="1" s="1"/>
  <c r="AN94" i="1"/>
  <c r="AN142" i="1"/>
  <c r="BC142" i="1"/>
  <c r="BD142" i="1" s="1"/>
  <c r="AN138" i="1"/>
  <c r="BC138" i="1"/>
  <c r="BD138" i="1" s="1"/>
  <c r="AN134" i="1"/>
  <c r="BC134" i="1"/>
  <c r="BD134" i="1" s="1"/>
  <c r="AN130" i="1"/>
  <c r="BC130" i="1"/>
  <c r="BD130" i="1" s="1"/>
  <c r="AN126" i="1"/>
  <c r="BC126" i="1"/>
  <c r="BD126" i="1" s="1"/>
  <c r="AN122" i="1"/>
  <c r="BC122" i="1"/>
  <c r="BD122" i="1" s="1"/>
  <c r="BC120" i="1"/>
  <c r="BD120" i="1" s="1"/>
  <c r="AN120" i="1"/>
  <c r="BC113" i="1"/>
  <c r="BD113" i="1" s="1"/>
  <c r="AN113" i="1"/>
  <c r="BC109" i="1"/>
  <c r="BD109" i="1" s="1"/>
  <c r="AN109" i="1"/>
  <c r="AN103" i="1"/>
  <c r="BC103" i="1"/>
  <c r="BD103" i="1" s="1"/>
  <c r="BC96" i="1"/>
  <c r="BD96" i="1" s="1"/>
  <c r="AN96" i="1"/>
  <c r="BC132" i="1"/>
  <c r="BD132" i="1" s="1"/>
  <c r="AN132" i="1"/>
  <c r="AN131" i="1"/>
  <c r="BC131" i="1"/>
  <c r="BD131" i="1" s="1"/>
  <c r="BC121" i="1"/>
  <c r="BD121" i="1" s="1"/>
  <c r="AN121" i="1"/>
  <c r="BC98" i="1"/>
  <c r="BD98" i="1" s="1"/>
  <c r="AN98" i="1"/>
  <c r="AN145" i="1"/>
  <c r="BC145" i="1"/>
  <c r="BD145" i="1" s="1"/>
  <c r="AN137" i="1"/>
  <c r="BC137" i="1"/>
  <c r="BD137" i="1" s="1"/>
  <c r="AN129" i="1"/>
  <c r="BC129" i="1"/>
  <c r="BD129" i="1" s="1"/>
  <c r="AN110" i="1"/>
  <c r="BC110" i="1"/>
  <c r="BD110" i="1" s="1"/>
  <c r="AN97" i="1"/>
  <c r="BC97" i="1"/>
  <c r="BD97" i="1" s="1"/>
  <c r="AN99" i="1"/>
  <c r="BC99" i="1"/>
  <c r="BD99" i="1" s="1"/>
  <c r="BC144" i="1"/>
  <c r="BD144" i="1" s="1"/>
  <c r="AN144" i="1"/>
  <c r="BC128" i="1"/>
  <c r="BD128" i="1" s="1"/>
  <c r="AN128" i="1"/>
  <c r="AN135" i="1"/>
  <c r="BC135" i="1"/>
  <c r="BD135" i="1" s="1"/>
  <c r="BC102" i="1"/>
  <c r="BD102" i="1" s="1"/>
  <c r="AN102" i="1"/>
  <c r="BC106" i="1"/>
  <c r="BD106" i="1" s="1"/>
  <c r="AN106" i="1"/>
  <c r="AN114" i="1"/>
  <c r="BC114" i="1"/>
  <c r="BD114" i="1" s="1"/>
  <c r="AN101" i="1"/>
  <c r="BC101" i="1"/>
  <c r="BD101" i="1" s="1"/>
  <c r="BC117" i="1"/>
  <c r="BD117" i="1" s="1"/>
  <c r="AN117" i="1"/>
  <c r="AN108" i="1"/>
  <c r="BC108" i="1"/>
  <c r="BD108" i="1" s="1"/>
  <c r="BC104" i="1"/>
  <c r="BD104" i="1" s="1"/>
  <c r="AN104" i="1"/>
  <c r="AN95" i="1"/>
  <c r="BC95" i="1"/>
  <c r="BD95" i="1" s="1"/>
  <c r="BC140" i="1"/>
  <c r="BD140" i="1" s="1"/>
  <c r="AN140" i="1"/>
  <c r="AN139" i="1"/>
  <c r="BC139" i="1"/>
  <c r="BD139" i="1" s="1"/>
  <c r="BC112" i="1"/>
  <c r="BD112" i="1" s="1"/>
  <c r="AN112" i="1"/>
  <c r="AX12" i="1"/>
  <c r="AX90" i="1"/>
  <c r="AX41" i="1"/>
  <c r="BE84" i="1"/>
  <c r="BE87" i="1"/>
  <c r="AX24" i="1"/>
  <c r="AO24" i="1"/>
  <c r="AX76" i="1"/>
  <c r="AX82" i="1"/>
  <c r="AO9" i="1"/>
  <c r="AX16" i="1"/>
  <c r="AL42" i="1"/>
  <c r="AN42" i="1" s="1"/>
  <c r="AP42" i="1"/>
  <c r="AP63" i="1"/>
  <c r="AL63" i="1"/>
  <c r="AN63" i="1" s="1"/>
  <c r="BE9" i="1"/>
  <c r="AP9" i="1"/>
  <c r="AX18" i="1"/>
  <c r="AO18" i="1"/>
  <c r="AO20" i="1"/>
  <c r="AX20" i="1"/>
  <c r="AQ24" i="1"/>
  <c r="AP24" i="1"/>
  <c r="AO28" i="1"/>
  <c r="AX28" i="1"/>
  <c r="AX36" i="1"/>
  <c r="AO36" i="1"/>
  <c r="BE5" i="1"/>
  <c r="AP5" i="1"/>
  <c r="AO12" i="1"/>
  <c r="AX14" i="1"/>
  <c r="AO14" i="1"/>
  <c r="BE17" i="1"/>
  <c r="AP17" i="1"/>
  <c r="AP40" i="1"/>
  <c r="BE68" i="1"/>
  <c r="AP68" i="1"/>
  <c r="AX69" i="1"/>
  <c r="AO69" i="1"/>
  <c r="AK69" i="1"/>
  <c r="AM69" i="1" s="1"/>
  <c r="AK85" i="1"/>
  <c r="AM85" i="1" s="1"/>
  <c r="AO85" i="1"/>
  <c r="AX85" i="1"/>
  <c r="AK88" i="1"/>
  <c r="AM88" i="1" s="1"/>
  <c r="AX8" i="1"/>
  <c r="AQ12" i="1"/>
  <c r="AP12" i="1"/>
  <c r="AO4" i="1"/>
  <c r="AX4" i="1"/>
  <c r="AQ8" i="1"/>
  <c r="AP8" i="1"/>
  <c r="BE13" i="1"/>
  <c r="AP13" i="1"/>
  <c r="AO21" i="1"/>
  <c r="AO25" i="1"/>
  <c r="AX31" i="1"/>
  <c r="AO31" i="1"/>
  <c r="BE38" i="1"/>
  <c r="AP38" i="1"/>
  <c r="AQ38" i="1"/>
  <c r="AP78" i="1"/>
  <c r="BE78" i="1"/>
  <c r="AO5" i="1"/>
  <c r="AO13" i="1"/>
  <c r="AO17" i="1"/>
  <c r="AX19" i="1"/>
  <c r="AO19" i="1"/>
  <c r="AP32" i="1"/>
  <c r="BE58" i="1"/>
  <c r="AP58" i="1"/>
  <c r="AL58" i="1"/>
  <c r="AN58" i="1" s="1"/>
  <c r="AQ58" i="1"/>
  <c r="AP75" i="1"/>
  <c r="BE75" i="1"/>
  <c r="AK77" i="1"/>
  <c r="AM77" i="1" s="1"/>
  <c r="AO77" i="1"/>
  <c r="AQ90" i="1"/>
  <c r="AP90" i="1"/>
  <c r="AO16" i="1"/>
  <c r="AX23" i="1"/>
  <c r="AO23" i="1"/>
  <c r="AO41" i="1"/>
  <c r="AK63" i="1"/>
  <c r="AM63" i="1" s="1"/>
  <c r="AO63" i="1"/>
  <c r="AX6" i="1"/>
  <c r="AO6" i="1"/>
  <c r="AX7" i="1"/>
  <c r="AO7" i="1"/>
  <c r="AX10" i="1"/>
  <c r="AO10" i="1"/>
  <c r="AQ16" i="1"/>
  <c r="AX22" i="1"/>
  <c r="AO22" i="1"/>
  <c r="AX27" i="1"/>
  <c r="AO27" i="1"/>
  <c r="AQ6" i="1"/>
  <c r="AP6" i="1"/>
  <c r="AQ10" i="1"/>
  <c r="AP10" i="1"/>
  <c r="AX15" i="1"/>
  <c r="AO15" i="1"/>
  <c r="AQ20" i="1"/>
  <c r="BE25" i="1"/>
  <c r="AP25" i="1"/>
  <c r="AX26" i="1"/>
  <c r="AO26" i="1"/>
  <c r="AO37" i="1"/>
  <c r="AX37" i="1"/>
  <c r="AO38" i="1"/>
  <c r="AX38" i="1"/>
  <c r="AK42" i="1"/>
  <c r="AM42" i="1" s="1"/>
  <c r="AO42" i="1"/>
  <c r="AL57" i="1"/>
  <c r="AN57" i="1" s="1"/>
  <c r="AP57" i="1"/>
  <c r="AP59" i="1"/>
  <c r="AL59" i="1"/>
  <c r="AN59" i="1" s="1"/>
  <c r="AL62" i="1"/>
  <c r="AN62" i="1" s="1"/>
  <c r="AP62" i="1"/>
  <c r="AK66" i="1"/>
  <c r="AM66" i="1" s="1"/>
  <c r="AX66" i="1"/>
  <c r="AO66" i="1"/>
  <c r="AK76" i="1"/>
  <c r="AM76" i="1" s="1"/>
  <c r="AP82" i="1"/>
  <c r="AL82" i="1"/>
  <c r="AN82" i="1" s="1"/>
  <c r="AK90" i="1"/>
  <c r="AM90" i="1" s="1"/>
  <c r="AO90" i="1"/>
  <c r="AP20" i="1"/>
  <c r="AQ28" i="1"/>
  <c r="AO33" i="1"/>
  <c r="AX34" i="1"/>
  <c r="AO34" i="1"/>
  <c r="AO39" i="1"/>
  <c r="AK58" i="1"/>
  <c r="AM58" i="1" s="1"/>
  <c r="AO58" i="1"/>
  <c r="BE64" i="1"/>
  <c r="AX11" i="1"/>
  <c r="AO11" i="1"/>
  <c r="BE21" i="1"/>
  <c r="AP21" i="1"/>
  <c r="AP37" i="1"/>
  <c r="AQ37" i="1"/>
  <c r="AK56" i="1"/>
  <c r="AM56" i="1" s="1"/>
  <c r="AO57" i="1"/>
  <c r="AK57" i="1"/>
  <c r="AM57" i="1" s="1"/>
  <c r="AK60" i="1"/>
  <c r="AM60" i="1" s="1"/>
  <c r="AX63" i="1"/>
  <c r="AL64" i="1"/>
  <c r="AN64" i="1" s="1"/>
  <c r="AL69" i="1"/>
  <c r="AN69" i="1" s="1"/>
  <c r="AP79" i="1"/>
  <c r="AL79" i="1"/>
  <c r="AN79" i="1" s="1"/>
  <c r="AK82" i="1"/>
  <c r="AM82" i="1" s="1"/>
  <c r="AO82" i="1"/>
  <c r="AK91" i="1"/>
  <c r="AM91" i="1" s="1"/>
  <c r="AO91" i="1"/>
  <c r="AQ14" i="1"/>
  <c r="AQ18" i="1"/>
  <c r="AQ22" i="1"/>
  <c r="AQ26" i="1"/>
  <c r="BE41" i="1"/>
  <c r="AP41" i="1"/>
  <c r="AX58" i="1"/>
  <c r="AK70" i="1"/>
  <c r="AM70" i="1" s="1"/>
  <c r="AK83" i="1"/>
  <c r="AM83" i="1" s="1"/>
  <c r="AO83" i="1"/>
  <c r="AX92" i="1"/>
  <c r="AX32" i="1"/>
  <c r="AP35" i="1"/>
  <c r="AK64" i="1"/>
  <c r="AM64" i="1" s="1"/>
  <c r="AX70" i="1"/>
  <c r="AK73" i="1"/>
  <c r="AM73" i="1" s="1"/>
  <c r="AO73" i="1"/>
  <c r="AX73" i="1"/>
  <c r="AX75" i="1"/>
  <c r="AO75" i="1"/>
  <c r="AK80" i="1"/>
  <c r="AM80" i="1" s="1"/>
  <c r="AL81" i="1"/>
  <c r="AN81" i="1" s="1"/>
  <c r="AP81" i="1"/>
  <c r="AQ83" i="1"/>
  <c r="AP83" i="1"/>
  <c r="AP14" i="1"/>
  <c r="AP18" i="1"/>
  <c r="AP22" i="1"/>
  <c r="AP26" i="1"/>
  <c r="BE77" i="1"/>
  <c r="AP77" i="1"/>
  <c r="AQ39" i="1"/>
  <c r="BE39" i="1"/>
  <c r="BE7" i="1"/>
  <c r="BE11" i="1"/>
  <c r="BE15" i="1"/>
  <c r="BE19" i="1"/>
  <c r="BE23" i="1"/>
  <c r="BE27" i="1"/>
  <c r="BE4" i="1"/>
  <c r="AQ4" i="1"/>
  <c r="AQ60" i="1"/>
  <c r="BE60" i="1"/>
  <c r="AL60" i="1"/>
  <c r="BE69" i="1"/>
  <c r="BE34" i="1"/>
  <c r="AQ41" i="1"/>
  <c r="AQ42" i="1"/>
  <c r="AK71" i="1"/>
  <c r="AX71" i="1"/>
  <c r="AL73" i="1"/>
  <c r="AQ73" i="1"/>
  <c r="BE73" i="1"/>
  <c r="BE33" i="1"/>
  <c r="AQ33" i="1"/>
  <c r="AQ36" i="1"/>
  <c r="BE36" i="1"/>
  <c r="BE40" i="1"/>
  <c r="BE42" i="1"/>
  <c r="AX57" i="1"/>
  <c r="AQ57" i="1"/>
  <c r="AK59" i="1"/>
  <c r="AX59" i="1"/>
  <c r="AQ59" i="1"/>
  <c r="AX68" i="1"/>
  <c r="AK68" i="1"/>
  <c r="AL70" i="1"/>
  <c r="BE70" i="1"/>
  <c r="AQ70" i="1"/>
  <c r="AQ5" i="1"/>
  <c r="AX5" i="1"/>
  <c r="AQ7" i="1"/>
  <c r="AQ9" i="1"/>
  <c r="AX9" i="1"/>
  <c r="AQ11" i="1"/>
  <c r="AQ13" i="1"/>
  <c r="AX13" i="1"/>
  <c r="AQ15" i="1"/>
  <c r="AQ17" i="1"/>
  <c r="AX17" i="1"/>
  <c r="AQ19" i="1"/>
  <c r="AQ21" i="1"/>
  <c r="AX21" i="1"/>
  <c r="AQ23" i="1"/>
  <c r="AQ25" i="1"/>
  <c r="AX25" i="1"/>
  <c r="AQ27" i="1"/>
  <c r="AX29" i="1"/>
  <c r="AX33" i="1"/>
  <c r="AQ40" i="1"/>
  <c r="AX40" i="1"/>
  <c r="AQ56" i="1"/>
  <c r="BE56" i="1"/>
  <c r="AL56" i="1"/>
  <c r="BE57" i="1"/>
  <c r="AQ74" i="1"/>
  <c r="BE74" i="1"/>
  <c r="AL74" i="1"/>
  <c r="AQ80" i="1"/>
  <c r="AL80" i="1"/>
  <c r="BE80" i="1"/>
  <c r="AX30" i="1"/>
  <c r="AQ35" i="1"/>
  <c r="BE35" i="1"/>
  <c r="AX42" i="1"/>
  <c r="BE29" i="1"/>
  <c r="AQ29" i="1"/>
  <c r="BE31" i="1"/>
  <c r="BE32" i="1"/>
  <c r="BE37" i="1"/>
  <c r="BE6" i="1"/>
  <c r="BE8" i="1"/>
  <c r="BE10" i="1"/>
  <c r="BE12" i="1"/>
  <c r="BE14" i="1"/>
  <c r="BE16" i="1"/>
  <c r="BE18" i="1"/>
  <c r="BE20" i="1"/>
  <c r="BE22" i="1"/>
  <c r="BE24" i="1"/>
  <c r="BE26" i="1"/>
  <c r="BE28" i="1"/>
  <c r="AQ30" i="1"/>
  <c r="BE30" i="1"/>
  <c r="AQ32" i="1"/>
  <c r="AX35" i="1"/>
  <c r="AX61" i="1"/>
  <c r="AK61" i="1"/>
  <c r="AQ34" i="1"/>
  <c r="BE59" i="1"/>
  <c r="AQ62" i="1"/>
  <c r="AK62" i="1"/>
  <c r="AX62" i="1"/>
  <c r="BE65" i="1"/>
  <c r="AX79" i="1"/>
  <c r="AQ79" i="1"/>
  <c r="AK79" i="1"/>
  <c r="AQ81" i="1"/>
  <c r="AK81" i="1"/>
  <c r="AX81" i="1"/>
  <c r="AL83" i="1"/>
  <c r="BE83" i="1"/>
  <c r="AQ31" i="1"/>
  <c r="AX39" i="1"/>
  <c r="AQ68" i="1"/>
  <c r="AL68" i="1"/>
  <c r="BE72" i="1"/>
  <c r="AL72" i="1"/>
  <c r="AQ72" i="1"/>
  <c r="AL76" i="1"/>
  <c r="BE76" i="1"/>
  <c r="AQ76" i="1"/>
  <c r="AQ78" i="1"/>
  <c r="AL78" i="1"/>
  <c r="AX56" i="1"/>
  <c r="AX60" i="1"/>
  <c r="BE62" i="1"/>
  <c r="AL66" i="1"/>
  <c r="BE66" i="1"/>
  <c r="AQ66" i="1"/>
  <c r="AK67" i="1"/>
  <c r="AX67" i="1"/>
  <c r="AX89" i="1"/>
  <c r="AK89" i="1"/>
  <c r="AQ89" i="1"/>
  <c r="AQ61" i="1"/>
  <c r="BE61" i="1"/>
  <c r="AL61" i="1"/>
  <c r="BE63" i="1"/>
  <c r="AQ63" i="1"/>
  <c r="AQ64" i="1"/>
  <c r="AX64" i="1"/>
  <c r="AQ65" i="1"/>
  <c r="AL65" i="1"/>
  <c r="BE67" i="1"/>
  <c r="AQ67" i="1"/>
  <c r="AL67" i="1"/>
  <c r="AL71" i="1"/>
  <c r="BE71" i="1"/>
  <c r="AQ71" i="1"/>
  <c r="BE88" i="1"/>
  <c r="AX65" i="1"/>
  <c r="AK72" i="1"/>
  <c r="AX72" i="1"/>
  <c r="AX74" i="1"/>
  <c r="AK75" i="1"/>
  <c r="BE81" i="1"/>
  <c r="AQ87" i="1"/>
  <c r="AL87" i="1"/>
  <c r="BE93" i="1"/>
  <c r="AQ69" i="1"/>
  <c r="AX78" i="1"/>
  <c r="AK78" i="1"/>
  <c r="AL85" i="1"/>
  <c r="BE85" i="1"/>
  <c r="AQ85" i="1"/>
  <c r="AK86" i="1"/>
  <c r="AX86" i="1"/>
  <c r="BE91" i="1"/>
  <c r="AL91" i="1"/>
  <c r="AQ91" i="1"/>
  <c r="AQ75" i="1"/>
  <c r="AL75" i="1"/>
  <c r="AQ77" i="1"/>
  <c r="AX77" i="1"/>
  <c r="BE82" i="1"/>
  <c r="AQ82" i="1"/>
  <c r="AX83" i="1"/>
  <c r="AQ84" i="1"/>
  <c r="AL84" i="1"/>
  <c r="BE86" i="1"/>
  <c r="AQ86" i="1"/>
  <c r="AL86" i="1"/>
  <c r="AQ92" i="1"/>
  <c r="BE92" i="1"/>
  <c r="AL92" i="1"/>
  <c r="AX93" i="1"/>
  <c r="AK93" i="1"/>
  <c r="BE79" i="1"/>
  <c r="AX87" i="1"/>
  <c r="AK87" i="1"/>
  <c r="AX88" i="1"/>
  <c r="AL89" i="1"/>
  <c r="BE89" i="1"/>
  <c r="AX84" i="1"/>
  <c r="AX91" i="1"/>
  <c r="AL93" i="1"/>
  <c r="AQ93" i="1"/>
  <c r="AX80" i="1"/>
  <c r="AQ88" i="1"/>
  <c r="BE90" i="1"/>
  <c r="AL90" i="1"/>
  <c r="AY3" i="1"/>
  <c r="BA3" i="1" s="1"/>
  <c r="BB3" i="1" s="1"/>
  <c r="AN231" i="1" l="1"/>
  <c r="AN222" i="1"/>
  <c r="AN87" i="1"/>
  <c r="AN65" i="1"/>
  <c r="AN80" i="1"/>
  <c r="AM59" i="1"/>
  <c r="AN73" i="1"/>
  <c r="AM93" i="1"/>
  <c r="AN84" i="1"/>
  <c r="AN75" i="1"/>
  <c r="AN76" i="1"/>
  <c r="AM81" i="1"/>
  <c r="AM62" i="1"/>
  <c r="AN90" i="1"/>
  <c r="AN86" i="1"/>
  <c r="AN91" i="1"/>
  <c r="AN61" i="1"/>
  <c r="AM67" i="1"/>
  <c r="AN74" i="1"/>
  <c r="AN56" i="1"/>
  <c r="AM71" i="1"/>
  <c r="AN85" i="1"/>
  <c r="AM75" i="1"/>
  <c r="AN71" i="1"/>
  <c r="AM68" i="1"/>
  <c r="AM86" i="1"/>
  <c r="AN67" i="1"/>
  <c r="AM89" i="1"/>
  <c r="AN66" i="1"/>
  <c r="AN78" i="1"/>
  <c r="AN68" i="1"/>
  <c r="AN93" i="1"/>
  <c r="AN89" i="1"/>
  <c r="AM87" i="1"/>
  <c r="AN92" i="1"/>
  <c r="AM78" i="1"/>
  <c r="AM72" i="1"/>
  <c r="AN72" i="1"/>
  <c r="AN83" i="1"/>
  <c r="AM79" i="1"/>
  <c r="AM61" i="1"/>
  <c r="AN70" i="1"/>
  <c r="AN60" i="1"/>
  <c r="AR3" i="1"/>
  <c r="AL9" i="1" l="1"/>
  <c r="AN9" i="1" s="1"/>
  <c r="AK9" i="1"/>
  <c r="AM9" i="1" s="1"/>
  <c r="AK17" i="1"/>
  <c r="AM17" i="1" s="1"/>
  <c r="AL17" i="1"/>
  <c r="AN17" i="1" s="1"/>
  <c r="AL25" i="1"/>
  <c r="AN25" i="1" s="1"/>
  <c r="AK25" i="1"/>
  <c r="AM25" i="1" s="1"/>
  <c r="AL33" i="1"/>
  <c r="AN33" i="1" s="1"/>
  <c r="AK33" i="1"/>
  <c r="AM33" i="1" s="1"/>
  <c r="AK41" i="1"/>
  <c r="AM41" i="1" s="1"/>
  <c r="AL41" i="1"/>
  <c r="AN41" i="1" s="1"/>
  <c r="AK6" i="1"/>
  <c r="AM6" i="1" s="1"/>
  <c r="AL6" i="1"/>
  <c r="AN6" i="1" s="1"/>
  <c r="AK14" i="1"/>
  <c r="AM14" i="1" s="1"/>
  <c r="AL14" i="1"/>
  <c r="AN14" i="1" s="1"/>
  <c r="AK26" i="1"/>
  <c r="AM26" i="1" s="1"/>
  <c r="AL26" i="1"/>
  <c r="AN26" i="1" s="1"/>
  <c r="AK7" i="1"/>
  <c r="AM7" i="1" s="1"/>
  <c r="AL7" i="1"/>
  <c r="AN7" i="1" s="1"/>
  <c r="AL15" i="1"/>
  <c r="AN15" i="1" s="1"/>
  <c r="AK15" i="1"/>
  <c r="AM15" i="1" s="1"/>
  <c r="AK19" i="1"/>
  <c r="AM19" i="1" s="1"/>
  <c r="AL19" i="1"/>
  <c r="AN19" i="1" s="1"/>
  <c r="AK27" i="1"/>
  <c r="AM27" i="1" s="1"/>
  <c r="AL27" i="1"/>
  <c r="AN27" i="1" s="1"/>
  <c r="AL4" i="1"/>
  <c r="AN4" i="1" s="1"/>
  <c r="AK4" i="1"/>
  <c r="AM4" i="1" s="1"/>
  <c r="AK8" i="1"/>
  <c r="AM8" i="1" s="1"/>
  <c r="AL8" i="1"/>
  <c r="AN8" i="1" s="1"/>
  <c r="AK12" i="1"/>
  <c r="AM12" i="1" s="1"/>
  <c r="AL12" i="1"/>
  <c r="AN12" i="1" s="1"/>
  <c r="AL16" i="1"/>
  <c r="AN16" i="1" s="1"/>
  <c r="AK16" i="1"/>
  <c r="AM16" i="1" s="1"/>
  <c r="AK20" i="1"/>
  <c r="AM20" i="1" s="1"/>
  <c r="AL20" i="1"/>
  <c r="AN20" i="1" s="1"/>
  <c r="AL24" i="1"/>
  <c r="AN24" i="1" s="1"/>
  <c r="AK24" i="1"/>
  <c r="AM24" i="1" s="1"/>
  <c r="AL28" i="1"/>
  <c r="AN28" i="1" s="1"/>
  <c r="AK28" i="1"/>
  <c r="AM28" i="1" s="1"/>
  <c r="AL32" i="1"/>
  <c r="AN32" i="1" s="1"/>
  <c r="AK32" i="1"/>
  <c r="AM32" i="1" s="1"/>
  <c r="AL36" i="1"/>
  <c r="AN36" i="1" s="1"/>
  <c r="AK36" i="1"/>
  <c r="AM36" i="1" s="1"/>
  <c r="AL40" i="1"/>
  <c r="AN40" i="1" s="1"/>
  <c r="AK40" i="1"/>
  <c r="AM40" i="1" s="1"/>
  <c r="AK5" i="1"/>
  <c r="AM5" i="1" s="1"/>
  <c r="AL5" i="1"/>
  <c r="AN5" i="1" s="1"/>
  <c r="AL13" i="1"/>
  <c r="AN13" i="1" s="1"/>
  <c r="AK13" i="1"/>
  <c r="AM13" i="1" s="1"/>
  <c r="AK21" i="1"/>
  <c r="AM21" i="1" s="1"/>
  <c r="AL21" i="1"/>
  <c r="AN21" i="1" s="1"/>
  <c r="AK29" i="1"/>
  <c r="AM29" i="1" s="1"/>
  <c r="AL29" i="1"/>
  <c r="AN29" i="1" s="1"/>
  <c r="AL37" i="1"/>
  <c r="AN37" i="1" s="1"/>
  <c r="AK37" i="1"/>
  <c r="AM37" i="1" s="1"/>
  <c r="AK10" i="1"/>
  <c r="AM10" i="1" s="1"/>
  <c r="AL10" i="1"/>
  <c r="AN10" i="1" s="1"/>
  <c r="AK18" i="1"/>
  <c r="AM18" i="1" s="1"/>
  <c r="AL18" i="1"/>
  <c r="AN18" i="1" s="1"/>
  <c r="AK22" i="1"/>
  <c r="AM22" i="1" s="1"/>
  <c r="AL22" i="1"/>
  <c r="AN22" i="1" s="1"/>
  <c r="AL30" i="1"/>
  <c r="AN30" i="1" s="1"/>
  <c r="AK30" i="1"/>
  <c r="AM30" i="1" s="1"/>
  <c r="AK34" i="1"/>
  <c r="AM34" i="1" s="1"/>
  <c r="AL34" i="1"/>
  <c r="AN34" i="1" s="1"/>
  <c r="AL38" i="1"/>
  <c r="AN38" i="1" s="1"/>
  <c r="AK38" i="1"/>
  <c r="AM38" i="1" s="1"/>
  <c r="AK11" i="1"/>
  <c r="AM11" i="1" s="1"/>
  <c r="AL11" i="1"/>
  <c r="AN11" i="1" s="1"/>
  <c r="AK23" i="1"/>
  <c r="AM23" i="1" s="1"/>
  <c r="AL23" i="1"/>
  <c r="AN23" i="1" s="1"/>
  <c r="AL31" i="1"/>
  <c r="AN31" i="1" s="1"/>
  <c r="AK31" i="1"/>
  <c r="AM31" i="1" s="1"/>
  <c r="AL35" i="1"/>
  <c r="AN35" i="1" s="1"/>
  <c r="AK35" i="1"/>
  <c r="AM35" i="1" s="1"/>
  <c r="AL39" i="1"/>
  <c r="AN39" i="1" s="1"/>
  <c r="AK39" i="1"/>
  <c r="AM39" i="1" s="1"/>
  <c r="AH3" i="1"/>
  <c r="AG3" i="1"/>
  <c r="AI3" i="1" s="1"/>
  <c r="AO3" i="1" s="1"/>
  <c r="AT3" i="1"/>
  <c r="AU3" i="1" s="1"/>
  <c r="AJ3" i="1" l="1"/>
  <c r="AL3" i="1" s="1"/>
  <c r="AX3" i="1"/>
  <c r="AK3" i="1"/>
  <c r="E16" i="10"/>
  <c r="C21" i="10"/>
  <c r="C22" i="10"/>
  <c r="C17" i="10"/>
  <c r="C16" i="10"/>
  <c r="F33" i="10"/>
  <c r="G33" i="10" s="1"/>
  <c r="I33" i="10" s="1"/>
  <c r="J33" i="10" s="1"/>
  <c r="K33" i="10" s="1"/>
  <c r="E25" i="10"/>
  <c r="C25" i="10"/>
  <c r="E24" i="10"/>
  <c r="C24" i="10"/>
  <c r="E23" i="10"/>
  <c r="C23" i="10"/>
  <c r="E22" i="10"/>
  <c r="E21" i="10"/>
  <c r="E20" i="10"/>
  <c r="C20" i="10"/>
  <c r="E19" i="10"/>
  <c r="C19" i="10"/>
  <c r="E18" i="10"/>
  <c r="C18" i="10"/>
  <c r="E17" i="10"/>
  <c r="E15" i="10"/>
  <c r="C15" i="10"/>
  <c r="J14" i="10"/>
  <c r="H14" i="10"/>
  <c r="E14" i="10"/>
  <c r="C14" i="10"/>
  <c r="J13" i="10"/>
  <c r="H13" i="10"/>
  <c r="E13" i="10"/>
  <c r="C13" i="10"/>
  <c r="J12" i="10"/>
  <c r="H12" i="10"/>
  <c r="E12" i="10"/>
  <c r="C12" i="10"/>
  <c r="J11" i="10"/>
  <c r="H11" i="10"/>
  <c r="E11" i="10"/>
  <c r="C11" i="10"/>
  <c r="J10" i="10"/>
  <c r="H10" i="10"/>
  <c r="BE3" i="1" l="1"/>
  <c r="AP3" i="1"/>
  <c r="AQ3" i="1"/>
  <c r="BC3" i="1"/>
  <c r="BD3" i="1" s="1"/>
  <c r="AM3" i="1"/>
  <c r="AN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 Michelsen</author>
    <author>Micromass UK Ltd</author>
    <author>Kristine Dyrnum</author>
    <author>andersm</author>
  </authors>
  <commentList>
    <comment ref="Q1" authorId="0" shapeId="0" xr:uid="{63719E8C-BC50-4305-B8CB-4FFF903F277C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R1" authorId="0" shapeId="0" xr:uid="{A4ABEC7B-32B8-43F8-B12C-0C63DB43B3B3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S1" authorId="0" shapeId="0" xr:uid="{52C24C62-005B-4607-AF3D-0337141D231B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T1" authorId="1" shapeId="0" xr:uid="{00000000-0006-0000-0000-000001000000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S1" authorId="2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replace by actual nat abun in atm percent
</t>
        </r>
      </text>
    </comment>
    <comment ref="AZ1" authorId="0" shapeId="0" xr:uid="{8008FC86-951A-4657-BC6B-C88626BB50BB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. Replace by correct natural abundance</t>
        </r>
      </text>
    </comment>
    <comment ref="BA1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ikke fratrukket natural abundance</t>
        </r>
      </text>
    </comment>
    <comment ref="BC1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fra Kristines …?? Brug ikke...
vægtet mht lineær regression mellem TDN FIASTAR og TDN IRMS (faner: "total N_lin reg" og total C_lin reg")
Y=(1.12461X+0.0077)</t>
        </r>
      </text>
    </comment>
    <comment ref="T2" authorId="1" shapeId="0" xr:uid="{ADEB741E-945D-4377-89B1-3C242855DCEC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Z3" authorId="3" shapeId="0" xr:uid="{00000000-0006-0000-0000-000009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" authorId="3" shapeId="0" xr:uid="{00000000-0006-0000-0000-00000F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" authorId="3" shapeId="0" xr:uid="{00000000-0006-0000-0000-000012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" authorId="3" shapeId="0" xr:uid="{00000000-0006-0000-0000-000018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" authorId="3" shapeId="0" xr:uid="{00000000-0006-0000-0000-00001B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" authorId="3" shapeId="0" xr:uid="{00000000-0006-0000-0000-00001E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" authorId="3" shapeId="0" xr:uid="{00000000-0006-0000-0000-000021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" authorId="3" shapeId="0" xr:uid="{00000000-0006-0000-0000-000024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" authorId="3" shapeId="0" xr:uid="{00000000-0006-0000-0000-000027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" authorId="3" shapeId="0" xr:uid="{00000000-0006-0000-0000-00002A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" authorId="3" shapeId="0" xr:uid="{00000000-0006-0000-0000-00002D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" authorId="3" shapeId="0" xr:uid="{00000000-0006-0000-0000-000030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" authorId="3" shapeId="0" xr:uid="{00000000-0006-0000-0000-000033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" authorId="3" shapeId="0" xr:uid="{00000000-0006-0000-0000-000036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" authorId="3" shapeId="0" xr:uid="{00000000-0006-0000-0000-000039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" authorId="3" shapeId="0" xr:uid="{00000000-0006-0000-0000-00003C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" authorId="3" shapeId="0" xr:uid="{00000000-0006-0000-0000-00003F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" authorId="3" shapeId="0" xr:uid="{00000000-0006-0000-0000-000042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3" authorId="3" shapeId="0" xr:uid="{00000000-0006-0000-0000-000045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" authorId="3" shapeId="0" xr:uid="{00000000-0006-0000-0000-000048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5" authorId="3" shapeId="0" xr:uid="{00000000-0006-0000-0000-00004B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6" authorId="3" shapeId="0" xr:uid="{00000000-0006-0000-0000-00004E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7" authorId="3" shapeId="0" xr:uid="{00000000-0006-0000-0000-000051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8" authorId="3" shapeId="0" xr:uid="{00000000-0006-0000-0000-000054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9" authorId="3" shapeId="0" xr:uid="{00000000-0006-0000-0000-000057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0" authorId="3" shapeId="0" xr:uid="{00000000-0006-0000-0000-00005A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1" authorId="3" shapeId="0" xr:uid="{00000000-0006-0000-0000-00005D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2" authorId="3" shapeId="0" xr:uid="{00000000-0006-0000-0000-000060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3" authorId="3" shapeId="0" xr:uid="{00000000-0006-0000-0000-000063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4" authorId="3" shapeId="0" xr:uid="{00000000-0006-0000-0000-000066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5" authorId="3" shapeId="0" xr:uid="{00000000-0006-0000-0000-000069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6" authorId="3" shapeId="0" xr:uid="{00000000-0006-0000-0000-00006C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7" authorId="3" shapeId="0" xr:uid="{00000000-0006-0000-0000-00006F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8" authorId="3" shapeId="0" xr:uid="{00000000-0006-0000-0000-000072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9" authorId="3" shapeId="0" xr:uid="{00000000-0006-0000-0000-000075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0" authorId="3" shapeId="0" xr:uid="{00000000-0006-0000-0000-000078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1" authorId="3" shapeId="0" xr:uid="{00000000-0006-0000-0000-00007B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2" authorId="3" shapeId="0" xr:uid="{00000000-0006-0000-0000-00007E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3" authorId="3" shapeId="0" xr:uid="{D5AD54C3-7465-484D-8DB9-66EF0ACCBD2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4" authorId="3" shapeId="0" xr:uid="{03339141-F315-461D-841A-231CC6C0680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5" authorId="3" shapeId="0" xr:uid="{A0F0B497-AC51-4C17-B949-E046FD0516E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6" authorId="3" shapeId="0" xr:uid="{47EFD2DC-03AA-46A1-A8DB-19AE49F3316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7" authorId="3" shapeId="0" xr:uid="{98CA04E4-AA73-44E3-B47E-8BAC7991686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8" authorId="3" shapeId="0" xr:uid="{615114A0-5359-479A-98DF-CD51F44716B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9" authorId="3" shapeId="0" xr:uid="{F93432A9-25B5-4CF4-BEE1-37761F36629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0" authorId="3" shapeId="0" xr:uid="{1F64D1A9-0939-402C-BB61-CF22966D330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1" authorId="3" shapeId="0" xr:uid="{E348ECCD-1C85-4DE1-B013-D168006D3AF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2" authorId="3" shapeId="0" xr:uid="{EE903B8C-4BF5-4ACC-A926-CDB70EBB249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3" authorId="3" shapeId="0" xr:uid="{0A3FD017-614F-445C-BCA8-B208228073F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4" authorId="3" shapeId="0" xr:uid="{CB41557E-40A3-42E0-B3E3-D488520AF0D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5" authorId="3" shapeId="0" xr:uid="{76A6C26F-08A8-4A0D-8C1C-A8D05E0278C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6" authorId="3" shapeId="0" xr:uid="{00000000-0006-0000-0000-0000A8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7" authorId="3" shapeId="0" xr:uid="{00000000-0006-0000-0000-0000CF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8" authorId="3" shapeId="0" xr:uid="{00000000-0006-0000-0000-0000D2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9" authorId="3" shapeId="0" xr:uid="{00000000-0006-0000-0000-0000D5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0" authorId="3" shapeId="0" xr:uid="{00000000-0006-0000-0000-0000D8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1" authorId="3" shapeId="0" xr:uid="{00000000-0006-0000-0000-0000DB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2" authorId="3" shapeId="0" xr:uid="{00000000-0006-0000-0000-0000DE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3" authorId="3" shapeId="0" xr:uid="{00000000-0006-0000-0000-0000E1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4" authorId="3" shapeId="0" xr:uid="{00000000-0006-0000-0000-0000E4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5" authorId="3" shapeId="0" xr:uid="{00000000-0006-0000-0000-0000E7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6" authorId="3" shapeId="0" xr:uid="{00000000-0006-0000-0000-0000EA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7" authorId="3" shapeId="0" xr:uid="{00000000-0006-0000-0000-0000ED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8" authorId="3" shapeId="0" xr:uid="{00000000-0006-0000-0000-0000F0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9" authorId="3" shapeId="0" xr:uid="{00000000-0006-0000-0000-0000F3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0" authorId="3" shapeId="0" xr:uid="{00000000-0006-0000-0000-0000F6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1" authorId="3" shapeId="0" xr:uid="{00000000-0006-0000-0000-0000F9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2" authorId="3" shapeId="0" xr:uid="{00000000-0006-0000-0000-0000FC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3" authorId="3" shapeId="0" xr:uid="{00000000-0006-0000-0000-0000FF00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4" authorId="3" shapeId="0" xr:uid="{00000000-0006-0000-0000-000002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5" authorId="3" shapeId="0" xr:uid="{00000000-0006-0000-0000-000005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6" authorId="3" shapeId="0" xr:uid="{00000000-0006-0000-0000-000008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7" authorId="3" shapeId="0" xr:uid="{00000000-0006-0000-0000-00000B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8" authorId="3" shapeId="0" xr:uid="{00000000-0006-0000-0000-00000E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9" authorId="3" shapeId="0" xr:uid="{00000000-0006-0000-0000-000011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0" authorId="3" shapeId="0" xr:uid="{00000000-0006-0000-0000-000014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1" authorId="3" shapeId="0" xr:uid="{00000000-0006-0000-0000-000017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2" authorId="3" shapeId="0" xr:uid="{00000000-0006-0000-0000-00001A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3" authorId="3" shapeId="0" xr:uid="{00000000-0006-0000-0000-00001D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4" authorId="3" shapeId="0" xr:uid="{00000000-0006-0000-0000-000020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5" authorId="3" shapeId="0" xr:uid="{00000000-0006-0000-0000-000023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6" authorId="3" shapeId="0" xr:uid="{00000000-0006-0000-0000-000026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7" authorId="3" shapeId="0" xr:uid="{00000000-0006-0000-0000-000029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8" authorId="3" shapeId="0" xr:uid="{00000000-0006-0000-0000-00002C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9" authorId="3" shapeId="0" xr:uid="{00000000-0006-0000-0000-00002F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0" authorId="3" shapeId="0" xr:uid="{00000000-0006-0000-0000-000032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1" authorId="3" shapeId="0" xr:uid="{00000000-0006-0000-0000-000035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2" authorId="3" shapeId="0" xr:uid="{00000000-0006-0000-0000-000038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3" authorId="3" shapeId="0" xr:uid="{00000000-0006-0000-0000-00003B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4" authorId="3" shapeId="0" xr:uid="{00000000-0006-0000-0000-000077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5" authorId="3" shapeId="0" xr:uid="{00000000-0006-0000-0000-000078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6" authorId="3" shapeId="0" xr:uid="{00000000-0006-0000-0000-000079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7" authorId="3" shapeId="0" xr:uid="{00000000-0006-0000-0000-00007A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8" authorId="3" shapeId="0" xr:uid="{00000000-0006-0000-0000-00007B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9" authorId="3" shapeId="0" xr:uid="{00000000-0006-0000-0000-00007C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0" authorId="3" shapeId="0" xr:uid="{00000000-0006-0000-0000-00007D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1" authorId="3" shapeId="0" xr:uid="{00000000-0006-0000-0000-00007E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2" authorId="3" shapeId="0" xr:uid="{00000000-0006-0000-0000-00007F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3" authorId="3" shapeId="0" xr:uid="{00000000-0006-0000-0000-000080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4" authorId="3" shapeId="0" xr:uid="{00000000-0006-0000-0000-000081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5" authorId="3" shapeId="0" xr:uid="{00000000-0006-0000-0000-000082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6" authorId="3" shapeId="0" xr:uid="{00000000-0006-0000-0000-000083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7" authorId="3" shapeId="0" xr:uid="{00000000-0006-0000-0000-000084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8" authorId="3" shapeId="0" xr:uid="{00000000-0006-0000-0000-000088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9" authorId="3" shapeId="0" xr:uid="{00000000-0006-0000-0000-000089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0" authorId="3" shapeId="0" xr:uid="{00000000-0006-0000-0000-00008A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1" authorId="3" shapeId="0" xr:uid="{00000000-0006-0000-0000-00008B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2" authorId="3" shapeId="0" xr:uid="{00000000-0006-0000-0000-00008C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3" authorId="3" shapeId="0" xr:uid="{00000000-0006-0000-0000-00008D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4" authorId="3" shapeId="0" xr:uid="{00000000-0006-0000-0000-00008E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5" authorId="3" shapeId="0" xr:uid="{00000000-0006-0000-0000-00008F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6" authorId="3" shapeId="0" xr:uid="{00000000-0006-0000-0000-000090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7" authorId="3" shapeId="0" xr:uid="{00000000-0006-0000-0000-000091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8" authorId="3" shapeId="0" xr:uid="{00000000-0006-0000-0000-000092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9" authorId="3" shapeId="0" xr:uid="{00000000-0006-0000-0000-000093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0" authorId="3" shapeId="0" xr:uid="{00000000-0006-0000-0000-000094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1" authorId="3" shapeId="0" xr:uid="{00000000-0006-0000-0000-000095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2" authorId="3" shapeId="0" xr:uid="{00000000-0006-0000-0000-000096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3" authorId="3" shapeId="0" xr:uid="{00000000-0006-0000-0000-000097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4" authorId="3" shapeId="0" xr:uid="{00000000-0006-0000-0000-000098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5" authorId="3" shapeId="0" xr:uid="{00000000-0006-0000-0000-000099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6" authorId="3" shapeId="0" xr:uid="{00000000-0006-0000-0000-00009A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7" authorId="3" shapeId="0" xr:uid="{00000000-0006-0000-0000-00009B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8" authorId="3" shapeId="0" xr:uid="{00000000-0006-0000-0000-00009C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9" authorId="3" shapeId="0" xr:uid="{00000000-0006-0000-0000-00009D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0" authorId="3" shapeId="0" xr:uid="{00000000-0006-0000-0000-00009E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1" authorId="3" shapeId="0" xr:uid="{00000000-0006-0000-0000-00009F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2" authorId="3" shapeId="0" xr:uid="{00000000-0006-0000-0000-0000A0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3" authorId="3" shapeId="0" xr:uid="{00000000-0006-0000-0000-0000A1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4" authorId="3" shapeId="0" xr:uid="{00000000-0006-0000-0000-0000A2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5" authorId="3" shapeId="0" xr:uid="{00000000-0006-0000-0000-0000A3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6" authorId="3" shapeId="0" xr:uid="{00000000-0006-0000-0000-0000A4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7" authorId="3" shapeId="0" xr:uid="{00000000-0006-0000-0000-0000A5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8" authorId="3" shapeId="0" xr:uid="{00000000-0006-0000-0000-0000A6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9" authorId="3" shapeId="0" xr:uid="{00000000-0006-0000-0000-0000A7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0" authorId="3" shapeId="0" xr:uid="{00000000-0006-0000-0000-0000A8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1" authorId="3" shapeId="0" xr:uid="{00000000-0006-0000-0000-0000A9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2" authorId="3" shapeId="0" xr:uid="{00000000-0006-0000-0000-0000AA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3" authorId="3" shapeId="0" xr:uid="{00000000-0006-0000-0000-0000AB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4" authorId="3" shapeId="0" xr:uid="{00000000-0006-0000-0000-0000AC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5" authorId="3" shapeId="0" xr:uid="{00000000-0006-0000-0000-0000AD01000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6" authorId="3" shapeId="0" xr:uid="{19D8B5CA-B937-40C4-AF52-4B2D6E6EF6B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7" authorId="3" shapeId="0" xr:uid="{FFDCE101-386C-4641-AE03-C9B1012A5F8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8" authorId="3" shapeId="0" xr:uid="{9FE3F66D-2A08-4C54-BE22-AD8A265E2A3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9" authorId="3" shapeId="0" xr:uid="{EBDC4854-1D00-4E6F-87FC-DFCE91CBEBF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0" authorId="3" shapeId="0" xr:uid="{7815D211-C2FB-4222-AFF0-21B2A509CFB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1" authorId="3" shapeId="0" xr:uid="{A25EE60B-2269-4E32-B820-1DA34127EC4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2" authorId="3" shapeId="0" xr:uid="{D0CA3A10-BD67-4AEF-A229-92ECA14025D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3" authorId="3" shapeId="0" xr:uid="{E40FA315-2DB0-4E82-87B8-AD53C9C8762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4" authorId="3" shapeId="0" xr:uid="{07E5CDA9-BCDC-4ACB-9248-CB7D99F228A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5" authorId="3" shapeId="0" xr:uid="{0E9133C0-4F8F-4017-B497-D7FD09C7792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6" authorId="3" shapeId="0" xr:uid="{7DBB737C-E40A-4207-AEE4-441C68E377F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7" authorId="3" shapeId="0" xr:uid="{DB534F04-91DA-42DB-A2D4-71BF4FAAE2B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8" authorId="3" shapeId="0" xr:uid="{14B231EB-5A66-448A-A9D0-6157BCBF685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9" authorId="3" shapeId="0" xr:uid="{A0A0AAB7-5AC2-491F-95B5-05C4B64D43E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0" authorId="3" shapeId="0" xr:uid="{4E312520-10F0-40EB-B492-909A61143FF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1" authorId="3" shapeId="0" xr:uid="{4D2185C4-0DE7-4AF1-9E1F-81158A938AD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2" authorId="3" shapeId="0" xr:uid="{430FA1C4-5B3E-4086-B5DC-948FFA13BBC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3" authorId="3" shapeId="0" xr:uid="{C638ED59-62C1-4FFF-BDBE-607711F4283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4" authorId="3" shapeId="0" xr:uid="{EB15857A-1D91-44EE-B9EC-15D8609DD98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5" authorId="3" shapeId="0" xr:uid="{12DD80A3-E1AD-483E-A614-5CBCF549834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6" authorId="3" shapeId="0" xr:uid="{A985DF21-E9EC-4852-B1F3-D65BFBE066E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7" authorId="3" shapeId="0" xr:uid="{C8EF9C3F-E069-4EF8-A501-A6316F23E6E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8" authorId="3" shapeId="0" xr:uid="{7C665870-A966-4531-BC52-69EFAD03C26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9" authorId="3" shapeId="0" xr:uid="{D7CB018D-2655-4DD1-A018-903D7F3A378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0" authorId="3" shapeId="0" xr:uid="{C131B3CA-F0F9-4336-90D8-BFC7097398A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1" authorId="3" shapeId="0" xr:uid="{8CEFA6D4-1C7F-4A2B-B430-CE4EE263569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2" authorId="3" shapeId="0" xr:uid="{CCFE610A-6167-49BB-B721-5DB27457117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3" authorId="3" shapeId="0" xr:uid="{A813082E-CB89-4812-B803-764710B6FB5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4" authorId="3" shapeId="0" xr:uid="{9CF5A7EE-D7C3-4BF4-9254-4312FA5911B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5" authorId="3" shapeId="0" xr:uid="{7EB3EA80-D228-4DC9-8A2A-8C45A305C34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6" authorId="3" shapeId="0" xr:uid="{9CA5F958-B9C5-4A36-9374-9A32F5D0449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7" authorId="3" shapeId="0" xr:uid="{91D37180-A825-4B68-A677-4C29964E619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8" authorId="3" shapeId="0" xr:uid="{F0E21FC5-51B2-4F0B-9426-8B12822FB0E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9" authorId="3" shapeId="0" xr:uid="{DB4F8537-5FB9-4996-9A05-0395A89F159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0" authorId="3" shapeId="0" xr:uid="{97EABF01-BA7B-4208-8932-20AFEE18AD3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1" authorId="3" shapeId="0" xr:uid="{FA3A1ECD-076E-44A9-BCC2-F1B05136CD1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2" authorId="3" shapeId="0" xr:uid="{6EC84C58-01C3-4DD7-AA51-B940455114D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3" authorId="3" shapeId="0" xr:uid="{089D858D-566B-40D6-8EEC-37144FE272F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4" authorId="3" shapeId="0" xr:uid="{9AA8D396-B456-4937-8A31-B1B6EF59F54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5" authorId="3" shapeId="0" xr:uid="{73F487CC-314B-4003-8704-ACA997F8B60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6" authorId="3" shapeId="0" xr:uid="{F698614D-0E4E-4CF9-B72C-DF348F72704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7" authorId="3" shapeId="0" xr:uid="{5A894108-04A7-4AF7-AAA2-207D659837C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8" authorId="3" shapeId="0" xr:uid="{5DA9333F-D57E-4C9C-8E79-1F293ECF9F1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9" authorId="3" shapeId="0" xr:uid="{5D3E87D9-9754-4F62-B32B-4B2112A3FDA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0" authorId="3" shapeId="0" xr:uid="{EDECB878-6BD5-41F2-81D5-1D520787672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1" authorId="3" shapeId="0" xr:uid="{155D52E3-F1E7-4D26-ABEA-A480E4BE0A7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2" authorId="3" shapeId="0" xr:uid="{DC3514EB-FC4C-4CD6-9833-00402B2C283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3" authorId="3" shapeId="0" xr:uid="{AFE1092C-8AB0-4B1D-8D3D-890F66C1A39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4" authorId="3" shapeId="0" xr:uid="{DE855D87-2968-4D2A-BDA9-B652C4E6437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5" authorId="3" shapeId="0" xr:uid="{2184E58E-5CC5-4E51-AEE4-0832DA35E56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6" authorId="3" shapeId="0" xr:uid="{56DCA8C7-678F-4E05-8488-C94F5F2285F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7" authorId="3" shapeId="0" xr:uid="{9556F164-F160-4EC6-86CB-52A6F167576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8" authorId="3" shapeId="0" xr:uid="{8B87FFB3-7CBE-4099-BADE-C433227BF69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9" authorId="3" shapeId="0" xr:uid="{1C6EA81A-0059-42B0-AFCC-40D5C463218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0" authorId="3" shapeId="0" xr:uid="{37D449D3-98F1-4226-AF5E-4E0FE658A7E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1" authorId="3" shapeId="0" xr:uid="{04A635C5-AA97-4879-9E50-7EC580FAE11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2" authorId="3" shapeId="0" xr:uid="{A6D770BF-1854-45BB-83D3-600EC1E60BB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3" authorId="3" shapeId="0" xr:uid="{E0043EA5-C484-45ED-93D0-C45E4C36033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4" authorId="3" shapeId="0" xr:uid="{D8804198-78B1-4A98-AC17-019073B0657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5" authorId="3" shapeId="0" xr:uid="{2A472988-C2B0-4025-9136-86D4CC3AD11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6" authorId="3" shapeId="0" xr:uid="{049E750B-4D73-4716-B23F-B70DD1488B0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7" authorId="3" shapeId="0" xr:uid="{F09F16EA-0F50-42EF-83EA-F8636D3730F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8" authorId="3" shapeId="0" xr:uid="{B2C303CC-14BF-4D15-94DB-CCE202BF121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9" authorId="3" shapeId="0" xr:uid="{02C0922A-3BF5-48C7-BA74-2B6E73EFF54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0" authorId="3" shapeId="0" xr:uid="{C521A36F-FEEF-48AF-B4AB-46DB8CF74E8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1" authorId="3" shapeId="0" xr:uid="{1A3604FB-AFA9-4110-9C2B-63382D0BEAA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2" authorId="3" shapeId="0" xr:uid="{D7A8C787-EB1A-4399-A143-BA49834210F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4" authorId="3" shapeId="0" xr:uid="{B77CAC30-4549-4492-BD90-31EE4F2DCBC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5" authorId="3" shapeId="0" xr:uid="{FB8994F3-0CCA-46B0-A1CF-51F1ACC5E63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6" authorId="3" shapeId="0" xr:uid="{BA404300-4B32-42DF-B8DD-B7E4AFA8D2A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7" authorId="3" shapeId="0" xr:uid="{6DE3D43B-B85C-417F-9016-9331E9F37B8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8" authorId="3" shapeId="0" xr:uid="{80F52E90-70A8-453D-A6C9-A85742021BB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9" authorId="3" shapeId="0" xr:uid="{91B1A7A4-060E-42FB-8561-0211C29AE0A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0" authorId="3" shapeId="0" xr:uid="{F3B65808-2C94-4F50-AEBD-70B8F067EB5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2" authorId="3" shapeId="0" xr:uid="{66AEF493-6E16-4A0D-BA97-EFED4E2AAD9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3" authorId="3" shapeId="0" xr:uid="{74112E55-96A7-4F9E-B0E4-5D84C003792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8" authorId="3" shapeId="0" xr:uid="{6D4C4D5A-8867-4293-AB8B-3D35588F433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9" authorId="3" shapeId="0" xr:uid="{94E0420F-62B0-4B46-B4B6-F3579498533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30" authorId="3" shapeId="0" xr:uid="{E7CAA6BB-53A4-4CB7-8C3E-FEC84CAEAB8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31" authorId="3" shapeId="0" xr:uid="{C9F00314-481C-40A5-9FFE-35263281AB6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T236" authorId="1" shapeId="0" xr:uid="{307FB4D5-C307-4997-A462-0EA07AAF0CF3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Z237" authorId="3" shapeId="0" xr:uid="{123F525A-BC5B-4E05-9212-0A772D7F828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Q238" authorId="0" shapeId="0" xr:uid="{E02BEC1A-1F9A-4199-BF82-B85373CEA194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R238" authorId="0" shapeId="0" xr:uid="{17432C8E-912F-481D-BEA9-7A00D5EC85E8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S238" authorId="0" shapeId="0" xr:uid="{9B63DEF3-A391-4788-93CF-48BED8BCF6E9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AZ238" authorId="3" shapeId="0" xr:uid="{1143E686-D8E5-41AB-970D-3AC7108029A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39" authorId="3" shapeId="0" xr:uid="{708FEFE5-5CA4-4790-92FF-FFD2AD69A5A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0" authorId="3" shapeId="0" xr:uid="{CD8FB17F-1F9D-441D-9AEB-E66B4497C05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1" authorId="3" shapeId="0" xr:uid="{E81242BB-A409-4C72-A099-FC5C17CED52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2" authorId="3" shapeId="0" xr:uid="{E885BDDC-6277-443D-A4F7-302BCAA76B3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3" authorId="3" shapeId="0" xr:uid="{9E64731E-5509-4F43-AE16-89E73B731A1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4" authorId="3" shapeId="0" xr:uid="{D9DA170D-2C06-4B56-9AA1-11053765168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5" authorId="3" shapeId="0" xr:uid="{52058634-6673-4048-8CC9-3C983CEB733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6" authorId="3" shapeId="0" xr:uid="{177D5563-AA4B-4C3B-B873-2610EE6F689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7" authorId="3" shapeId="0" xr:uid="{79E8D101-242D-4F52-9419-556A1BD5093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8" authorId="3" shapeId="0" xr:uid="{1D87B62A-487E-4F7D-AA6D-D53F963C458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9" authorId="3" shapeId="0" xr:uid="{AE1ABEB6-9580-4CA6-AB6B-691EE0049D7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50" authorId="3" shapeId="0" xr:uid="{0803385D-FDFF-44E6-BE1E-A566801B953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 Michelsen</author>
    <author>Micromass UK Ltd</author>
    <author>Kristine Dyrnum</author>
    <author>andersm</author>
  </authors>
  <commentList>
    <comment ref="Q1" authorId="0" shapeId="0" xr:uid="{64AD33A7-42AB-43FA-A931-79ACAB9245A8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R1" authorId="0" shapeId="0" xr:uid="{04BF4703-4E3A-4BC5-87B2-81D515C3B3CB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S1" authorId="0" shapeId="0" xr:uid="{1BB59E69-3F86-4EE0-B203-59CFC6D088D7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T1" authorId="1" shapeId="0" xr:uid="{C9EAB6C5-2FC4-4880-BB4A-B13EFBD1EFDA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S1" authorId="2" shapeId="0" xr:uid="{DBCC2713-7533-41F9-AAB5-D025D5D0EFB7}">
      <text>
        <r>
          <rPr>
            <b/>
            <sz val="9"/>
            <color indexed="81"/>
            <rFont val="Tahoma"/>
            <family val="2"/>
          </rPr>
          <t xml:space="preserve">replace by actual nat abun in atm percent
</t>
        </r>
      </text>
    </comment>
    <comment ref="AZ1" authorId="0" shapeId="0" xr:uid="{E4CF769C-6D71-4B0E-BE4C-C74BCB08F440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. Replace by correct natural abundance</t>
        </r>
      </text>
    </comment>
    <comment ref="BA1" authorId="2" shapeId="0" xr:uid="{AE2FE837-B01A-4AE4-9419-1758E5D1DB05}">
      <text>
        <r>
          <rPr>
            <b/>
            <sz val="9"/>
            <color indexed="81"/>
            <rFont val="Tahoma"/>
            <family val="2"/>
          </rPr>
          <t>ikke fratrukket natural abundance</t>
        </r>
      </text>
    </comment>
    <comment ref="BC1" authorId="2" shapeId="0" xr:uid="{0A19CF5B-6CDD-4D2D-9BFD-6B9D5C1B642F}">
      <text>
        <r>
          <rPr>
            <b/>
            <sz val="9"/>
            <color indexed="81"/>
            <rFont val="Tahoma"/>
            <family val="2"/>
          </rPr>
          <t>fra Kristines …?? Brug ikke...
vægtet mht lineær regression mellem TDN FIASTAR og TDN IRMS (faner: "total N_lin reg" og total C_lin reg")
Y=(1.12461X+0.0077)</t>
        </r>
      </text>
    </comment>
    <comment ref="T2" authorId="1" shapeId="0" xr:uid="{05A944BD-A026-499F-9C8E-E02B3083535F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Z3" authorId="3" shapeId="0" xr:uid="{C39C94A7-1A75-45F5-A8E2-1A087501C3C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" authorId="3" shapeId="0" xr:uid="{B86E0E05-3A3A-417F-A9ED-0F19F80D028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" authorId="3" shapeId="0" xr:uid="{A9E786A7-ADA1-49E3-9292-F452612C3CF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" authorId="3" shapeId="0" xr:uid="{9F9D7E08-B519-4C7A-93A3-6EF7EA71459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" authorId="3" shapeId="0" xr:uid="{9A91F73C-68D8-4C5F-B0A4-B302B3A57E7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" authorId="3" shapeId="0" xr:uid="{1491C0CC-5EFE-41E2-B766-3B7302B58D4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" authorId="3" shapeId="0" xr:uid="{266C21B3-5E85-485E-A9F4-FEF95A75E22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" authorId="3" shapeId="0" xr:uid="{4AFE0C73-5736-49BA-8F03-5CA5C1428CB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" authorId="3" shapeId="0" xr:uid="{C90BC4CF-A41A-4B56-AF07-FED1C1024D2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" authorId="3" shapeId="0" xr:uid="{77C9420F-159B-427C-B062-36233B1D540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" authorId="3" shapeId="0" xr:uid="{BF067AA9-CF0F-4100-A386-13AB88ADBD2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" authorId="3" shapeId="0" xr:uid="{765ABC3D-EEDF-4CAD-9467-B5229B4D77B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" authorId="3" shapeId="0" xr:uid="{3EFBB6DF-86D5-4AB1-8875-23DA6ABBDB7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" authorId="3" shapeId="0" xr:uid="{D99C81B1-4833-4D49-B15D-277ABCEB9E9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" authorId="3" shapeId="0" xr:uid="{A4E62692-AEF9-4F44-B51B-0AE57354A74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" authorId="3" shapeId="0" xr:uid="{030106CA-6798-41E5-BD93-A1B8964E920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" authorId="3" shapeId="0" xr:uid="{213095A2-1C30-4F6E-8F31-4B847B4FC49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0" authorId="3" shapeId="0" xr:uid="{D8A2EBA6-50BD-4EAC-AB76-F74F4E49FCE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1" authorId="3" shapeId="0" xr:uid="{C27F0426-7D23-41E4-BE39-4BA33D70F48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2" authorId="3" shapeId="0" xr:uid="{3B5D7A77-BB45-491B-95CA-78418C87353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3" authorId="3" shapeId="0" xr:uid="{A4B5E9AD-FCA6-4DE5-B483-FA58457D0B3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4" authorId="3" shapeId="0" xr:uid="{193C4694-65D7-4A6C-9FAD-7293302DF9C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5" authorId="3" shapeId="0" xr:uid="{126B8FDE-6829-4333-A161-1FAB9CCD3B7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6" authorId="3" shapeId="0" xr:uid="{CE6FBD28-7896-4A39-B638-27CF614D5E4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7" authorId="3" shapeId="0" xr:uid="{A18C28DA-EA99-414D-8A42-B5BC8B20F32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8" authorId="3" shapeId="0" xr:uid="{6E548631-7A2E-48B0-A71B-B97E29F8601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29" authorId="3" shapeId="0" xr:uid="{CBCBF7AA-E0CA-4937-AB81-20454FEA5D1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0" authorId="3" shapeId="0" xr:uid="{80CC5C1E-B101-4CA5-860A-F5545DA2B57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1" authorId="3" shapeId="0" xr:uid="{B7863992-AC69-45E0-A12D-56008E39849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2" authorId="3" shapeId="0" xr:uid="{C95210DF-FE21-47CC-9AE7-844C5C312E8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3" authorId="3" shapeId="0" xr:uid="{9A3E51BD-5EEE-4F28-8E98-CB345AA972E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4" authorId="3" shapeId="0" xr:uid="{D1752490-6730-401E-AFDF-2B2E99D8252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5" authorId="3" shapeId="0" xr:uid="{B9677104-FB2F-4D11-9D91-A552C533165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6" authorId="3" shapeId="0" xr:uid="{A8133875-7393-4D65-A166-F24B20E5ED5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7" authorId="3" shapeId="0" xr:uid="{EEA461E0-A63E-4D62-A764-A7897D00AF2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8" authorId="3" shapeId="0" xr:uid="{31583E49-9C17-43FD-A958-9E902018390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39" authorId="3" shapeId="0" xr:uid="{DE55054D-A534-4AA5-BFBC-25B837CFCC5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0" authorId="3" shapeId="0" xr:uid="{E5A951A5-D57E-4DCF-B9F2-C5E8E9FA394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1" authorId="3" shapeId="0" xr:uid="{41512413-9199-40E2-854B-7155247E9F2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2" authorId="3" shapeId="0" xr:uid="{7382D659-C79A-45BD-A8E6-CEED5D3B0DF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3" authorId="3" shapeId="0" xr:uid="{F2D0F301-1AF6-4D8B-BC90-75D00DCEE4B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4" authorId="3" shapeId="0" xr:uid="{E6E58045-A94C-4D9E-AAF6-F5936C599F6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5" authorId="3" shapeId="0" xr:uid="{7953556E-0E4A-4863-9A6C-FD7BF7AF666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6" authorId="3" shapeId="0" xr:uid="{41545149-0217-4AF2-93C2-C3FC8DFE864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7" authorId="3" shapeId="0" xr:uid="{52D16907-AB3B-42AE-9A74-C58D5E98637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8" authorId="3" shapeId="0" xr:uid="{1101F23F-5BFE-422C-8194-A6DB8F44A80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49" authorId="3" shapeId="0" xr:uid="{2B5A763E-0676-45D8-B919-6234197CCD6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0" authorId="3" shapeId="0" xr:uid="{19C1C490-2B57-41F3-B827-5B474FE24F2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1" authorId="3" shapeId="0" xr:uid="{9132B56B-C8E7-4E8B-AB90-4CB6D5EE553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2" authorId="3" shapeId="0" xr:uid="{CCF31D21-57E3-4DF4-94D1-02CEFACA2C0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3" authorId="3" shapeId="0" xr:uid="{F51EF685-BD5F-4E36-9A0E-28C7488525D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4" authorId="3" shapeId="0" xr:uid="{EF3123C8-93C0-47CF-A5FA-7E62C586AC4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5" authorId="3" shapeId="0" xr:uid="{87386C11-6E88-4661-97C4-CFABC234C11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6" authorId="3" shapeId="0" xr:uid="{CF9E77DF-0CE6-4C0D-80AC-23D67264E01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7" authorId="3" shapeId="0" xr:uid="{ADC3C93D-254E-42A7-BA76-FFB33455283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8" authorId="3" shapeId="0" xr:uid="{524395C6-07B3-4530-BBB4-E353C7BBBA2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59" authorId="3" shapeId="0" xr:uid="{8D5F10F2-0062-4D56-B140-90C18472987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0" authorId="3" shapeId="0" xr:uid="{8A8089FA-2F20-4A5F-8438-DC31EA7E9AC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1" authorId="3" shapeId="0" xr:uid="{0F9F195F-12A6-40B2-A624-5A2698A9DA0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2" authorId="3" shapeId="0" xr:uid="{86749108-70DF-4FD5-B299-164BE6B18DE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3" authorId="3" shapeId="0" xr:uid="{1A0C6451-F4C8-4C66-AFB6-AE8874D7D59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4" authorId="3" shapeId="0" xr:uid="{EFA6BC05-84E0-4518-B853-D8F20518B23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5" authorId="3" shapeId="0" xr:uid="{AF24EA1E-F289-4A3D-90C8-A3F2063EA7E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6" authorId="3" shapeId="0" xr:uid="{62C8122B-E031-4CFC-98E0-897FA541E40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7" authorId="3" shapeId="0" xr:uid="{881580BB-3360-4D9C-AAE5-58DD609A761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8" authorId="3" shapeId="0" xr:uid="{0745D8DD-ED8B-4131-B656-822DC146D09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69" authorId="3" shapeId="0" xr:uid="{166BA729-486D-46FC-ADDF-E79B6FDB96A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0" authorId="3" shapeId="0" xr:uid="{FC21350A-C67F-4CFB-95E1-87B38A2BF3E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1" authorId="3" shapeId="0" xr:uid="{B9E12C0B-0C21-4389-9E66-3FA8D7585A0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2" authorId="3" shapeId="0" xr:uid="{4172DD85-33CD-403C-A468-AC9A581F093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3" authorId="3" shapeId="0" xr:uid="{08C5616B-D482-458D-920B-16C028AA604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4" authorId="3" shapeId="0" xr:uid="{029251A8-36BB-45C4-8B94-DADF56615A1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5" authorId="3" shapeId="0" xr:uid="{CD7797FE-0C82-4A65-8E0F-6A362A73F5E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6" authorId="3" shapeId="0" xr:uid="{EE75C9F4-6D6B-4841-AE6F-A9EE14EE2C9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7" authorId="3" shapeId="0" xr:uid="{E2B9DB90-C35C-4799-98A2-FACA4810F05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8" authorId="3" shapeId="0" xr:uid="{FDC1B34F-ED31-4053-AB0D-D5F9FB10D95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79" authorId="3" shapeId="0" xr:uid="{A79607EA-0C5D-4421-A975-D34B8763D8F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0" authorId="3" shapeId="0" xr:uid="{F8428A4E-A9F8-4544-909C-6525BC3EDFB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1" authorId="3" shapeId="0" xr:uid="{9842425B-B462-4AC0-BF23-6724AE9D8A7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2" authorId="3" shapeId="0" xr:uid="{5FD2A800-5A0E-4E10-8BCA-4F32C36569F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3" authorId="3" shapeId="0" xr:uid="{5B102851-BCEE-4DC1-AE2A-525AF14F013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4" authorId="3" shapeId="0" xr:uid="{106526AB-73AB-4768-A76C-41E506EF59E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5" authorId="3" shapeId="0" xr:uid="{2EAD9829-7C59-49CF-9D20-71F4CE9C669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6" authorId="3" shapeId="0" xr:uid="{649ECAC3-470D-432D-A0FD-34F4BD7C9D7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7" authorId="3" shapeId="0" xr:uid="{02D819F4-81A7-4C75-AF64-9B44B174B10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8" authorId="3" shapeId="0" xr:uid="{389CBD78-5C9A-4E49-8708-37DB2C5EA80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89" authorId="3" shapeId="0" xr:uid="{F4DFDE07-EA70-43BB-A38F-4FA042755DD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0" authorId="3" shapeId="0" xr:uid="{AC778412-DACC-4942-B3C1-9BCBE19F619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1" authorId="3" shapeId="0" xr:uid="{EDA4C77F-AE08-48D1-BBBF-602B6B11440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2" authorId="3" shapeId="0" xr:uid="{A552AD79-1B1D-4C55-BA6F-83A9C245C3C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3" authorId="3" shapeId="0" xr:uid="{2E69AA83-E639-479F-BC0E-0BD42E79776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4" authorId="3" shapeId="0" xr:uid="{7978E7E8-DD54-473E-B5C9-FF9E3CAB621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5" authorId="3" shapeId="0" xr:uid="{78DA6551-8788-421E-9AB1-188178ED2BA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6" authorId="3" shapeId="0" xr:uid="{06DF3EE7-C184-4FC4-9900-786FD5E4FA7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7" authorId="3" shapeId="0" xr:uid="{7F43DF1E-3D2C-425A-B109-D1E674047F9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8" authorId="3" shapeId="0" xr:uid="{F316D708-62AF-4CF5-849D-AAAF650625D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99" authorId="3" shapeId="0" xr:uid="{545A0327-967B-4CAE-A1A3-540F3EA317E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0" authorId="3" shapeId="0" xr:uid="{11DA1943-3C9F-4956-A2DF-A42DEB4C6A5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1" authorId="3" shapeId="0" xr:uid="{3E16DF78-9EB3-4468-B808-DE894D49AD1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2" authorId="3" shapeId="0" xr:uid="{31B533BB-0266-4D48-928C-2E7F12F6077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3" authorId="3" shapeId="0" xr:uid="{B3BC2ABA-4E84-485E-8947-BBC3A7C9169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4" authorId="3" shapeId="0" xr:uid="{F67C2D0B-28CD-4B2E-B112-04483110E5C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5" authorId="3" shapeId="0" xr:uid="{627810EE-870F-4CBE-8819-9355223D429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6" authorId="3" shapeId="0" xr:uid="{71420C93-8F2F-4B6E-8904-F7F64962121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7" authorId="3" shapeId="0" xr:uid="{17076F38-7C34-4898-9BE9-E5B72422B41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8" authorId="3" shapeId="0" xr:uid="{10502BAB-D398-4388-AFB8-8BC85E77A56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09" authorId="3" shapeId="0" xr:uid="{D91DBA6C-E254-4DB4-8878-2EA896F372A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0" authorId="3" shapeId="0" xr:uid="{1187023E-27AC-48B6-B154-79850026FE4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1" authorId="3" shapeId="0" xr:uid="{73CE1D12-2DEC-45AF-991A-75DF4A8FD12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2" authorId="3" shapeId="0" xr:uid="{9600D81C-AFA7-4D15-87DD-492F1665092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3" authorId="3" shapeId="0" xr:uid="{F755F0A7-D19B-4241-8582-3279BE6464E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4" authorId="3" shapeId="0" xr:uid="{9CE259DC-CA08-494E-8684-92920EAB097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5" authorId="3" shapeId="0" xr:uid="{833C5C48-CEBD-4CBB-8A40-11B982C96E8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6" authorId="3" shapeId="0" xr:uid="{C4154528-AA51-41A4-B0E3-CB5C8EEA323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7" authorId="3" shapeId="0" xr:uid="{92F6AEE5-0C77-4303-9F61-FF83D40F912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8" authorId="3" shapeId="0" xr:uid="{5ADFF4B3-817C-49B8-8A08-A8DFE63E24F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19" authorId="3" shapeId="0" xr:uid="{A262C908-94D0-4A43-A5E6-5C0C8FA2B49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0" authorId="3" shapeId="0" xr:uid="{CD8A87B2-D7EE-4243-890D-FC79D0F2F80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1" authorId="3" shapeId="0" xr:uid="{EBC049EA-E690-44BF-AC1E-4BA7E7F2568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2" authorId="3" shapeId="0" xr:uid="{23068B22-1FAE-4EA6-A0D0-F2B45B6D245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3" authorId="3" shapeId="0" xr:uid="{EB066BC1-25B2-4207-A303-FF6BE49AFEE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4" authorId="3" shapeId="0" xr:uid="{A5D4749A-D8B1-4649-85C9-3AFE7F83607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5" authorId="3" shapeId="0" xr:uid="{B80A41A9-41DE-4E3D-9D14-5BB55C9228D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6" authorId="3" shapeId="0" xr:uid="{2D9ECE1F-A95F-4625-8FFA-4E3A59B40AC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7" authorId="3" shapeId="0" xr:uid="{20D1A1CC-CAE8-4B15-B766-49FBD2602A2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8" authorId="3" shapeId="0" xr:uid="{B42ED432-E901-4953-BE05-C882C82F8FA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29" authorId="3" shapeId="0" xr:uid="{3D97ED96-B17D-46C1-A612-5D6F32412BB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0" authorId="3" shapeId="0" xr:uid="{63E8E34F-C9A6-48BF-8D29-8A4303AEA72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1" authorId="3" shapeId="0" xr:uid="{9420C81D-448F-4969-9F7D-2594597BBA9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2" authorId="3" shapeId="0" xr:uid="{668566D1-B04D-4F86-96AF-7CE4C4AEDF9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3" authorId="3" shapeId="0" xr:uid="{9129A778-D327-44BE-B15C-D90FCCD4AF7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4" authorId="3" shapeId="0" xr:uid="{633F3980-77A9-4256-B9D3-E47064CC271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5" authorId="3" shapeId="0" xr:uid="{0502FB75-4C76-4681-882E-E9072664334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6" authorId="3" shapeId="0" xr:uid="{9CAB5E11-C9B7-4A49-95BC-5DD570DC465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7" authorId="3" shapeId="0" xr:uid="{CF90B368-61B6-4019-B03A-999C8F661F6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8" authorId="3" shapeId="0" xr:uid="{C2B77DA5-0B6F-4E31-85BF-95130E42C59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39" authorId="3" shapeId="0" xr:uid="{9B7350CB-A17E-4A74-8C9B-BA084031FEE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0" authorId="3" shapeId="0" xr:uid="{6211B839-01FA-4C63-84BA-528025FC1C8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1" authorId="3" shapeId="0" xr:uid="{C4259D90-8768-4D73-B234-947FA2793A9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2" authorId="3" shapeId="0" xr:uid="{26E6B57B-5693-408A-B3B3-C6E1B8C594C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3" authorId="3" shapeId="0" xr:uid="{1751F189-E62E-4555-A9E2-84572E034C0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4" authorId="3" shapeId="0" xr:uid="{0675757B-538D-4F9A-AD9F-17CB425DA0C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5" authorId="3" shapeId="0" xr:uid="{5A52EC72-70F2-4F04-8119-A33AF10EB104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6" authorId="3" shapeId="0" xr:uid="{30EC0467-0341-491B-B304-71DA58C5A48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7" authorId="3" shapeId="0" xr:uid="{F2D5DC90-1BCA-400C-A2F8-DCAEE5CE76A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8" authorId="3" shapeId="0" xr:uid="{F9698BBF-2934-45B7-8977-C4F86EB494E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49" authorId="3" shapeId="0" xr:uid="{73530FB1-D1A1-48EE-B2D3-7B36887B785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0" authorId="3" shapeId="0" xr:uid="{BFD68F72-4ECE-4005-8185-087C0424DBF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1" authorId="3" shapeId="0" xr:uid="{3B5D9A24-FFE5-4E65-8F16-243E3D1DC90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2" authorId="3" shapeId="0" xr:uid="{0168B95B-E4E6-4D72-8D5A-705C62745FE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3" authorId="3" shapeId="0" xr:uid="{AB26E21F-D605-433E-BBF8-7CFD922201D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4" authorId="3" shapeId="0" xr:uid="{DF0E82BC-8A92-4EB5-B0B9-92B13FA493C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5" authorId="3" shapeId="0" xr:uid="{C4D04793-5A66-4C9D-ACFD-A45AE48883E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6" authorId="3" shapeId="0" xr:uid="{5426C8A4-B5F9-4AAC-ADFF-CADF8D31260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7" authorId="3" shapeId="0" xr:uid="{896D785E-5198-41B5-B34E-4603681AE5C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8" authorId="3" shapeId="0" xr:uid="{DB41B57E-444C-4000-92CA-BC803C7C7BAD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59" authorId="3" shapeId="0" xr:uid="{5B27D470-51EF-4835-86B4-FA042B166E2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0" authorId="3" shapeId="0" xr:uid="{1F2183C6-3E47-4855-A19C-E956D219048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1" authorId="3" shapeId="0" xr:uid="{A12C24FF-3E44-4A3B-BA2B-E9BE29DFDD7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2" authorId="3" shapeId="0" xr:uid="{36BAAAB7-EF4C-4B70-A889-B4FE29AFB5A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3" authorId="3" shapeId="0" xr:uid="{DB482A06-678B-4072-ADEF-010D68C51F7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4" authorId="3" shapeId="0" xr:uid="{543D1861-D97A-4A49-B8A1-B81B3FE6C13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5" authorId="3" shapeId="0" xr:uid="{AC16D8F0-F435-4F19-9BC1-5F54CE1A40A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6" authorId="3" shapeId="0" xr:uid="{A336B023-5B9C-4A61-88E1-C6B153D3E3A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7" authorId="3" shapeId="0" xr:uid="{E38EBF66-7948-46F3-819B-AF6C92F859BC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8" authorId="3" shapeId="0" xr:uid="{1A831BA9-813A-4532-80FB-2754E748352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69" authorId="3" shapeId="0" xr:uid="{ECFA9624-9E25-4CBA-A6AA-3B0E8BDFEE9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0" authorId="3" shapeId="0" xr:uid="{C308307B-4702-46EB-9D00-4A7C8EF09F52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1" authorId="3" shapeId="0" xr:uid="{D54FC945-B03B-4C4F-A8BF-6604B3C8A65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2" authorId="3" shapeId="0" xr:uid="{11B6A4B7-D244-499B-95FD-20AEBA8DBA4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3" authorId="3" shapeId="0" xr:uid="{32528821-BA09-416F-9E5A-70E9BE731A7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4" authorId="3" shapeId="0" xr:uid="{9F096531-4C24-4512-ABF9-20F7A83FD760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5" authorId="3" shapeId="0" xr:uid="{8765F1FB-869F-4EC9-8A30-3E3EBF7A035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6" authorId="3" shapeId="0" xr:uid="{1E4491BD-4823-4DCA-B381-DB19DFE1E45A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7" authorId="3" shapeId="0" xr:uid="{2252E596-DC0C-4B89-9DAF-5C356157FF86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8" authorId="3" shapeId="0" xr:uid="{1E9260CF-5372-47B2-A47C-59C95275EBF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79" authorId="3" shapeId="0" xr:uid="{9E6E3986-B229-4365-AE37-EDA30994A7D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0" authorId="3" shapeId="0" xr:uid="{95786356-A430-4471-960A-4C19BD27248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1" authorId="3" shapeId="0" xr:uid="{03DDC0D5-643B-4B11-8B6B-93DCE8D543B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2" authorId="3" shapeId="0" xr:uid="{109C4E46-A373-400B-8BDA-AECB83BA6BAF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3" authorId="3" shapeId="0" xr:uid="{3A59E671-0553-497E-973C-9B250231723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4" authorId="3" shapeId="0" xr:uid="{B04D3144-2D18-4834-A116-0DEE3148F9F7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5" authorId="3" shapeId="0" xr:uid="{E49F4FBB-4D4D-4179-9DA3-F3160D989A0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6" authorId="3" shapeId="0" xr:uid="{F93B7052-12C4-400C-B6B0-6F4E13D9A548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7" authorId="3" shapeId="0" xr:uid="{3F7AA6CD-F1B1-4632-953E-62A2205FF723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8" authorId="3" shapeId="0" xr:uid="{66829CFD-897B-4BF8-A8C9-02CC6894884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89" authorId="3" shapeId="0" xr:uid="{61CF22B7-BD50-4AB5-B83A-AD1BF08648F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0" authorId="3" shapeId="0" xr:uid="{807B0F0A-38DA-4A9F-80BB-66CA0BF71A0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1" authorId="3" shapeId="0" xr:uid="{5B24AA03-3CFE-485B-9FD7-F781C631B3D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2" authorId="3" shapeId="0" xr:uid="{D10A0A21-1BD8-4560-80A2-ED567B5ED771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3" authorId="3" shapeId="0" xr:uid="{0296551F-D256-4BAD-B635-F58D7370E855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Z194" authorId="3" shapeId="0" xr:uid="{8D071876-064B-4694-B140-ADCC3E71605E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Klaus Steenberg Larsen</author>
  </authors>
  <commentList>
    <comment ref="E32" authorId="0" shapeId="0" xr:uid="{00000000-0006-0000-0100-000001000000}">
      <text>
        <r>
          <rPr>
            <sz val="8"/>
            <color indexed="81"/>
            <rFont val="Tahoma"/>
            <family val="2"/>
          </rPr>
          <t>Here you insert the calculated atm% from your natural abundance samples.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 Michelsen</author>
    <author>Micromass UK Ltd</author>
    <author>Kristine Dyrnum</author>
    <author>andersm</author>
  </authors>
  <commentList>
    <comment ref="Q1" authorId="0" shapeId="0" xr:uid="{8A60A608-C9C2-4794-90D3-ED7ED26A5C9E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R1" authorId="0" shapeId="0" xr:uid="{BD69ED4C-DFF2-4BE4-B177-2F8EA34B0B93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S1" authorId="0" shapeId="0" xr:uid="{B5B7983C-A51D-4A1C-BAF4-EB97184149C7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Numbers are examples.. Replace by correct</t>
        </r>
      </text>
    </comment>
    <comment ref="T1" authorId="1" shapeId="0" xr:uid="{AFA912DF-E079-418E-A30C-7AD84270487F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S1" authorId="2" shapeId="0" xr:uid="{A201F5A2-A5FA-48ED-9FA9-C593CB3AB3C8}">
      <text>
        <r>
          <rPr>
            <b/>
            <sz val="9"/>
            <color indexed="81"/>
            <rFont val="Tahoma"/>
            <family val="2"/>
          </rPr>
          <t xml:space="preserve">replace by actual nat abun in atm percent
</t>
        </r>
      </text>
    </comment>
    <comment ref="BF1" authorId="0" shapeId="0" xr:uid="{8893F2E2-0925-4F6B-B1B3-65F55346F798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. Replace by correct natural abundance</t>
        </r>
      </text>
    </comment>
    <comment ref="BG1" authorId="2" shapeId="0" xr:uid="{1988AC7C-CF9E-4A8B-8296-7CC3159058CC}">
      <text>
        <r>
          <rPr>
            <b/>
            <sz val="9"/>
            <color indexed="81"/>
            <rFont val="Tahoma"/>
            <family val="2"/>
          </rPr>
          <t>ikke fratrukket natural abundance</t>
        </r>
      </text>
    </comment>
    <comment ref="T2" authorId="1" shapeId="0" xr:uid="{C7F9DDBA-22DF-42AF-93D6-20C3ED4B11B1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S3" authorId="0" shapeId="0" xr:uid="{D796DE9B-D8FE-42BB-A555-D617FE752AC3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BF3" authorId="3" shapeId="0" xr:uid="{4FF13DA8-B8CE-4862-B39B-48555FFF4E9B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AS99" authorId="0" shapeId="0" xr:uid="{5249D9A4-2C0B-4B86-883D-553A6CB5B791}">
      <text>
        <r>
          <rPr>
            <b/>
            <sz val="9"/>
            <color indexed="81"/>
            <rFont val="Tahoma"/>
            <family val="2"/>
          </rPr>
          <t>Anders Michelsen: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  <comment ref="BF99" authorId="3" shapeId="0" xr:uid="{91AC31DA-A48D-4C28-8A68-D56391824359}">
      <text>
        <r>
          <rPr>
            <b/>
            <sz val="9"/>
            <color indexed="81"/>
            <rFont val="Tahoma"/>
            <family val="2"/>
          </rPr>
          <t>andersm:</t>
        </r>
        <r>
          <rPr>
            <sz val="9"/>
            <color indexed="81"/>
            <rFont val="Tahoma"/>
            <family val="2"/>
          </rPr>
          <t xml:space="preserve">
replace by actual nat abun in atm percent</t>
        </r>
      </text>
    </comment>
  </commentList>
</comments>
</file>

<file path=xl/sharedStrings.xml><?xml version="1.0" encoding="utf-8"?>
<sst xmlns="http://schemas.openxmlformats.org/spreadsheetml/2006/main" count="5340" uniqueCount="501">
  <si>
    <t>Name</t>
  </si>
  <si>
    <t>N Height (nA)</t>
  </si>
  <si>
    <t>delta N15</t>
  </si>
  <si>
    <t>C Height (nA)</t>
  </si>
  <si>
    <t>delta 13C</t>
  </si>
  <si>
    <t>weight</t>
  </si>
  <si>
    <t>PEAnA</t>
  </si>
  <si>
    <t>PEA15N</t>
  </si>
  <si>
    <t>PEA13C</t>
  </si>
  <si>
    <t>gnsnSTD N weight</t>
  </si>
  <si>
    <t>gnsnSTD C weight</t>
  </si>
  <si>
    <t>1nA to x mgN STD</t>
  </si>
  <si>
    <t>1nA to x mgC STD</t>
  </si>
  <si>
    <t>mg N in sample</t>
  </si>
  <si>
    <t>mg C in sample</t>
  </si>
  <si>
    <t>atm%</t>
  </si>
  <si>
    <t>Calculations</t>
  </si>
  <si>
    <t>delta=1/((100/at%-1)*Rst-1))*1000</t>
  </si>
  <si>
    <t>at%=100*Rst*(d15Nsa/1000+1)/(1+Rst*(d15Nsa/1000+1))</t>
  </si>
  <si>
    <t>Nair Rst =</t>
  </si>
  <si>
    <t>PDB Rst =</t>
  </si>
  <si>
    <t>From atm% to delta</t>
  </si>
  <si>
    <t>From delta to atm%</t>
  </si>
  <si>
    <t>15N</t>
  </si>
  <si>
    <t>13C</t>
  </si>
  <si>
    <t>ATM%</t>
  </si>
  <si>
    <t>Delta</t>
  </si>
  <si>
    <t>Calculation of 15N excess in plant matter</t>
  </si>
  <si>
    <t>example:</t>
  </si>
  <si>
    <t>if plant has 1% N = 10 mg N/g</t>
  </si>
  <si>
    <t>and enrichment is 100 delta units</t>
  </si>
  <si>
    <t>(15N is 15 g/mol)</t>
  </si>
  <si>
    <t>delta 15N</t>
  </si>
  <si>
    <t>nat ab</t>
  </si>
  <si>
    <t>enrich in atom%</t>
  </si>
  <si>
    <t>enrich in mass%</t>
  </si>
  <si>
    <t>mgN/g</t>
  </si>
  <si>
    <t>mg15N/g DW</t>
  </si>
  <si>
    <t>ug 15N / g DW</t>
  </si>
  <si>
    <t>umol 15N / g DW</t>
  </si>
  <si>
    <t>Note: If samples are highly enriched, areas and not peak heights from IRMS should be used when calculating N and C masses.</t>
  </si>
  <si>
    <t>DW soil (10 g FW)</t>
  </si>
  <si>
    <t>N in soil (IRMS)</t>
  </si>
  <si>
    <t>C in soil (IRMS)</t>
  </si>
  <si>
    <t>N in soil (FIA)</t>
  </si>
  <si>
    <r>
      <t>δ15N</t>
    </r>
    <r>
      <rPr>
        <vertAlign val="subscript"/>
        <sz val="10"/>
        <color theme="1"/>
        <rFont val="Arial"/>
        <family val="2"/>
      </rPr>
      <t>korr</t>
    </r>
  </si>
  <si>
    <r>
      <t xml:space="preserve">Nat abun 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</si>
  <si>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r>
      <t>atom% (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N)</t>
    </r>
  </si>
  <si>
    <r>
      <rPr>
        <sz val="10"/>
        <color theme="1"/>
        <rFont val="Calibri"/>
        <family val="2"/>
      </rPr>
      <t>δ</t>
    </r>
    <r>
      <rPr>
        <sz val="10"/>
        <color theme="1"/>
        <rFont val="Arial"/>
        <family val="2"/>
      </rPr>
      <t>13C</t>
    </r>
    <r>
      <rPr>
        <vertAlign val="subscript"/>
        <sz val="10"/>
        <color theme="1"/>
        <rFont val="Arial"/>
        <family val="2"/>
      </rPr>
      <t>korr</t>
    </r>
  </si>
  <si>
    <r>
      <t xml:space="preserve">APE% 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</si>
  <si>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Sample Number</t>
  </si>
  <si>
    <t>C/N in extract or peach</t>
  </si>
  <si>
    <t>mgN in soil extr</t>
  </si>
  <si>
    <t>mgC in soil extr</t>
  </si>
  <si>
    <t>x</t>
  </si>
  <si>
    <t xml:space="preserve">PEACH: </t>
  </si>
  <si>
    <t>soil fw (g)</t>
  </si>
  <si>
    <t xml:space="preserve">SW in extract (ml)  </t>
  </si>
  <si>
    <r>
      <t xml:space="preserve">Nat abun 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</si>
  <si>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t>atom%13C</t>
  </si>
  <si>
    <r>
      <t xml:space="preserve">APE% 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</si>
  <si>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t>C in soil    (FIA - lin reg)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</si>
  <si>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</si>
  <si>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</si>
  <si>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</si>
  <si>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</si>
  <si>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</si>
  <si>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</si>
  <si>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</si>
  <si>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</si>
  <si>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</si>
  <si>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</si>
  <si>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</si>
  <si>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</si>
  <si>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</si>
  <si>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</si>
  <si>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</si>
  <si>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</si>
  <si>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</si>
  <si>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</si>
  <si>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</si>
  <si>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</si>
  <si>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</si>
  <si>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</si>
  <si>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</si>
  <si>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</si>
  <si>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</si>
  <si>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</si>
  <si>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</si>
  <si>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</si>
  <si>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</si>
  <si>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</si>
  <si>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</si>
  <si>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</si>
  <si>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</si>
  <si>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</si>
  <si>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</si>
  <si>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</si>
  <si>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</si>
  <si>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</si>
  <si>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</si>
  <si>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</si>
  <si>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</si>
  <si>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</si>
  <si>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</si>
  <si>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</si>
  <si>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 xml:space="preserve">x </t>
  </si>
  <si>
    <t>%N in peach (not in extract)</t>
  </si>
  <si>
    <t>%C in peach (not in extract)</t>
  </si>
  <si>
    <r>
      <rPr>
        <vertAlign val="superscript"/>
        <sz val="10"/>
        <color theme="0" tint="-0.499984740745262"/>
        <rFont val="Calibri"/>
        <family val="2"/>
      </rPr>
      <t>15</t>
    </r>
    <r>
      <rPr>
        <sz val="10"/>
        <color theme="0" tint="-0.499984740745262"/>
        <rFont val="Calibri"/>
        <family val="2"/>
      </rPr>
      <t>N in soil</t>
    </r>
  </si>
  <si>
    <r>
      <rPr>
        <vertAlign val="superscript"/>
        <sz val="10"/>
        <color theme="0" tint="-0.499984740745262"/>
        <rFont val="Arial"/>
        <family val="2"/>
      </rPr>
      <t>15</t>
    </r>
    <r>
      <rPr>
        <sz val="10"/>
        <color theme="0" tint="-0.499984740745262"/>
        <rFont val="Arial"/>
        <family val="2"/>
      </rPr>
      <t>N in N</t>
    </r>
  </si>
  <si>
    <t>Soil Weight for extraction</t>
  </si>
  <si>
    <t>Freeze-dry ml</t>
  </si>
  <si>
    <t>NC6</t>
  </si>
  <si>
    <t>W2</t>
  </si>
  <si>
    <t>W3</t>
  </si>
  <si>
    <t xml:space="preserve">STANDARD: </t>
  </si>
  <si>
    <t>W6</t>
  </si>
  <si>
    <t>X5</t>
  </si>
  <si>
    <t>X6</t>
  </si>
  <si>
    <t>Fum</t>
  </si>
  <si>
    <t>Deionized water added (ml)</t>
  </si>
  <si>
    <r>
      <rPr>
        <vertAlign val="superscript"/>
        <sz val="10"/>
        <color theme="0" tint="-0.34998626667073579"/>
        <rFont val="Calibri"/>
        <family val="2"/>
      </rPr>
      <t>13</t>
    </r>
    <r>
      <rPr>
        <sz val="10"/>
        <color theme="0" tint="-0.34998626667073579"/>
        <rFont val="Calibri"/>
        <family val="2"/>
      </rPr>
      <t>C in soil (μg g-1 [DW])</t>
    </r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</si>
  <si>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 in C (μg g-1 [C])</t>
    </r>
  </si>
  <si>
    <t>Height (nA)</t>
  </si>
  <si>
    <t>N15</t>
  </si>
  <si>
    <t xml:space="preserve">bakke nr. </t>
  </si>
  <si>
    <t xml:space="preserve">august </t>
  </si>
  <si>
    <t>A12</t>
  </si>
  <si>
    <t>B12</t>
  </si>
  <si>
    <t>C12</t>
  </si>
  <si>
    <t>D12</t>
  </si>
  <si>
    <t>E12</t>
  </si>
  <si>
    <t>F12</t>
  </si>
  <si>
    <t>Standard average 1</t>
  </si>
  <si>
    <t>Standard average 2</t>
  </si>
  <si>
    <t>mgN in soilext</t>
  </si>
  <si>
    <t>mgC in soilext</t>
  </si>
  <si>
    <r>
      <t>(μg g</t>
    </r>
    <r>
      <rPr>
        <b/>
        <vertAlign val="superscript"/>
        <sz val="8"/>
        <rFont val="Arial"/>
        <family val="2"/>
      </rPr>
      <t>-1</t>
    </r>
    <r>
      <rPr>
        <b/>
        <sz val="8"/>
        <rFont val="Arial"/>
        <family val="2"/>
      </rPr>
      <t>)</t>
    </r>
  </si>
  <si>
    <t>ratio</t>
  </si>
  <si>
    <r>
      <t>(</t>
    </r>
    <r>
      <rPr>
        <b/>
        <sz val="8"/>
        <color theme="1"/>
        <rFont val="Calibri"/>
        <family val="2"/>
      </rPr>
      <t>δ</t>
    </r>
    <r>
      <rPr>
        <b/>
        <sz val="8"/>
        <color theme="1"/>
        <rFont val="Arial"/>
        <family val="2"/>
      </rPr>
      <t>)</t>
    </r>
  </si>
  <si>
    <t>in AP%</t>
  </si>
  <si>
    <t>(% of N)</t>
  </si>
  <si>
    <t>(%)</t>
  </si>
  <si>
    <r>
      <t>(</t>
    </r>
    <r>
      <rPr>
        <sz val="8"/>
        <rFont val="Calibri"/>
        <family val="2"/>
      </rPr>
      <t>μ</t>
    </r>
    <r>
      <rPr>
        <sz val="8"/>
        <rFont val="Arial"/>
        <family val="2"/>
      </rPr>
      <t xml:space="preserve">g g </t>
    </r>
    <r>
      <rPr>
        <vertAlign val="superscript"/>
        <sz val="8"/>
        <rFont val="Arial"/>
        <family val="2"/>
      </rPr>
      <t>-1</t>
    </r>
    <r>
      <rPr>
        <sz val="8"/>
        <rFont val="Arial"/>
        <family val="2"/>
      </rPr>
      <t>[DW])</t>
    </r>
  </si>
  <si>
    <r>
      <t>(</t>
    </r>
    <r>
      <rPr>
        <b/>
        <sz val="8"/>
        <rFont val="Calibri"/>
        <family val="2"/>
      </rPr>
      <t>μ</t>
    </r>
    <r>
      <rPr>
        <b/>
        <sz val="8"/>
        <rFont val="Arial"/>
        <family val="2"/>
      </rPr>
      <t>g g</t>
    </r>
    <r>
      <rPr>
        <b/>
        <vertAlign val="superscript"/>
        <sz val="8"/>
        <rFont val="Arial"/>
        <family val="2"/>
      </rPr>
      <t xml:space="preserve">-1 </t>
    </r>
    <r>
      <rPr>
        <b/>
        <sz val="8"/>
        <rFont val="Arial"/>
        <family val="2"/>
      </rPr>
      <t>[N])</t>
    </r>
  </si>
  <si>
    <t>Mic 15N (ug/g)</t>
  </si>
  <si>
    <t>15N-DTN (ug/g)</t>
  </si>
  <si>
    <r>
      <rPr>
        <vertAlign val="superscript"/>
        <sz val="10"/>
        <color theme="0"/>
        <rFont val="Arial"/>
        <family val="2"/>
      </rPr>
      <t>15</t>
    </r>
    <r>
      <rPr>
        <sz val="10"/>
        <color theme="0"/>
        <rFont val="Arial"/>
        <family val="2"/>
      </rPr>
      <t>N in N</t>
    </r>
  </si>
  <si>
    <t>MicDiss15N (ug/g)</t>
  </si>
  <si>
    <t>MicDiss15N (ng/g) (not non-fum subtracted)</t>
  </si>
  <si>
    <t>Mic N</t>
  </si>
  <si>
    <t>Mic C</t>
  </si>
  <si>
    <t>DTN</t>
  </si>
  <si>
    <r>
      <t>(</t>
    </r>
    <r>
      <rPr>
        <sz val="8"/>
        <rFont val="Calibri"/>
        <family val="2"/>
      </rPr>
      <t>μ</t>
    </r>
    <r>
      <rPr>
        <sz val="8"/>
        <rFont val="Arial"/>
        <family val="2"/>
      </rPr>
      <t>g g</t>
    </r>
    <r>
      <rPr>
        <vertAlign val="superscript"/>
        <sz val="8"/>
        <rFont val="Arial"/>
        <family val="2"/>
      </rPr>
      <t xml:space="preserve">-1 </t>
    </r>
    <r>
      <rPr>
        <sz val="8"/>
        <rFont val="Arial"/>
        <family val="2"/>
      </rPr>
      <t>[N])</t>
    </r>
  </si>
  <si>
    <r>
      <t>(</t>
    </r>
    <r>
      <rPr>
        <b/>
        <sz val="8"/>
        <rFont val="Calibri"/>
        <family val="2"/>
      </rPr>
      <t>nanogram</t>
    </r>
    <r>
      <rPr>
        <b/>
        <sz val="8"/>
        <rFont val="Arial"/>
        <family val="2"/>
      </rPr>
      <t xml:space="preserve"> g </t>
    </r>
    <r>
      <rPr>
        <b/>
        <vertAlign val="superscript"/>
        <sz val="8"/>
        <rFont val="Arial"/>
        <family val="2"/>
      </rPr>
      <t>-1</t>
    </r>
    <r>
      <rPr>
        <b/>
        <sz val="8"/>
        <rFont val="Arial"/>
        <family val="2"/>
      </rPr>
      <t>[DW])</t>
    </r>
  </si>
  <si>
    <t>Mic 13C (ug/g)</t>
  </si>
  <si>
    <t>13C-DOC (ug/g)</t>
  </si>
  <si>
    <t>MicDiss13C (ng/g) (not non-fum subtracted)</t>
  </si>
  <si>
    <r>
      <t>(</t>
    </r>
    <r>
      <rPr>
        <b/>
        <sz val="8"/>
        <rFont val="Calibri"/>
        <family val="2"/>
      </rPr>
      <t>μ</t>
    </r>
    <r>
      <rPr>
        <b/>
        <sz val="8"/>
        <rFont val="Arial"/>
        <family val="2"/>
      </rPr>
      <t xml:space="preserve">g g </t>
    </r>
    <r>
      <rPr>
        <b/>
        <vertAlign val="superscript"/>
        <sz val="8"/>
        <rFont val="Arial"/>
        <family val="2"/>
      </rPr>
      <t>-1</t>
    </r>
    <r>
      <rPr>
        <b/>
        <sz val="8"/>
        <rFont val="Arial"/>
        <family val="2"/>
      </rPr>
      <t>[DW])</t>
    </r>
  </si>
  <si>
    <t>MicDiss13C (ug/g)</t>
  </si>
  <si>
    <r>
      <t>(</t>
    </r>
    <r>
      <rPr>
        <sz val="8"/>
        <rFont val="Calibri"/>
        <family val="2"/>
      </rPr>
      <t>μ</t>
    </r>
    <r>
      <rPr>
        <sz val="8"/>
        <rFont val="Arial"/>
        <family val="2"/>
      </rPr>
      <t>g g</t>
    </r>
    <r>
      <rPr>
        <vertAlign val="superscript"/>
        <sz val="8"/>
        <rFont val="Arial"/>
        <family val="2"/>
      </rPr>
      <t xml:space="preserve">-1 </t>
    </r>
    <r>
      <rPr>
        <sz val="8"/>
        <rFont val="Arial"/>
        <family val="2"/>
      </rPr>
      <t>[C])</t>
    </r>
  </si>
  <si>
    <t xml:space="preserve">Mic 13C (ng/g) </t>
  </si>
  <si>
    <t>Mic N (ug/g)</t>
  </si>
  <si>
    <t>Mic C (ug/g)</t>
  </si>
  <si>
    <t>DTN (ug/g)</t>
  </si>
  <si>
    <t>Mic C/N</t>
  </si>
  <si>
    <t>DOC</t>
  </si>
  <si>
    <t>DOC (ug/g)</t>
  </si>
  <si>
    <t xml:space="preserve">Mic 15N (ng/g) </t>
  </si>
  <si>
    <r>
      <t>(</t>
    </r>
    <r>
      <rPr>
        <sz val="8"/>
        <color theme="0" tint="-0.499984740745262"/>
        <rFont val="Calibri"/>
        <family val="2"/>
      </rPr>
      <t>nanogram</t>
    </r>
    <r>
      <rPr>
        <sz val="8"/>
        <color theme="0" tint="-0.499984740745262"/>
        <rFont val="Arial"/>
        <family val="2"/>
      </rPr>
      <t xml:space="preserve"> g </t>
    </r>
    <r>
      <rPr>
        <vertAlign val="superscript"/>
        <sz val="8"/>
        <color theme="0" tint="-0.499984740745262"/>
        <rFont val="Arial"/>
        <family val="2"/>
      </rPr>
      <t>-1</t>
    </r>
    <r>
      <rPr>
        <sz val="8"/>
        <color theme="0" tint="-0.499984740745262"/>
        <rFont val="Arial"/>
        <family val="2"/>
      </rPr>
      <t>[DW])</t>
    </r>
  </si>
  <si>
    <t>Multe2025LabelExpExtrAgain_4.raw</t>
  </si>
  <si>
    <t>Multe2025LabelExpExtrAgain_5.raw</t>
  </si>
  <si>
    <t>Multe2025LabelExpExtrAgain_6.raw</t>
  </si>
  <si>
    <t>Multe2025LabelExpExtrAgain_7.raw</t>
  </si>
  <si>
    <t>Multe2025LabelExpExtrAgain_8.raw</t>
  </si>
  <si>
    <t>Multe2025LabelExpExtrAgain_9.raw</t>
  </si>
  <si>
    <t>Multe2025LabelExpExtrAgain_10.raw</t>
  </si>
  <si>
    <t>Multe2025LabelExpExtrAgain_11.raw</t>
  </si>
  <si>
    <t>peach 1641a.raw</t>
  </si>
  <si>
    <t xml:space="preserve">antal prøver : </t>
  </si>
  <si>
    <t xml:space="preserve">ID: </t>
  </si>
  <si>
    <t xml:space="preserve">måned: </t>
  </si>
  <si>
    <t xml:space="preserve">ml til frysetørring </t>
  </si>
  <si>
    <t xml:space="preserve">placering: </t>
  </si>
  <si>
    <t xml:space="preserve">sept. </t>
  </si>
  <si>
    <t xml:space="preserve">X2 ( x2) </t>
  </si>
  <si>
    <t>FUM/UFUM</t>
  </si>
  <si>
    <t>EliseLabexpExtrUfum_bk1_1.raw</t>
  </si>
  <si>
    <t>EliseLabexpExtrUfum_bk1_2.raw</t>
  </si>
  <si>
    <t>EliseLabexpExtrUfum_bk1_3.raw</t>
  </si>
  <si>
    <t>EliseLabexpExtrUfum_bk1_4.raw</t>
  </si>
  <si>
    <t>EliseLabexpExtrUfum_bk1_5.raw</t>
  </si>
  <si>
    <t>EliseLabexpExtrUfum_bk1_6.raw</t>
  </si>
  <si>
    <t>EliseLabexpExtrUfum_bk1_7.raw</t>
  </si>
  <si>
    <t>EliseLabexpExtrUfum_bk1_8.raw</t>
  </si>
  <si>
    <t>EliseLabexpExtrUfum_bk1_9.raw</t>
  </si>
  <si>
    <t>EliseLabexpExtrUfum_bk1_10.raw</t>
  </si>
  <si>
    <t>EliseLabexpExtrUfum_bk1_11.raw</t>
  </si>
  <si>
    <t>peach 2263w.raw</t>
  </si>
  <si>
    <t>EliseLabexpExtrUfum_bk1_13.raw</t>
  </si>
  <si>
    <t>EliseLabexpExtrUfum_bk1_14.raw</t>
  </si>
  <si>
    <t>EliseLabexpExtrUfum_bk1_15.raw</t>
  </si>
  <si>
    <t>EliseLabexpExtrUfum_bk1_16.raw</t>
  </si>
  <si>
    <t>EliseLabexpExtrUfum_bk1_17.raw</t>
  </si>
  <si>
    <t>EliseLabexpExtrUfum_bk1_18.raw</t>
  </si>
  <si>
    <t>EliseLabexpExtrUfum_bk1_19.raw</t>
  </si>
  <si>
    <t>EliseLabexpExtrUfum_bk1_20.raw</t>
  </si>
  <si>
    <t>EliseLabexpExtrUfum_bk1_21.raw</t>
  </si>
  <si>
    <t>EliseLabexpExtrUfum_bk1_22.raw</t>
  </si>
  <si>
    <t>EliseLabexpExtrUfum_bk1_23.raw</t>
  </si>
  <si>
    <t>peach 2334w.raw</t>
  </si>
  <si>
    <t>EliseLabexpExtrUfum_bk1_25.raw</t>
  </si>
  <si>
    <t>EliseLabexpExtrUfum_bk1_26.raw</t>
  </si>
  <si>
    <t>EliseLabexpExtrUfum_bk1_27.raw</t>
  </si>
  <si>
    <t>EliseLabexpExtrUfum_bk1_28.raw</t>
  </si>
  <si>
    <t>EliseLabexpExtrUfum_bk1_29.raw</t>
  </si>
  <si>
    <t>EliseLabexpExtrUfum_bk1_30.raw</t>
  </si>
  <si>
    <t>EliseLabexpExtrUfum_bk1_31.raw</t>
  </si>
  <si>
    <t>EliseLabexpExtrUfum_bk1_32.raw</t>
  </si>
  <si>
    <t>EliseLabexpExtrUfum_bk1_33.raw</t>
  </si>
  <si>
    <t>EliseLabexpExtrUfum_bk1_34.raw</t>
  </si>
  <si>
    <t>EliseLabexpExtrUfum_bk1_35.raw</t>
  </si>
  <si>
    <t>peach 1277w.raw</t>
  </si>
  <si>
    <t>EliseLabexpExtrUfum_bk1_37.raw</t>
  </si>
  <si>
    <t>EliseLabexpExtrUfum_bk1_38.raw</t>
  </si>
  <si>
    <t>EliseLabexpExtrUfum_bk1_39.raw</t>
  </si>
  <si>
    <t>EliseLabexpExtrUfum_bk1_40.raw</t>
  </si>
  <si>
    <t>EliseLabexpExtrUfum_bk1_41.raw</t>
  </si>
  <si>
    <t>EliseLabexpExtrUfum_bk1_42.raw</t>
  </si>
  <si>
    <t>EliseLabexpExtrUfum_bk1_43.raw</t>
  </si>
  <si>
    <t>EliseLabexpExtrUfum_bk1_44.raw</t>
  </si>
  <si>
    <t>EliseLabexpExtrUfum_bk1_45.raw</t>
  </si>
  <si>
    <t>EliseLabexpExtrUfum_bk1_46.raw</t>
  </si>
  <si>
    <t>EliseLabexpExtrUfum_bk1_47.raw</t>
  </si>
  <si>
    <t>peach 2557w.raw</t>
  </si>
  <si>
    <t>EliseLabexpExtrUfum_bk1_49.raw</t>
  </si>
  <si>
    <t>EliseLabexpExtrUfum_bk1_50.raw</t>
  </si>
  <si>
    <t>EliseLabexpExtrUfum_bk1_51.raw</t>
  </si>
  <si>
    <t>EliseLabexpExtrUfum_bk1_52.raw</t>
  </si>
  <si>
    <t>EliseLabexpExtrUfum_bk1_53.raw</t>
  </si>
  <si>
    <t>EliseLabexpExtrUfum_bk1_54.raw</t>
  </si>
  <si>
    <t>EliseLabexpExtrUfum_bk1_55.raw</t>
  </si>
  <si>
    <t>EliseLabexpExtrUfum_bk1_56.raw</t>
  </si>
  <si>
    <t>EliseLabexpExtrUfum_bk1_57.raw</t>
  </si>
  <si>
    <t>EliseLabexpExtrUfum_bk1_58.raw</t>
  </si>
  <si>
    <t>EliseLabexpExtrUfum_bk1_59.raw</t>
  </si>
  <si>
    <t>peach 1876w.raw</t>
  </si>
  <si>
    <t>EliseLabexpExtrUfum_bk1_61.raw</t>
  </si>
  <si>
    <t>EliseLabexpExtrUfum_bk1_62.raw</t>
  </si>
  <si>
    <t>EliseLabexpExtrUfum_bk1_63.raw</t>
  </si>
  <si>
    <t>EliseLabexpExtrUfum_bk1_64.raw</t>
  </si>
  <si>
    <t>EliseLabexpExtrUfum_bk1_65.raw</t>
  </si>
  <si>
    <t>EliseLabexpExtrUfum_bk1_66.raw</t>
  </si>
  <si>
    <t>EliseLabexpExtrUfum_bk1_67.raw</t>
  </si>
  <si>
    <t>EliseLabexpExtrUfum_bk1_68.raw</t>
  </si>
  <si>
    <t>EliseLabexpExtrUfum_bk1_69.raw</t>
  </si>
  <si>
    <t>EliseLabexpExtrUfum_bk1_70.raw</t>
  </si>
  <si>
    <t>EliseLabexpExtrUfum_bk1_71.raw</t>
  </si>
  <si>
    <t>peach 2181w.raw</t>
  </si>
  <si>
    <t>EliseLabexpExtrUfum_bk1_73.raw</t>
  </si>
  <si>
    <t>EliseLabexpExtrUfum_bk1_74.raw</t>
  </si>
  <si>
    <t>EliseLabexpExtrUfum_bk1_75.raw</t>
  </si>
  <si>
    <t>EliseLabexpExtrUfum_bk1_76.raw</t>
  </si>
  <si>
    <t>EliseLabexpExtrUfum_bk1_77.raw</t>
  </si>
  <si>
    <t>EliseLabexpExtrUfum_bk1_78.raw</t>
  </si>
  <si>
    <t>EliseLabexpExtrUfum_bk1_79.raw</t>
  </si>
  <si>
    <t>EliseLabexpExtrUfum_bk1_80.raw</t>
  </si>
  <si>
    <t>EliseLabexpExtrUfum_bk1_81.raw</t>
  </si>
  <si>
    <t>EliseLabexpExtrUfum_bk1_82.raw</t>
  </si>
  <si>
    <t>EliseLabexpExtrUfum_bk1_83.raw</t>
  </si>
  <si>
    <t>peach 2286.raw</t>
  </si>
  <si>
    <t>EliseLabexpExtrUfum_bk1_85.raw</t>
  </si>
  <si>
    <t>EliseLabexpExtrUfum_bk1_86.raw</t>
  </si>
  <si>
    <t>EliseLabexpExtrUfum_bk1_87.raw</t>
  </si>
  <si>
    <t>EliseLabexpExtrUfum_bk1_88.raw</t>
  </si>
  <si>
    <t>EliseLabexpExtrUfum_bk1_89.raw</t>
  </si>
  <si>
    <t>EliseLabexpExtrUfum_bk1_90.raw</t>
  </si>
  <si>
    <t>EliseLabexpExtrUfum_bk1_91.raw</t>
  </si>
  <si>
    <t>EliseLabexpExtrUfum_bk1_92.raw</t>
  </si>
  <si>
    <t>EliseLabexpExtrUfum_bk1_93.raw</t>
  </si>
  <si>
    <t>EliseLabexpExtrUfum_bk1_94.raw</t>
  </si>
  <si>
    <t>EliseLabexpExtrUfum_bk1_95.raw</t>
  </si>
  <si>
    <t>peach 3024w.raw</t>
  </si>
  <si>
    <t>EliseLabexpExtrUfum_bk2_1.raw</t>
  </si>
  <si>
    <t>EliseLabexpExtrUfum_bk2_2.raw</t>
  </si>
  <si>
    <t>EliseLabexpExtrUfum_bk2_3.raw</t>
  </si>
  <si>
    <t>EliseLabexpExtrUfum_bk2_4.raw</t>
  </si>
  <si>
    <t>EliseLabexpExtrUfum_bk2_5.raw</t>
  </si>
  <si>
    <t>EliseLabexpExtrUfum_bk2_6.raw</t>
  </si>
  <si>
    <t>EliseLabexpExtrUfum_bk2_7.raw</t>
  </si>
  <si>
    <t>EliseLabexpExtrUfum_bk2_8.raw</t>
  </si>
  <si>
    <t>peach 2417w.raw</t>
  </si>
  <si>
    <t>EliseLabExtrFum_1.raw</t>
  </si>
  <si>
    <t>EliseLabExtrFum_2.raw</t>
  </si>
  <si>
    <t>EliseLabExtrFum_3.raw</t>
  </si>
  <si>
    <t>EliseLabExtrFum_4.raw</t>
  </si>
  <si>
    <t>EliseLabExtrFum_5.raw</t>
  </si>
  <si>
    <t>EliseLabExtrFum_6.raw</t>
  </si>
  <si>
    <t>EliseLabExtrFum_7.raw</t>
  </si>
  <si>
    <t>EliseLabExtrFum_8.raw</t>
  </si>
  <si>
    <t>EliseLabExtrFum_9.raw</t>
  </si>
  <si>
    <t>EliseLabExtrFum_10.raw</t>
  </si>
  <si>
    <t>EliseLabExtrFum_11.raw</t>
  </si>
  <si>
    <t>peach 3122a.raw</t>
  </si>
  <si>
    <t>EliseLabExtrFum_13.raw</t>
  </si>
  <si>
    <t>EliseLabExtrFum_14.raw</t>
  </si>
  <si>
    <t>EliseLabExtrFum_15.raw</t>
  </si>
  <si>
    <t>EliseLabExtrFum_16.raw</t>
  </si>
  <si>
    <t>EliseLabExtrFum_17.raw</t>
  </si>
  <si>
    <t>EliseLabExtrFum_18.raw</t>
  </si>
  <si>
    <t>EliseLabExtrFum_19.raw</t>
  </si>
  <si>
    <t>EliseLabExtrFum_20.raw</t>
  </si>
  <si>
    <t>EliseLabExtrFum_21.raw</t>
  </si>
  <si>
    <t>EliseLabExtrFum_22.raw</t>
  </si>
  <si>
    <t>EliseLabExtrFum_23.raw</t>
  </si>
  <si>
    <t>peach 1997a.raw</t>
  </si>
  <si>
    <t>EliseLabExtrFum_25.raw</t>
  </si>
  <si>
    <t>EliseLabExtrFum_26.raw</t>
  </si>
  <si>
    <t>EliseLabExtrFum_27.raw</t>
  </si>
  <si>
    <t>EliseLabExtrFum_28.raw</t>
  </si>
  <si>
    <t>EliseLabExtrFum_29.raw</t>
  </si>
  <si>
    <t>EliseLabExtrFum_30.raw</t>
  </si>
  <si>
    <t>EliseLabExtrFum_31.raw</t>
  </si>
  <si>
    <t>EliseLabExtrFum_32.raw</t>
  </si>
  <si>
    <t>EliseLabExtrFum_33.raw</t>
  </si>
  <si>
    <t>EliseLabExtrFum_34.raw</t>
  </si>
  <si>
    <t>peach 3767a.raw</t>
  </si>
  <si>
    <t>EliseLabExtrFum_37.raw</t>
  </si>
  <si>
    <t>EliseLabExtrFum_38.raw</t>
  </si>
  <si>
    <t>EliseLabExtrFum_39.raw</t>
  </si>
  <si>
    <t>EliseLabExtrFum_40.raw</t>
  </si>
  <si>
    <t>EliseLabExtrFum_41.raw</t>
  </si>
  <si>
    <t>EliseLabExtrFum_42.raw</t>
  </si>
  <si>
    <t>EliseLabExtrFum_43.raw</t>
  </si>
  <si>
    <t>EliseLabExtrFum_44.raw</t>
  </si>
  <si>
    <t>EliseLabExtrFum_45.raw</t>
  </si>
  <si>
    <t>EliseLabExtrFum_46.raw</t>
  </si>
  <si>
    <t>EliseLabExtrFum_47.raw</t>
  </si>
  <si>
    <t>peach 2521a.raw</t>
  </si>
  <si>
    <t>EliseLabExtrFum_49.raw</t>
  </si>
  <si>
    <t>EliseLabExtrFum_50.raw</t>
  </si>
  <si>
    <t>EliseLabExtrFum_51.raw</t>
  </si>
  <si>
    <t>EliseLabExtrFum_52.raw</t>
  </si>
  <si>
    <t>EliseLabExtrFum_53.raw</t>
  </si>
  <si>
    <t>EliseLabExtrFum_54.raw</t>
  </si>
  <si>
    <t>EliseLabExtrFum_55.raw</t>
  </si>
  <si>
    <t>EliseLabExtrFum_56.raw</t>
  </si>
  <si>
    <t>EliseLabExtrFum_57.raw</t>
  </si>
  <si>
    <t>EliseLabExtrFum_58.raw</t>
  </si>
  <si>
    <t>EliseLabExtrFum_59.raw</t>
  </si>
  <si>
    <t>peach 1641.raw</t>
  </si>
  <si>
    <t>EliseLabExtrFum_61.raw</t>
  </si>
  <si>
    <t>EliseLabExtrFum_62.raw</t>
  </si>
  <si>
    <t>EliseLabExtrFum_63.raw</t>
  </si>
  <si>
    <t>EliseLabExtrFum_64.raw</t>
  </si>
  <si>
    <t>EliseLabExtrFum_65.raw</t>
  </si>
  <si>
    <t>EliseLabExtrFum_66.raw</t>
  </si>
  <si>
    <t>EliseLabExtrFum_67.raw</t>
  </si>
  <si>
    <t>EliseLabExtrFum_68.raw</t>
  </si>
  <si>
    <t>EliseLabExtrFum_69.raw</t>
  </si>
  <si>
    <t>EliseLabExtrFum_70.raw</t>
  </si>
  <si>
    <t>EliseLabExtrFum_71.raw</t>
  </si>
  <si>
    <t>peach 2073a.raw</t>
  </si>
  <si>
    <t>EliseLabExtrFum_73.raw</t>
  </si>
  <si>
    <t>EliseLabExtrFum_74.raw</t>
  </si>
  <si>
    <t>EliseLabExtrFum_75.raw</t>
  </si>
  <si>
    <t>EliseLabExtrFum_76.raw</t>
  </si>
  <si>
    <t>EliseLabExtrFum_77.raw</t>
  </si>
  <si>
    <t>EliseLabExtrFum_78.raw</t>
  </si>
  <si>
    <t>EliseLabExtrFum_79.raw</t>
  </si>
  <si>
    <t>EliseLabExtrFum_80.raw</t>
  </si>
  <si>
    <t>EliseLabExtrFum_81.raw</t>
  </si>
  <si>
    <t>EliseLabExtrFum_82.raw</t>
  </si>
  <si>
    <t>EliseLabExtrFum_83.raw</t>
  </si>
  <si>
    <t>peach 2529a.raw</t>
  </si>
  <si>
    <t>EliseLabExtrFum_85.raw</t>
  </si>
  <si>
    <t>EliseLabExtrFum_86.raw</t>
  </si>
  <si>
    <t>EliseLabExtrFum_87.raw</t>
  </si>
  <si>
    <t>EliseLabExtrFum_88.raw</t>
  </si>
  <si>
    <t>EliseLabExtrFum_89.raw</t>
  </si>
  <si>
    <t>EliseLabExtrFum_90.raw</t>
  </si>
  <si>
    <t>EliseLabExtrFum_91.raw</t>
  </si>
  <si>
    <t>EliseLabExtrFum_92.raw</t>
  </si>
  <si>
    <t>EliseLabExtrFum_93.raw</t>
  </si>
  <si>
    <t>EliseLabExtrFum_94.raw</t>
  </si>
  <si>
    <t>EliseLabExtrFum_95.raw</t>
  </si>
  <si>
    <t>peach 1353a.raw</t>
  </si>
  <si>
    <t>EliseLabExtrFum_2_1.raw</t>
  </si>
  <si>
    <t>EliseLabExtrFum_2_2.raw</t>
  </si>
  <si>
    <t>EliseLabExtrFum_2_3.raw</t>
  </si>
  <si>
    <t>EliseLabExtrFum_2_4.raw</t>
  </si>
  <si>
    <t>EliseLabExtrFum_2_5.raw</t>
  </si>
  <si>
    <t>EliseLabExtrFum_2_6.raw</t>
  </si>
  <si>
    <t>EliseLabExtrFum_2_7.raw</t>
  </si>
  <si>
    <t>EliseLabExtrFum_2_8.raw</t>
  </si>
  <si>
    <t xml:space="preserve">Gosha´s id. nr. </t>
  </si>
  <si>
    <t>run</t>
  </si>
  <si>
    <t>tt</t>
  </si>
  <si>
    <t>treatment</t>
  </si>
  <si>
    <t>layer</t>
  </si>
  <si>
    <t>fum_status</t>
  </si>
  <si>
    <t xml:space="preserve">run </t>
  </si>
  <si>
    <t>date</t>
  </si>
  <si>
    <t>h2o_ml</t>
  </si>
  <si>
    <t>gram_soil</t>
  </si>
  <si>
    <t xml:space="preserve">placering </t>
  </si>
  <si>
    <t xml:space="preserve">bakke nr: </t>
  </si>
  <si>
    <t>A</t>
  </si>
  <si>
    <t>SCW</t>
  </si>
  <si>
    <t>top</t>
  </si>
  <si>
    <t>ufum</t>
  </si>
  <si>
    <t>20.10.25</t>
  </si>
  <si>
    <t>B</t>
  </si>
  <si>
    <t>BUW</t>
  </si>
  <si>
    <t>C</t>
  </si>
  <si>
    <t>BCW</t>
  </si>
  <si>
    <t>D</t>
  </si>
  <si>
    <t>BCD</t>
  </si>
  <si>
    <t>E</t>
  </si>
  <si>
    <t>SUW</t>
  </si>
  <si>
    <t>F</t>
  </si>
  <si>
    <t>SCD</t>
  </si>
  <si>
    <t>G</t>
  </si>
  <si>
    <t>SUD</t>
  </si>
  <si>
    <t>H</t>
  </si>
  <si>
    <t>BUD</t>
  </si>
  <si>
    <t>29.10.25</t>
  </si>
  <si>
    <t xml:space="preserve">B1 </t>
  </si>
  <si>
    <t>9.10.25</t>
  </si>
  <si>
    <t>18.11.25</t>
  </si>
  <si>
    <t>27.11.25</t>
  </si>
  <si>
    <t>6.12.25</t>
  </si>
  <si>
    <t>E1</t>
  </si>
  <si>
    <t>E2</t>
  </si>
  <si>
    <t>E3</t>
  </si>
  <si>
    <t>E4</t>
  </si>
  <si>
    <t>mid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</si>
  <si>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</si>
  <si>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</si>
  <si>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</si>
  <si>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</si>
  <si>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</si>
  <si>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</si>
  <si>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</si>
  <si>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</si>
  <si>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</si>
  <si>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</si>
  <si>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</si>
  <si>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</si>
  <si>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</si>
  <si>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</si>
  <si>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</si>
  <si>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</si>
  <si>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</si>
  <si>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</si>
  <si>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</si>
  <si>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</si>
  <si>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</si>
  <si>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</si>
  <si>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</si>
  <si>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</si>
  <si>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</si>
  <si>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</si>
  <si>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</si>
  <si>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</si>
  <si>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</si>
  <si>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</si>
  <si>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</si>
  <si>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</si>
  <si>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</si>
  <si>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</si>
  <si>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</si>
  <si>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</si>
  <si>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</si>
  <si>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</si>
  <si>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</si>
  <si>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</si>
  <si>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</si>
  <si>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</si>
  <si>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fum</t>
  </si>
  <si>
    <t>21.10.25</t>
  </si>
  <si>
    <t>30.10.25</t>
  </si>
  <si>
    <t>10.10.25</t>
  </si>
  <si>
    <t>19.11.25</t>
  </si>
  <si>
    <t>28.11.25</t>
  </si>
  <si>
    <t>7.12.25</t>
  </si>
  <si>
    <t>LOST</t>
  </si>
  <si>
    <t xml:space="preserve">Soil water in extract (ml)  </t>
  </si>
  <si>
    <t>DW soil (from 10 g FW)</t>
  </si>
  <si>
    <t>TRAP200 herfra</t>
  </si>
  <si>
    <t>TRAP 200</t>
  </si>
  <si>
    <r>
      <rPr>
        <vertAlign val="superscript"/>
        <sz val="10"/>
        <rFont val="Arial"/>
        <family val="2"/>
      </rPr>
      <t xml:space="preserve">13C </t>
    </r>
    <r>
      <rPr>
        <sz val="10"/>
        <rFont val="Arial"/>
        <family val="2"/>
      </rPr>
      <t>in C</t>
    </r>
  </si>
  <si>
    <r>
      <t>(</t>
    </r>
    <r>
      <rPr>
        <sz val="11"/>
        <color theme="1"/>
        <rFont val="Calibri"/>
        <family val="2"/>
        <scheme val="minor"/>
      </rPr>
      <t>nanogram</t>
    </r>
    <r>
      <rPr>
        <sz val="11"/>
        <color theme="1"/>
        <rFont val="Calibri"/>
        <family val="2"/>
        <scheme val="minor"/>
      </rPr>
      <t xml:space="preserve"> g 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[DW])</t>
    </r>
  </si>
  <si>
    <r>
      <t>(μg g</t>
    </r>
    <r>
      <rPr>
        <vertAlign val="superscript"/>
        <sz val="12"/>
        <rFont val="Arial"/>
        <family val="2"/>
      </rPr>
      <t>-1</t>
    </r>
    <r>
      <rPr>
        <sz val="12"/>
        <rFont val="Arial"/>
        <family val="2"/>
      </rPr>
      <t>)</t>
    </r>
  </si>
  <si>
    <t xml:space="preserve">DW soil </t>
  </si>
  <si>
    <t>Mic 15N (ng/g)</t>
  </si>
  <si>
    <t>comment</t>
  </si>
  <si>
    <t>fum sample lost</t>
  </si>
  <si>
    <t>removed negative mic N</t>
  </si>
  <si>
    <t xml:space="preserve">Gosha's id. nr.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</si>
</sst>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"/>
  </numFmts>
  <fonts count="6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name val="Arial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10"/>
      <color theme="0" tint="-0.34998626667073579"/>
      <name val="Calibri"/>
      <family val="2"/>
    </font>
    <font>
      <vertAlign val="superscript"/>
      <sz val="10"/>
      <color theme="0" tint="-0.34998626667073579"/>
      <name val="Calibri"/>
      <family val="2"/>
    </font>
    <font>
      <sz val="10"/>
      <color theme="0" tint="-0.499984740745262"/>
      <name val="Calibri"/>
      <family val="2"/>
    </font>
    <font>
      <vertAlign val="superscript"/>
      <sz val="10"/>
      <color theme="0" tint="-0.499984740745262"/>
      <name val="Calibri"/>
      <family val="2"/>
    </font>
    <font>
      <vertAlign val="superscript"/>
      <sz val="10"/>
      <color theme="0" tint="-0.49998474074526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color indexed="8"/>
      <name val="Arial"/>
      <family val="2"/>
    </font>
    <font>
      <b/>
      <sz val="11"/>
      <name val="Calibri"/>
      <family val="2"/>
      <scheme val="minor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name val="Calibri"/>
      <family val="2"/>
    </font>
    <font>
      <vertAlign val="superscript"/>
      <sz val="8"/>
      <name val="Arial"/>
      <family val="2"/>
    </font>
    <font>
      <b/>
      <sz val="8"/>
      <name val="Calibri"/>
      <family val="2"/>
    </font>
    <font>
      <sz val="8"/>
      <name val="Calibri"/>
      <family val="3"/>
      <charset val="129"/>
      <scheme val="minor"/>
    </font>
    <font>
      <sz val="10"/>
      <color theme="0"/>
      <name val="Arial"/>
      <family val="2"/>
    </font>
    <font>
      <vertAlign val="superscript"/>
      <sz val="10"/>
      <color theme="0"/>
      <name val="Arial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0" tint="-0.499984740745262"/>
      <name val="Arial"/>
      <family val="2"/>
    </font>
    <font>
      <sz val="8"/>
      <color theme="0" tint="-0.499984740745262"/>
      <name val="Calibri"/>
      <family val="2"/>
    </font>
    <font>
      <vertAlign val="superscript"/>
      <sz val="8"/>
      <color theme="0" tint="-0.499984740745262"/>
      <name val="Arial"/>
      <family val="2"/>
    </font>
    <font>
      <sz val="10"/>
      <color rgb="FF7030A0"/>
      <name val="Arial"/>
      <family val="2"/>
    </font>
    <font>
      <b/>
      <sz val="10"/>
      <color theme="0" tint="-0.249977111117893"/>
      <name val="Calibri"/>
      <family val="2"/>
    </font>
    <font>
      <sz val="8"/>
      <color rgb="FFFF0000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Arial"/>
      <family val="2"/>
    </font>
    <font>
      <vertAlign val="superscript"/>
      <sz val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9" fillId="0" borderId="0"/>
    <xf numFmtId="0" fontId="1" fillId="0" borderId="0"/>
    <xf numFmtId="0" fontId="3" fillId="0" borderId="0"/>
    <xf numFmtId="0" fontId="4" fillId="0" borderId="0"/>
  </cellStyleXfs>
  <cellXfs count="195">
    <xf numFmtId="0" fontId="0" fillId="0" borderId="0" xfId="0"/>
    <xf numFmtId="0" fontId="7" fillId="0" borderId="0" xfId="0" applyFont="1"/>
    <xf numFmtId="0" fontId="2" fillId="0" borderId="0" xfId="0" applyFont="1"/>
    <xf numFmtId="0" fontId="12" fillId="6" borderId="0" xfId="4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6" borderId="0" xfId="4" applyAlignment="1">
      <alignment horizontal="right"/>
    </xf>
    <xf numFmtId="1" fontId="0" fillId="0" borderId="0" xfId="0" applyNumberFormat="1"/>
    <xf numFmtId="0" fontId="2" fillId="0" borderId="0" xfId="0" applyFont="1" applyAlignment="1">
      <alignment horizontal="left"/>
    </xf>
    <xf numFmtId="167" fontId="0" fillId="0" borderId="0" xfId="0" applyNumberFormat="1" applyAlignment="1">
      <alignment horizontal="right"/>
    </xf>
    <xf numFmtId="167" fontId="2" fillId="0" borderId="0" xfId="0" applyNumberFormat="1" applyFont="1" applyAlignment="1">
      <alignment horizontal="right"/>
    </xf>
    <xf numFmtId="0" fontId="12" fillId="0" borderId="0" xfId="4" applyFill="1"/>
    <xf numFmtId="17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164" fontId="1" fillId="8" borderId="0" xfId="0" applyNumberFormat="1" applyFont="1" applyFill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7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165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 wrapText="1"/>
    </xf>
    <xf numFmtId="164" fontId="14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14" fillId="9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 wrapText="1"/>
    </xf>
    <xf numFmtId="166" fontId="14" fillId="0" borderId="0" xfId="0" applyNumberFormat="1" applyFont="1" applyAlignment="1">
      <alignment horizontal="center"/>
    </xf>
    <xf numFmtId="166" fontId="1" fillId="0" borderId="0" xfId="3" applyNumberFormat="1" applyFont="1" applyFill="1" applyBorder="1" applyAlignment="1">
      <alignment horizontal="center" wrapText="1"/>
    </xf>
    <xf numFmtId="166" fontId="1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 wrapText="1"/>
    </xf>
    <xf numFmtId="164" fontId="19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14" fillId="0" borderId="0" xfId="0" applyNumberFormat="1" applyFont="1" applyAlignment="1">
      <alignment horizontal="center" wrapText="1"/>
    </xf>
    <xf numFmtId="0" fontId="9" fillId="11" borderId="1" xfId="5" applyFill="1" applyBorder="1" applyAlignment="1">
      <alignment horizontal="center" wrapText="1"/>
    </xf>
    <xf numFmtId="0" fontId="9" fillId="11" borderId="2" xfId="5" applyFill="1" applyBorder="1" applyAlignment="1">
      <alignment horizontal="center" wrapText="1"/>
    </xf>
    <xf numFmtId="0" fontId="1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1" fontId="14" fillId="11" borderId="0" xfId="0" applyNumberFormat="1" applyFont="1" applyFill="1" applyAlignment="1">
      <alignment horizontal="center" vertical="center" wrapText="1"/>
    </xf>
    <xf numFmtId="2" fontId="1" fillId="11" borderId="0" xfId="0" applyNumberFormat="1" applyFont="1" applyFill="1" applyAlignment="1">
      <alignment horizontal="center" vertical="center" wrapText="1"/>
    </xf>
    <xf numFmtId="166" fontId="1" fillId="11" borderId="0" xfId="0" applyNumberFormat="1" applyFont="1" applyFill="1" applyAlignment="1">
      <alignment horizontal="center" vertical="center" wrapText="1"/>
    </xf>
    <xf numFmtId="166" fontId="14" fillId="11" borderId="0" xfId="1" applyNumberFormat="1" applyFont="1" applyFill="1" applyBorder="1" applyAlignment="1">
      <alignment horizontal="center" vertical="center" wrapText="1"/>
    </xf>
    <xf numFmtId="2" fontId="14" fillId="11" borderId="0" xfId="1" applyNumberFormat="1" applyFont="1" applyFill="1" applyBorder="1" applyAlignment="1">
      <alignment horizontal="center" vertical="center" wrapText="1"/>
    </xf>
    <xf numFmtId="165" fontId="1" fillId="11" borderId="0" xfId="0" applyNumberFormat="1" applyFont="1" applyFill="1" applyAlignment="1">
      <alignment horizontal="center" vertical="center" wrapText="1"/>
    </xf>
    <xf numFmtId="164" fontId="14" fillId="11" borderId="0" xfId="1" applyNumberFormat="1" applyFont="1" applyFill="1" applyBorder="1" applyAlignment="1">
      <alignment horizontal="center" vertical="center" wrapText="1"/>
    </xf>
    <xf numFmtId="164" fontId="1" fillId="11" borderId="0" xfId="2" applyNumberFormat="1" applyFont="1" applyFill="1" applyBorder="1" applyAlignment="1">
      <alignment horizontal="center" vertical="center" wrapText="1"/>
    </xf>
    <xf numFmtId="164" fontId="1" fillId="11" borderId="0" xfId="0" applyNumberFormat="1" applyFont="1" applyFill="1" applyAlignment="1">
      <alignment horizontal="center" vertical="center" wrapText="1"/>
    </xf>
    <xf numFmtId="165" fontId="1" fillId="11" borderId="0" xfId="2" applyNumberFormat="1" applyFont="1" applyFill="1" applyBorder="1" applyAlignment="1">
      <alignment horizontal="center" vertical="center" wrapText="1"/>
    </xf>
    <xf numFmtId="2" fontId="1" fillId="12" borderId="0" xfId="0" applyNumberFormat="1" applyFont="1" applyFill="1" applyAlignment="1">
      <alignment horizontal="center" wrapText="1"/>
    </xf>
    <xf numFmtId="1" fontId="24" fillId="11" borderId="0" xfId="8" applyNumberFormat="1" applyFont="1" applyFill="1" applyAlignment="1">
      <alignment horizontal="center" vertical="center" wrapText="1"/>
    </xf>
    <xf numFmtId="0" fontId="25" fillId="11" borderId="0" xfId="8" applyFont="1" applyFill="1" applyAlignment="1">
      <alignment horizontal="center" vertical="center" wrapText="1"/>
    </xf>
    <xf numFmtId="0" fontId="23" fillId="11" borderId="6" xfId="0" applyFont="1" applyFill="1" applyBorder="1" applyAlignment="1">
      <alignment vertical="center" wrapText="1"/>
    </xf>
    <xf numFmtId="166" fontId="25" fillId="11" borderId="0" xfId="1" applyNumberFormat="1" applyFont="1" applyFill="1" applyBorder="1" applyAlignment="1">
      <alignment horizontal="center" vertical="center" wrapText="1"/>
    </xf>
    <xf numFmtId="164" fontId="19" fillId="8" borderId="0" xfId="0" applyNumberFormat="1" applyFont="1" applyFill="1" applyAlignment="1">
      <alignment horizontal="center" wrapText="1"/>
    </xf>
    <xf numFmtId="0" fontId="19" fillId="11" borderId="0" xfId="0" applyFont="1" applyFill="1" applyAlignment="1">
      <alignment horizontal="center" vertical="center" wrapText="1"/>
    </xf>
    <xf numFmtId="165" fontId="26" fillId="11" borderId="0" xfId="2" applyNumberFormat="1" applyFont="1" applyFill="1" applyBorder="1" applyAlignment="1">
      <alignment horizontal="center" vertical="center" wrapText="1"/>
    </xf>
    <xf numFmtId="164" fontId="28" fillId="11" borderId="0" xfId="2" applyNumberFormat="1" applyFont="1" applyFill="1" applyBorder="1" applyAlignment="1">
      <alignment horizontal="center" vertical="center" wrapText="1"/>
    </xf>
    <xf numFmtId="2" fontId="20" fillId="11" borderId="0" xfId="2" applyNumberFormat="1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vertical="center" wrapText="1"/>
    </xf>
    <xf numFmtId="0" fontId="9" fillId="0" borderId="0" xfId="5"/>
    <xf numFmtId="1" fontId="31" fillId="0" borderId="5" xfId="0" applyNumberFormat="1" applyFont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31" fillId="15" borderId="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2" fillId="13" borderId="5" xfId="0" applyFont="1" applyFill="1" applyBorder="1" applyAlignment="1">
      <alignment horizontal="center"/>
    </xf>
    <xf numFmtId="0" fontId="32" fillId="12" borderId="5" xfId="0" applyFont="1" applyFill="1" applyBorder="1" applyAlignment="1">
      <alignment horizontal="center"/>
    </xf>
    <xf numFmtId="0" fontId="32" fillId="10" borderId="5" xfId="0" applyFont="1" applyFill="1" applyBorder="1" applyAlignment="1">
      <alignment horizontal="center"/>
    </xf>
    <xf numFmtId="0" fontId="33" fillId="13" borderId="0" xfId="5" applyFont="1" applyFill="1"/>
    <xf numFmtId="2" fontId="33" fillId="13" borderId="0" xfId="5" applyNumberFormat="1" applyFont="1" applyFill="1"/>
    <xf numFmtId="0" fontId="33" fillId="14" borderId="0" xfId="5" applyFont="1" applyFill="1"/>
    <xf numFmtId="2" fontId="33" fillId="14" borderId="0" xfId="5" applyNumberFormat="1" applyFont="1" applyFill="1"/>
    <xf numFmtId="0" fontId="0" fillId="15" borderId="0" xfId="0" applyFill="1"/>
    <xf numFmtId="0" fontId="9" fillId="16" borderId="1" xfId="5" applyFill="1" applyBorder="1" applyAlignment="1">
      <alignment horizontal="center" wrapText="1"/>
    </xf>
    <xf numFmtId="0" fontId="9" fillId="16" borderId="2" xfId="5" applyFill="1" applyBorder="1" applyAlignment="1">
      <alignment horizontal="center" wrapText="1"/>
    </xf>
    <xf numFmtId="0" fontId="9" fillId="16" borderId="7" xfId="5" applyFill="1" applyBorder="1" applyAlignment="1">
      <alignment horizontal="center" wrapText="1"/>
    </xf>
    <xf numFmtId="0" fontId="34" fillId="0" borderId="3" xfId="5" applyFont="1" applyBorder="1" applyAlignment="1">
      <alignment horizontal="center" vertical="top"/>
    </xf>
    <xf numFmtId="2" fontId="34" fillId="0" borderId="3" xfId="5" applyNumberFormat="1" applyFont="1" applyBorder="1" applyAlignment="1">
      <alignment horizontal="center" vertical="top"/>
    </xf>
    <xf numFmtId="0" fontId="34" fillId="2" borderId="3" xfId="5" applyFont="1" applyFill="1" applyBorder="1" applyAlignment="1">
      <alignment horizontal="center" vertical="top"/>
    </xf>
    <xf numFmtId="2" fontId="34" fillId="2" borderId="3" xfId="5" applyNumberFormat="1" applyFont="1" applyFill="1" applyBorder="1" applyAlignment="1">
      <alignment horizontal="center" vertical="top"/>
    </xf>
    <xf numFmtId="2" fontId="34" fillId="0" borderId="4" xfId="5" applyNumberFormat="1" applyFont="1" applyBorder="1" applyAlignment="1">
      <alignment horizontal="center" vertical="top"/>
    </xf>
    <xf numFmtId="2" fontId="34" fillId="2" borderId="4" xfId="5" applyNumberFormat="1" applyFont="1" applyFill="1" applyBorder="1" applyAlignment="1">
      <alignment horizontal="center" vertical="top"/>
    </xf>
    <xf numFmtId="0" fontId="34" fillId="7" borderId="3" xfId="5" applyFont="1" applyFill="1" applyBorder="1" applyAlignment="1">
      <alignment horizontal="center" vertical="top"/>
    </xf>
    <xf numFmtId="0" fontId="34" fillId="2" borderId="4" xfId="5" applyFont="1" applyFill="1" applyBorder="1" applyAlignment="1">
      <alignment horizontal="center" vertical="top"/>
    </xf>
    <xf numFmtId="1" fontId="31" fillId="17" borderId="5" xfId="0" applyNumberFormat="1" applyFont="1" applyFill="1" applyBorder="1" applyAlignment="1">
      <alignment horizontal="center" vertical="center"/>
    </xf>
    <xf numFmtId="1" fontId="35" fillId="0" borderId="5" xfId="0" applyNumberFormat="1" applyFont="1" applyBorder="1" applyAlignment="1">
      <alignment horizontal="center"/>
    </xf>
    <xf numFmtId="164" fontId="35" fillId="0" borderId="5" xfId="0" applyNumberFormat="1" applyFont="1" applyBorder="1" applyAlignment="1">
      <alignment horizontal="center"/>
    </xf>
    <xf numFmtId="0" fontId="22" fillId="14" borderId="0" xfId="0" applyFont="1" applyFill="1"/>
    <xf numFmtId="166" fontId="36" fillId="14" borderId="0" xfId="0" applyNumberFormat="1" applyFont="1" applyFill="1" applyAlignment="1">
      <alignment horizontal="center" vertical="center" wrapText="1"/>
    </xf>
    <xf numFmtId="1" fontId="38" fillId="14" borderId="0" xfId="1" applyNumberFormat="1" applyFont="1" applyFill="1" applyBorder="1" applyAlignment="1">
      <alignment horizontal="center" vertical="center" wrapText="1"/>
    </xf>
    <xf numFmtId="165" fontId="40" fillId="14" borderId="0" xfId="1" applyNumberFormat="1" applyFont="1" applyFill="1" applyBorder="1" applyAlignment="1">
      <alignment horizontal="center" vertical="center" wrapText="1"/>
    </xf>
    <xf numFmtId="164" fontId="40" fillId="14" borderId="0" xfId="1" applyNumberFormat="1" applyFont="1" applyFill="1" applyBorder="1" applyAlignment="1">
      <alignment horizontal="center" vertical="center" wrapText="1"/>
    </xf>
    <xf numFmtId="164" fontId="41" fillId="14" borderId="0" xfId="2" applyNumberFormat="1" applyFont="1" applyFill="1" applyBorder="1" applyAlignment="1">
      <alignment horizontal="center" vertical="center" wrapText="1"/>
    </xf>
    <xf numFmtId="2" fontId="36" fillId="14" borderId="0" xfId="2" applyNumberFormat="1" applyFont="1" applyFill="1" applyBorder="1" applyAlignment="1">
      <alignment horizontal="center" vertical="center" wrapText="1"/>
    </xf>
    <xf numFmtId="1" fontId="19" fillId="12" borderId="0" xfId="0" applyNumberFormat="1" applyFont="1" applyFill="1" applyAlignment="1">
      <alignment horizontal="center"/>
    </xf>
    <xf numFmtId="2" fontId="19" fillId="12" borderId="0" xfId="0" applyNumberFormat="1" applyFont="1" applyFill="1" applyAlignment="1">
      <alignment horizontal="center" wrapText="1"/>
    </xf>
    <xf numFmtId="164" fontId="19" fillId="7" borderId="0" xfId="0" applyNumberFormat="1" applyFont="1" applyFill="1" applyAlignment="1">
      <alignment horizontal="center" wrapText="1"/>
    </xf>
    <xf numFmtId="166" fontId="19" fillId="0" borderId="0" xfId="0" applyNumberFormat="1" applyFont="1" applyAlignment="1">
      <alignment horizontal="center" wrapText="1"/>
    </xf>
    <xf numFmtId="166" fontId="19" fillId="0" borderId="0" xfId="3" applyNumberFormat="1" applyFont="1" applyFill="1" applyBorder="1" applyAlignment="1">
      <alignment horizontal="center" wrapText="1"/>
    </xf>
    <xf numFmtId="165" fontId="19" fillId="9" borderId="0" xfId="0" applyNumberFormat="1" applyFont="1" applyFill="1" applyAlignment="1">
      <alignment horizontal="center"/>
    </xf>
    <xf numFmtId="1" fontId="19" fillId="13" borderId="0" xfId="0" applyNumberFormat="1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1" fontId="19" fillId="14" borderId="0" xfId="0" applyNumberFormat="1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2" fontId="46" fillId="4" borderId="0" xfId="2" applyNumberFormat="1" applyFont="1" applyBorder="1" applyAlignment="1">
      <alignment horizontal="center" vertical="center" wrapText="1"/>
    </xf>
    <xf numFmtId="0" fontId="36" fillId="8" borderId="0" xfId="0" applyFont="1" applyFill="1" applyAlignment="1">
      <alignment horizontal="center" vertical="center" wrapText="1"/>
    </xf>
    <xf numFmtId="0" fontId="35" fillId="8" borderId="0" xfId="0" applyFont="1" applyFill="1"/>
    <xf numFmtId="164" fontId="41" fillId="18" borderId="0" xfId="2" applyNumberFormat="1" applyFont="1" applyFill="1" applyBorder="1" applyAlignment="1">
      <alignment horizontal="center" vertical="center" wrapText="1"/>
    </xf>
    <xf numFmtId="2" fontId="41" fillId="14" borderId="0" xfId="2" applyNumberFormat="1" applyFont="1" applyFill="1" applyBorder="1" applyAlignment="1">
      <alignment horizontal="center" vertical="center" wrapText="1"/>
    </xf>
    <xf numFmtId="164" fontId="36" fillId="8" borderId="0" xfId="2" applyNumberFormat="1" applyFont="1" applyFill="1" applyBorder="1" applyAlignment="1">
      <alignment horizontal="center" vertical="center" wrapText="1"/>
    </xf>
    <xf numFmtId="164" fontId="1" fillId="18" borderId="0" xfId="0" applyNumberFormat="1" applyFont="1" applyFill="1" applyAlignment="1">
      <alignment horizontal="center" wrapText="1"/>
    </xf>
    <xf numFmtId="1" fontId="14" fillId="0" borderId="0" xfId="0" applyNumberFormat="1" applyFont="1" applyAlignment="1">
      <alignment horizontal="center" wrapText="1"/>
    </xf>
    <xf numFmtId="2" fontId="31" fillId="0" borderId="0" xfId="0" applyNumberFormat="1" applyFont="1"/>
    <xf numFmtId="166" fontId="31" fillId="0" borderId="0" xfId="0" applyNumberFormat="1" applyFont="1"/>
    <xf numFmtId="0" fontId="52" fillId="8" borderId="0" xfId="0" applyFont="1" applyFill="1" applyAlignment="1">
      <alignment horizontal="center" vertical="center" wrapText="1"/>
    </xf>
    <xf numFmtId="0" fontId="31" fillId="22" borderId="5" xfId="0" applyFont="1" applyFill="1" applyBorder="1" applyAlignment="1">
      <alignment horizontal="center" vertical="center"/>
    </xf>
    <xf numFmtId="0" fontId="31" fillId="22" borderId="5" xfId="0" applyFont="1" applyFill="1" applyBorder="1" applyAlignment="1">
      <alignment horizontal="center"/>
    </xf>
    <xf numFmtId="164" fontId="56" fillId="7" borderId="0" xfId="0" applyNumberFormat="1" applyFont="1" applyFill="1" applyAlignment="1">
      <alignment horizontal="center" wrapText="1"/>
    </xf>
    <xf numFmtId="166" fontId="56" fillId="0" borderId="0" xfId="0" applyNumberFormat="1" applyFont="1" applyAlignment="1">
      <alignment horizontal="center" wrapText="1"/>
    </xf>
    <xf numFmtId="166" fontId="56" fillId="0" borderId="0" xfId="3" applyNumberFormat="1" applyFont="1" applyFill="1" applyBorder="1" applyAlignment="1">
      <alignment horizontal="center" wrapText="1"/>
    </xf>
    <xf numFmtId="2" fontId="56" fillId="0" borderId="0" xfId="0" applyNumberFormat="1" applyFont="1" applyAlignment="1">
      <alignment horizontal="center" wrapText="1"/>
    </xf>
    <xf numFmtId="165" fontId="56" fillId="9" borderId="0" xfId="0" applyNumberFormat="1" applyFont="1" applyFill="1" applyAlignment="1">
      <alignment horizontal="center"/>
    </xf>
    <xf numFmtId="164" fontId="56" fillId="0" borderId="0" xfId="0" applyNumberFormat="1" applyFont="1" applyAlignment="1">
      <alignment horizontal="center" wrapText="1"/>
    </xf>
    <xf numFmtId="164" fontId="56" fillId="8" borderId="0" xfId="0" applyNumberFormat="1" applyFont="1" applyFill="1" applyAlignment="1">
      <alignment horizontal="center" wrapText="1"/>
    </xf>
    <xf numFmtId="165" fontId="56" fillId="0" borderId="0" xfId="0" applyNumberFormat="1" applyFont="1" applyAlignment="1">
      <alignment horizontal="center" wrapText="1"/>
    </xf>
    <xf numFmtId="2" fontId="58" fillId="7" borderId="3" xfId="5" applyNumberFormat="1" applyFont="1" applyFill="1" applyBorder="1" applyAlignment="1">
      <alignment horizontal="center" vertical="top"/>
    </xf>
    <xf numFmtId="0" fontId="59" fillId="23" borderId="5" xfId="0" applyFont="1" applyFill="1" applyBorder="1" applyAlignment="1">
      <alignment horizontal="center" vertical="center"/>
    </xf>
    <xf numFmtId="49" fontId="60" fillId="23" borderId="5" xfId="0" applyNumberFormat="1" applyFont="1" applyFill="1" applyBorder="1" applyAlignment="1">
      <alignment horizontal="center" vertical="center"/>
    </xf>
    <xf numFmtId="0" fontId="60" fillId="23" borderId="5" xfId="0" applyFont="1" applyFill="1" applyBorder="1" applyAlignment="1">
      <alignment horizontal="center" vertical="center"/>
    </xf>
    <xf numFmtId="1" fontId="0" fillId="15" borderId="5" xfId="0" applyNumberFormat="1" applyFill="1" applyBorder="1" applyAlignment="1">
      <alignment horizontal="center"/>
    </xf>
    <xf numFmtId="0" fontId="31" fillId="9" borderId="5" xfId="0" applyFont="1" applyFill="1" applyBorder="1" applyAlignment="1">
      <alignment horizontal="center"/>
    </xf>
    <xf numFmtId="1" fontId="31" fillId="9" borderId="5" xfId="0" applyNumberFormat="1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31" fillId="13" borderId="5" xfId="0" applyFont="1" applyFill="1" applyBorder="1" applyAlignment="1">
      <alignment horizontal="center"/>
    </xf>
    <xf numFmtId="1" fontId="0" fillId="13" borderId="5" xfId="0" applyNumberForma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2" fontId="0" fillId="13" borderId="5" xfId="0" applyNumberFormat="1" applyFill="1" applyBorder="1" applyAlignment="1">
      <alignment horizontal="center"/>
    </xf>
    <xf numFmtId="0" fontId="31" fillId="13" borderId="5" xfId="0" applyFont="1" applyFill="1" applyBorder="1" applyAlignment="1">
      <alignment horizontal="center" vertical="center"/>
    </xf>
    <xf numFmtId="1" fontId="0" fillId="13" borderId="5" xfId="0" applyNumberForma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2" fontId="0" fillId="13" borderId="5" xfId="0" applyNumberFormat="1" applyFill="1" applyBorder="1" applyAlignment="1">
      <alignment horizontal="center" vertical="center"/>
    </xf>
    <xf numFmtId="0" fontId="58" fillId="7" borderId="3" xfId="5" applyFont="1" applyFill="1" applyBorder="1" applyAlignment="1">
      <alignment horizontal="center" vertical="top"/>
    </xf>
    <xf numFmtId="2" fontId="34" fillId="7" borderId="3" xfId="5" applyNumberFormat="1" applyFont="1" applyFill="1" applyBorder="1" applyAlignment="1">
      <alignment horizontal="center" vertical="top"/>
    </xf>
    <xf numFmtId="0" fontId="32" fillId="7" borderId="5" xfId="0" applyFont="1" applyFill="1" applyBorder="1" applyAlignment="1">
      <alignment horizontal="center"/>
    </xf>
    <xf numFmtId="0" fontId="51" fillId="12" borderId="5" xfId="0" applyFont="1" applyFill="1" applyBorder="1" applyAlignment="1">
      <alignment horizontal="center" vertical="center"/>
    </xf>
    <xf numFmtId="49" fontId="51" fillId="12" borderId="5" xfId="0" applyNumberFormat="1" applyFont="1" applyFill="1" applyBorder="1" applyAlignment="1">
      <alignment horizontal="center" vertical="center"/>
    </xf>
    <xf numFmtId="0" fontId="51" fillId="12" borderId="5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4" fontId="61" fillId="0" borderId="5" xfId="0" applyNumberFormat="1" applyFont="1" applyBorder="1" applyAlignment="1">
      <alignment horizontal="center"/>
    </xf>
    <xf numFmtId="0" fontId="22" fillId="7" borderId="0" xfId="0" applyFont="1" applyFill="1"/>
    <xf numFmtId="0" fontId="0" fillId="7" borderId="0" xfId="0" applyFill="1"/>
    <xf numFmtId="2" fontId="21" fillId="0" borderId="0" xfId="0" applyNumberFormat="1" applyFont="1"/>
    <xf numFmtId="0" fontId="20" fillId="0" borderId="0" xfId="0" applyFont="1" applyAlignment="1">
      <alignment horizontal="center" vertical="center" wrapText="1"/>
    </xf>
    <xf numFmtId="164" fontId="53" fillId="0" borderId="0" xfId="2" applyNumberFormat="1" applyFont="1" applyFill="1" applyBorder="1" applyAlignment="1">
      <alignment horizontal="center" vertical="center" wrapText="1"/>
    </xf>
    <xf numFmtId="2" fontId="1" fillId="4" borderId="0" xfId="2" applyNumberFormat="1" applyFont="1" applyBorder="1" applyAlignment="1">
      <alignment horizontal="center" vertical="center" wrapText="1"/>
    </xf>
    <xf numFmtId="166" fontId="52" fillId="0" borderId="0" xfId="0" applyNumberFormat="1" applyFont="1" applyAlignment="1">
      <alignment horizontal="center"/>
    </xf>
    <xf numFmtId="164" fontId="48" fillId="8" borderId="0" xfId="2" applyNumberFormat="1" applyFont="1" applyFill="1" applyBorder="1" applyAlignment="1">
      <alignment horizontal="center" vertical="center" wrapText="1"/>
    </xf>
    <xf numFmtId="164" fontId="52" fillId="0" borderId="0" xfId="0" applyNumberFormat="1" applyFont="1" applyAlignment="1">
      <alignment horizontal="center" wrapText="1"/>
    </xf>
    <xf numFmtId="0" fontId="1" fillId="18" borderId="0" xfId="0" applyFont="1" applyFill="1" applyAlignment="1">
      <alignment horizontal="center" vertical="center" wrapText="1"/>
    </xf>
    <xf numFmtId="166" fontId="63" fillId="11" borderId="0" xfId="0" applyNumberFormat="1" applyFont="1" applyFill="1" applyAlignment="1">
      <alignment horizontal="center" vertical="center" wrapText="1"/>
    </xf>
    <xf numFmtId="166" fontId="63" fillId="14" borderId="0" xfId="0" applyNumberFormat="1" applyFont="1" applyFill="1" applyAlignment="1">
      <alignment horizontal="center" vertical="center" wrapText="1"/>
    </xf>
    <xf numFmtId="164" fontId="9" fillId="0" borderId="0" xfId="5" applyNumberFormat="1"/>
    <xf numFmtId="0" fontId="0" fillId="15" borderId="6" xfId="0" applyFill="1" applyBorder="1" applyAlignment="1">
      <alignment horizontal="center"/>
    </xf>
    <xf numFmtId="166" fontId="61" fillId="0" borderId="0" xfId="0" applyNumberFormat="1" applyFont="1"/>
    <xf numFmtId="0" fontId="61" fillId="0" borderId="0" xfId="0" applyFont="1" applyAlignment="1">
      <alignment horizontal="center" vertical="center"/>
    </xf>
    <xf numFmtId="164" fontId="61" fillId="0" borderId="0" xfId="0" applyNumberFormat="1" applyFont="1"/>
    <xf numFmtId="2" fontId="61" fillId="0" borderId="0" xfId="0" applyNumberFormat="1" applyFont="1"/>
    <xf numFmtId="0" fontId="61" fillId="18" borderId="0" xfId="0" applyFont="1" applyFill="1" applyAlignment="1">
      <alignment horizontal="center" vertical="center"/>
    </xf>
    <xf numFmtId="0" fontId="61" fillId="0" borderId="0" xfId="0" applyFont="1"/>
    <xf numFmtId="164" fontId="61" fillId="0" borderId="0" xfId="0" applyNumberFormat="1" applyFont="1" applyAlignment="1">
      <alignment horizontal="right"/>
    </xf>
    <xf numFmtId="2" fontId="61" fillId="0" borderId="0" xfId="0" applyNumberFormat="1" applyFont="1" applyAlignment="1">
      <alignment horizontal="right"/>
    </xf>
    <xf numFmtId="166" fontId="61" fillId="0" borderId="0" xfId="0" applyNumberFormat="1" applyFont="1" applyAlignment="1">
      <alignment horizontal="right"/>
    </xf>
    <xf numFmtId="164" fontId="57" fillId="0" borderId="0" xfId="2" applyNumberFormat="1" applyFont="1" applyFill="1" applyBorder="1" applyAlignment="1">
      <alignment horizontal="right" vertical="center" wrapText="1"/>
    </xf>
    <xf numFmtId="0" fontId="31" fillId="15" borderId="8" xfId="0" applyFont="1" applyFill="1" applyBorder="1" applyAlignment="1">
      <alignment horizontal="center"/>
    </xf>
    <xf numFmtId="1" fontId="0" fillId="15" borderId="8" xfId="0" applyNumberFormat="1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51" fillId="23" borderId="0" xfId="0" applyFont="1" applyFill="1" applyAlignment="1">
      <alignment horizontal="center" vertical="center"/>
    </xf>
    <xf numFmtId="49" fontId="51" fillId="23" borderId="0" xfId="0" applyNumberFormat="1" applyFont="1" applyFill="1" applyAlignment="1">
      <alignment horizontal="center" vertical="center"/>
    </xf>
    <xf numFmtId="0" fontId="57" fillId="0" borderId="0" xfId="0" applyFont="1" applyAlignment="1">
      <alignment horizontal="right" vertical="center" wrapText="1"/>
    </xf>
    <xf numFmtId="0" fontId="50" fillId="0" borderId="0" xfId="0" applyFont="1" applyAlignment="1">
      <alignment horizontal="right" wrapText="1"/>
    </xf>
    <xf numFmtId="0" fontId="50" fillId="0" borderId="0" xfId="0" applyFont="1" applyAlignment="1">
      <alignment horizontal="right" vertical="top" wrapText="1"/>
    </xf>
    <xf numFmtId="164" fontId="48" fillId="0" borderId="0" xfId="2" applyNumberFormat="1" applyFont="1" applyFill="1" applyBorder="1" applyAlignment="1">
      <alignment horizontal="right" vertical="center" wrapText="1"/>
    </xf>
    <xf numFmtId="0" fontId="48" fillId="0" borderId="0" xfId="0" applyFont="1" applyAlignment="1">
      <alignment horizontal="right" vertical="center" wrapText="1"/>
    </xf>
    <xf numFmtId="164" fontId="48" fillId="4" borderId="0" xfId="2" applyNumberFormat="1" applyFont="1" applyBorder="1" applyAlignment="1">
      <alignment horizontal="center" vertical="center" wrapText="1"/>
    </xf>
    <xf numFmtId="0" fontId="48" fillId="19" borderId="0" xfId="0" applyFont="1" applyFill="1" applyAlignment="1">
      <alignment horizontal="center" vertical="center" wrapText="1"/>
    </xf>
    <xf numFmtId="0" fontId="50" fillId="8" borderId="0" xfId="0" applyFont="1" applyFill="1" applyAlignment="1">
      <alignment horizontal="center" vertical="center" wrapText="1"/>
    </xf>
    <xf numFmtId="0" fontId="50" fillId="21" borderId="0" xfId="0" applyFont="1" applyFill="1" applyAlignment="1">
      <alignment horizontal="center" vertical="center" wrapText="1"/>
    </xf>
    <xf numFmtId="0" fontId="50" fillId="20" borderId="0" xfId="0" applyFont="1" applyFill="1" applyAlignment="1">
      <alignment horizontal="center" vertical="center" wrapText="1"/>
    </xf>
  </cellXfs>
  <cellStyles count="9">
    <cellStyle name="20% - Accent6" xfId="1" builtinId="50"/>
    <cellStyle name="Accent3" xfId="2" builtinId="37"/>
    <cellStyle name="Bad" xfId="3" builtinId="27"/>
    <cellStyle name="Good" xfId="4" builtinId="26"/>
    <cellStyle name="Normal" xfId="0" builtinId="0"/>
    <cellStyle name="Normal 2" xfId="5" xr:uid="{00000000-0005-0000-0000-000005000000}"/>
    <cellStyle name="Normal 3" xfId="6" xr:uid="{00000000-0005-0000-0000-000006000000}"/>
    <cellStyle name="Normal 4" xfId="7" xr:uid="{00000000-0005-0000-0000-000007000000}"/>
    <cellStyle name="Normal_13C cal. blomst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E263"/>
  <sheetViews>
    <sheetView zoomScale="60" zoomScaleNormal="60" workbookViewId="0">
      <selection activeCell="AU15" sqref="AU15"/>
    </sheetView>
  </sheetViews>
  <sheetFormatPr defaultColWidth="9.140625" defaultRowHeight="12.75"/>
  <cols>
    <col min="1" max="1" width="9.140625" style="18"/>
    <col min="2" max="2" width="10.7109375" style="18" customWidth="1"/>
    <col min="3" max="3" width="8.85546875" style="18" customWidth="1"/>
    <col min="4" max="4" width="13.42578125" style="18" customWidth="1"/>
    <col min="5" max="5" width="12.85546875" style="18" customWidth="1"/>
    <col min="6" max="6" width="10.140625" style="18" customWidth="1"/>
    <col min="7" max="7" width="10.42578125" style="18" customWidth="1"/>
    <col min="8" max="8" width="12.140625" style="18" customWidth="1"/>
    <col min="9" max="9" width="9.42578125" style="18" customWidth="1"/>
    <col min="10" max="10" width="13.5703125" style="18" customWidth="1"/>
    <col min="11" max="11" width="15.28515625" style="18" customWidth="1"/>
    <col min="12" max="12" width="7.28515625" style="18" customWidth="1"/>
    <col min="13" max="13" width="7.7109375" style="18" customWidth="1"/>
    <col min="14" max="14" width="3.42578125" style="18" customWidth="1"/>
    <col min="15" max="15" width="4.28515625" style="18" customWidth="1"/>
    <col min="16" max="16" width="3.85546875" style="18" customWidth="1"/>
    <col min="17" max="17" width="9.140625" style="31"/>
    <col min="18" max="18" width="9.140625" style="13" customWidth="1"/>
    <col min="19" max="19" width="10.85546875" style="13" customWidth="1"/>
    <col min="20" max="20" width="11.28515625" style="18" customWidth="1"/>
    <col min="21" max="21" width="32.85546875" style="18" customWidth="1"/>
    <col min="22" max="24" width="9.140625" style="18"/>
    <col min="25" max="25" width="9.140625" style="31"/>
    <col min="26" max="35" width="9.140625" style="18"/>
    <col min="36" max="36" width="9.140625" style="26"/>
    <col min="37" max="38" width="9.140625" style="19"/>
    <col min="39" max="40" width="9.140625" style="28"/>
    <col min="41" max="42" width="9.140625" style="30"/>
    <col min="43" max="43" width="9.140625" style="28"/>
    <col min="44" max="44" width="9.42578125" style="26" bestFit="1" customWidth="1"/>
    <col min="45" max="45" width="9.140625" style="21"/>
    <col min="46" max="46" width="8.140625" style="23" customWidth="1"/>
    <col min="47" max="47" width="9.42578125" style="23" bestFit="1" customWidth="1"/>
    <col min="48" max="48" width="10" style="20" customWidth="1"/>
    <col min="49" max="49" width="11.42578125" style="23" customWidth="1"/>
    <col min="50" max="50" width="9.42578125" style="26" bestFit="1" customWidth="1"/>
    <col min="51" max="51" width="9.140625" style="26"/>
    <col min="52" max="52" width="9.140625" style="18"/>
    <col min="53" max="53" width="10.140625" style="18" customWidth="1"/>
    <col min="54" max="56" width="9.140625" style="18"/>
    <col min="57" max="57" width="12.28515625" style="18" customWidth="1"/>
    <col min="58" max="16384" width="9.140625" style="18"/>
  </cols>
  <sheetData>
    <row r="1" spans="1:57" s="17" customFormat="1" ht="45" customHeight="1">
      <c r="A1" s="149" t="s">
        <v>396</v>
      </c>
      <c r="B1" s="150" t="s">
        <v>397</v>
      </c>
      <c r="C1" s="149" t="s">
        <v>398</v>
      </c>
      <c r="D1" s="149" t="s">
        <v>399</v>
      </c>
      <c r="E1" s="149" t="s">
        <v>400</v>
      </c>
      <c r="F1" s="149" t="s">
        <v>401</v>
      </c>
      <c r="G1" s="149" t="s">
        <v>402</v>
      </c>
      <c r="H1" s="149" t="s">
        <v>403</v>
      </c>
      <c r="I1" s="149" t="s">
        <v>404</v>
      </c>
      <c r="J1" s="149" t="s">
        <v>405</v>
      </c>
      <c r="K1" s="151" t="s">
        <v>183</v>
      </c>
      <c r="L1" s="151" t="s">
        <v>406</v>
      </c>
      <c r="M1" s="151" t="s">
        <v>407</v>
      </c>
      <c r="N1" s="76"/>
      <c r="O1" s="76"/>
      <c r="P1" s="76"/>
      <c r="Q1" s="54" t="s">
        <v>56</v>
      </c>
      <c r="R1" s="55" t="s">
        <v>489</v>
      </c>
      <c r="S1" s="55" t="s">
        <v>488</v>
      </c>
      <c r="T1" s="39" t="s">
        <v>50</v>
      </c>
      <c r="U1" s="40" t="s">
        <v>0</v>
      </c>
      <c r="V1" s="41" t="s">
        <v>1</v>
      </c>
      <c r="W1" s="42" t="s">
        <v>2</v>
      </c>
      <c r="X1" s="41" t="s">
        <v>3</v>
      </c>
      <c r="Y1" s="43" t="s">
        <v>4</v>
      </c>
      <c r="Z1" s="41" t="s">
        <v>5</v>
      </c>
      <c r="AA1" s="42" t="s">
        <v>6</v>
      </c>
      <c r="AB1" s="42" t="s">
        <v>7</v>
      </c>
      <c r="AC1" s="42" t="s">
        <v>6</v>
      </c>
      <c r="AD1" s="42" t="s">
        <v>8</v>
      </c>
      <c r="AE1" s="42" t="s">
        <v>9</v>
      </c>
      <c r="AF1" s="42" t="s">
        <v>10</v>
      </c>
      <c r="AG1" s="42" t="s">
        <v>11</v>
      </c>
      <c r="AH1" s="42" t="s">
        <v>12</v>
      </c>
      <c r="AI1" s="41" t="s">
        <v>13</v>
      </c>
      <c r="AJ1" s="44" t="s">
        <v>14</v>
      </c>
      <c r="AK1" s="41" t="s">
        <v>52</v>
      </c>
      <c r="AL1" s="41" t="s">
        <v>53</v>
      </c>
      <c r="AM1" s="45" t="s">
        <v>42</v>
      </c>
      <c r="AN1" s="45" t="s">
        <v>43</v>
      </c>
      <c r="AO1" s="57" t="s">
        <v>107</v>
      </c>
      <c r="AP1" s="57" t="s">
        <v>108</v>
      </c>
      <c r="AQ1" s="46" t="s">
        <v>51</v>
      </c>
      <c r="AR1" s="47" t="s">
        <v>45</v>
      </c>
      <c r="AS1" s="48" t="s">
        <v>46</v>
      </c>
      <c r="AT1" s="49" t="s">
        <v>47</v>
      </c>
      <c r="AU1" s="50" t="s">
        <v>49</v>
      </c>
      <c r="AV1" s="41" t="s">
        <v>44</v>
      </c>
      <c r="AW1" s="61" t="s">
        <v>109</v>
      </c>
      <c r="AX1" s="62" t="s">
        <v>110</v>
      </c>
      <c r="AY1" s="47" t="s">
        <v>48</v>
      </c>
      <c r="AZ1" s="48" t="s">
        <v>58</v>
      </c>
      <c r="BA1" s="51" t="s">
        <v>59</v>
      </c>
      <c r="BB1" s="52" t="s">
        <v>60</v>
      </c>
      <c r="BC1" s="59" t="s">
        <v>61</v>
      </c>
      <c r="BD1" s="60" t="s">
        <v>122</v>
      </c>
      <c r="BE1" s="52" t="s">
        <v>123</v>
      </c>
    </row>
    <row r="2" spans="1:57" s="17" customFormat="1" ht="45" customHeight="1">
      <c r="A2" s="131"/>
      <c r="B2" s="132"/>
      <c r="C2" s="133"/>
      <c r="D2" s="133"/>
      <c r="E2" s="133"/>
      <c r="F2" s="133"/>
      <c r="G2" s="133"/>
      <c r="H2" s="133"/>
      <c r="I2" s="133"/>
      <c r="J2" s="133"/>
      <c r="K2" s="131"/>
      <c r="L2" s="131"/>
      <c r="M2" s="133"/>
      <c r="N2" s="76"/>
      <c r="O2" s="76"/>
      <c r="P2" s="76"/>
      <c r="Q2" s="54"/>
      <c r="R2" s="55"/>
      <c r="S2" s="55"/>
      <c r="T2" s="77" t="s">
        <v>50</v>
      </c>
      <c r="U2" s="78" t="s">
        <v>0</v>
      </c>
      <c r="V2" s="77" t="s">
        <v>124</v>
      </c>
      <c r="W2" s="79" t="s">
        <v>125</v>
      </c>
      <c r="X2" s="77" t="s">
        <v>124</v>
      </c>
      <c r="Y2" s="79" t="s">
        <v>24</v>
      </c>
      <c r="Z2" s="41"/>
      <c r="AA2" s="42"/>
      <c r="AB2" s="42"/>
      <c r="AC2" s="42"/>
      <c r="AD2" s="42"/>
      <c r="AE2" s="42"/>
      <c r="AF2" s="42"/>
      <c r="AG2" s="42"/>
      <c r="AH2" s="42"/>
      <c r="AI2" s="41"/>
      <c r="AJ2" s="44"/>
      <c r="AK2" s="91" t="s">
        <v>136</v>
      </c>
      <c r="AL2" s="91" t="s">
        <v>137</v>
      </c>
      <c r="AM2" s="92" t="s">
        <v>138</v>
      </c>
      <c r="AN2" s="92" t="s">
        <v>138</v>
      </c>
      <c r="AO2" s="92"/>
      <c r="AP2" s="92"/>
      <c r="AQ2" s="93" t="s">
        <v>139</v>
      </c>
      <c r="AR2" s="93" t="s">
        <v>140</v>
      </c>
      <c r="AS2" s="94" t="s">
        <v>141</v>
      </c>
      <c r="AT2" s="95" t="s">
        <v>142</v>
      </c>
      <c r="AU2" s="96" t="s">
        <v>143</v>
      </c>
      <c r="AV2" s="96" t="s">
        <v>144</v>
      </c>
      <c r="AW2" s="96" t="s">
        <v>144</v>
      </c>
      <c r="AX2" s="97" t="s">
        <v>145</v>
      </c>
      <c r="AY2" s="96"/>
      <c r="AZ2" s="97"/>
      <c r="BA2" s="51"/>
      <c r="BB2" s="52"/>
      <c r="BC2" s="59"/>
      <c r="BD2" s="60"/>
      <c r="BE2" s="52"/>
    </row>
    <row r="3" spans="1:57" ht="15.75">
      <c r="A3" s="67">
        <v>1</v>
      </c>
      <c r="B3" s="134">
        <v>1</v>
      </c>
      <c r="C3" s="66" t="s">
        <v>408</v>
      </c>
      <c r="D3" s="66" t="s">
        <v>409</v>
      </c>
      <c r="E3" s="66" t="s">
        <v>410</v>
      </c>
      <c r="F3" s="66" t="s">
        <v>411</v>
      </c>
      <c r="G3" s="66">
        <v>1</v>
      </c>
      <c r="H3" s="66" t="s">
        <v>412</v>
      </c>
      <c r="I3" s="66">
        <v>100</v>
      </c>
      <c r="J3" s="66">
        <v>10.07</v>
      </c>
      <c r="K3" s="66">
        <v>30</v>
      </c>
      <c r="L3" s="66" t="s">
        <v>62</v>
      </c>
      <c r="M3" s="66">
        <v>1</v>
      </c>
      <c r="N3"/>
      <c r="O3"/>
      <c r="P3"/>
      <c r="Q3" s="108">
        <v>10</v>
      </c>
      <c r="R3" s="53">
        <v>8</v>
      </c>
      <c r="S3" s="53">
        <f t="shared" ref="S3" si="0">Q3-R3</f>
        <v>2</v>
      </c>
      <c r="T3" s="80">
        <v>108</v>
      </c>
      <c r="U3" s="80" t="s">
        <v>188</v>
      </c>
      <c r="V3" s="81">
        <v>7.0119815000000001</v>
      </c>
      <c r="W3" s="81">
        <v>-1.8850745075762121</v>
      </c>
      <c r="X3" s="81">
        <v>6.0770435000000003</v>
      </c>
      <c r="Y3" s="81">
        <v>-26.597803654815436</v>
      </c>
      <c r="Z3" s="69" t="s">
        <v>54</v>
      </c>
      <c r="AA3" s="73">
        <v>5.5661983611111108</v>
      </c>
      <c r="AB3" s="73">
        <v>3.0248816727959098</v>
      </c>
      <c r="AC3" s="73">
        <v>3.9982883888888887</v>
      </c>
      <c r="AD3" s="73">
        <v>-25.508901929003891</v>
      </c>
      <c r="AE3" s="73">
        <v>2.2461111111111109</v>
      </c>
      <c r="AF3" s="73">
        <v>2.2461111111111109</v>
      </c>
      <c r="AG3" s="32">
        <f t="shared" ref="AG3" si="1">((2.82/100)*AE3)/AA3</f>
        <v>1.1379460310984945E-2</v>
      </c>
      <c r="AH3" s="32">
        <f t="shared" ref="AH3" si="2">((46.01/100)*AF3)/AC3</f>
        <v>0.25846953038557846</v>
      </c>
      <c r="AI3" s="33">
        <f t="shared" ref="AI3" si="3">V3*AG3</f>
        <v>7.9792565180610689E-2</v>
      </c>
      <c r="AJ3" s="34">
        <f t="shared" ref="AJ3" si="4">X3*AH3</f>
        <v>1.5707305795777322</v>
      </c>
      <c r="AK3" s="16">
        <f t="shared" ref="AK3" si="5">((AI3/K3)*(100+S3))/(R3)</f>
        <v>3.3911840201759545E-2</v>
      </c>
      <c r="AL3" s="16">
        <f>((AJ3/K3)*(100+S3))/(R3)</f>
        <v>0.66756049632053616</v>
      </c>
      <c r="AM3" s="27">
        <f t="shared" ref="AM3" si="6">AK3*1000</f>
        <v>33.911840201759546</v>
      </c>
      <c r="AN3" s="27">
        <f t="shared" ref="AN3" si="7">AL3*1000</f>
        <v>667.56049632053612</v>
      </c>
      <c r="AO3" s="29" t="e">
        <f>AI3*100/Z3</f>
        <v>#VALUE!</v>
      </c>
      <c r="AP3" s="29" t="e">
        <f>AJ3*100/Z3</f>
        <v>#VALUE!</v>
      </c>
      <c r="AQ3" s="27">
        <f t="shared" ref="AQ3" si="8">AJ3/AI3</f>
        <v>19.685174627766123</v>
      </c>
      <c r="AR3" s="14">
        <f t="shared" ref="AR3" si="9">W3+(1.98-AB3)</f>
        <v>-2.9299561803721219</v>
      </c>
      <c r="AS3" s="25">
        <v>0.36620000000000003</v>
      </c>
      <c r="AT3" s="22">
        <f t="shared" ref="AT3" si="10">100*0.003676*(AR3/1000+1)/(1+0.003676*(AR3/1000+1))</f>
        <v>0.36518446324736814</v>
      </c>
      <c r="AU3" s="22">
        <f t="shared" ref="AU3" si="11">AT3-AS3</f>
        <v>-1.0155367526318848E-3</v>
      </c>
      <c r="AV3" s="15"/>
      <c r="AW3" s="22"/>
      <c r="AX3" s="34">
        <f t="shared" ref="AX3" si="12">(((AI3*(AU3%))/AI3)*1000)*1000</f>
        <v>-10.155367526318848</v>
      </c>
      <c r="AY3" s="14">
        <f t="shared" ref="AY3" si="13">Y3+(-26.03-AD3)</f>
        <v>-27.118901725811547</v>
      </c>
      <c r="AZ3" s="25">
        <v>1.0819000000000001</v>
      </c>
      <c r="BA3" s="22">
        <f>100*0.011237*(AY3/1000+1)/(1+0.011237*(AY3/1000+1))</f>
        <v>1.0814042919457443</v>
      </c>
      <c r="BB3" s="38">
        <f>BA3-AZ3</f>
        <v>-4.9570805425580566E-4</v>
      </c>
      <c r="BC3" s="58">
        <f t="shared" ref="BC3" si="14">1.12461*AL3+0.0077</f>
        <v>0.75844520976703833</v>
      </c>
      <c r="BD3" s="32">
        <f>((BB3%)*BC3)*1000</f>
        <v>-3.7596739919325498E-3</v>
      </c>
      <c r="BE3" s="38">
        <f>(((AJ3*(BB3%))/AJ3)*1000)*1000</f>
        <v>-4.9570805425580557</v>
      </c>
    </row>
    <row r="4" spans="1:57" ht="15.75">
      <c r="A4" s="67">
        <v>2</v>
      </c>
      <c r="B4" s="134">
        <v>1</v>
      </c>
      <c r="C4" s="66" t="s">
        <v>413</v>
      </c>
      <c r="D4" s="66" t="s">
        <v>414</v>
      </c>
      <c r="E4" s="66" t="s">
        <v>410</v>
      </c>
      <c r="F4" s="66" t="s">
        <v>411</v>
      </c>
      <c r="G4" s="66">
        <v>1</v>
      </c>
      <c r="H4" s="66" t="s">
        <v>412</v>
      </c>
      <c r="I4" s="66">
        <v>100</v>
      </c>
      <c r="J4" s="66">
        <v>13.13</v>
      </c>
      <c r="K4" s="66">
        <v>30</v>
      </c>
      <c r="L4" s="66" t="s">
        <v>63</v>
      </c>
      <c r="M4" s="66">
        <v>1</v>
      </c>
      <c r="N4"/>
      <c r="O4"/>
      <c r="P4"/>
      <c r="Q4" s="108">
        <v>10</v>
      </c>
      <c r="R4" s="53">
        <v>8</v>
      </c>
      <c r="S4" s="53">
        <f t="shared" ref="S4:S67" si="15">Q4-R4</f>
        <v>2</v>
      </c>
      <c r="T4" s="82">
        <v>109</v>
      </c>
      <c r="U4" s="82" t="s">
        <v>189</v>
      </c>
      <c r="V4" s="83">
        <v>2.1110625000000001</v>
      </c>
      <c r="W4" s="83">
        <v>5.6061078449213433</v>
      </c>
      <c r="X4" s="83">
        <v>1.0226019374999999</v>
      </c>
      <c r="Y4" s="83">
        <v>-27.368376919481584</v>
      </c>
      <c r="Z4" s="69" t="s">
        <v>54</v>
      </c>
      <c r="AA4" s="73">
        <v>5.5661983611111108</v>
      </c>
      <c r="AB4" s="73">
        <v>3.0248816727959098</v>
      </c>
      <c r="AC4" s="73">
        <v>3.9982883888888887</v>
      </c>
      <c r="AD4" s="73">
        <v>-25.508901929003891</v>
      </c>
      <c r="AE4" s="73">
        <v>2.2461111111111109</v>
      </c>
      <c r="AF4" s="73">
        <v>2.2461111111111109</v>
      </c>
      <c r="AG4" s="32">
        <f t="shared" ref="AG4:AG56" si="16">((2.82/100)*AE4)/AA4</f>
        <v>1.1379460310984945E-2</v>
      </c>
      <c r="AH4" s="32">
        <f t="shared" ref="AH4:AH56" si="17">((46.01/100)*AF4)/AC4</f>
        <v>0.25846953038557846</v>
      </c>
      <c r="AI4" s="33">
        <f t="shared" ref="AI4:AI56" si="18">V4*AG4</f>
        <v>2.4022751932758657E-2</v>
      </c>
      <c r="AJ4" s="34">
        <f t="shared" ref="AJ4:AJ56" si="19">X4*AH4</f>
        <v>0.26431144255700767</v>
      </c>
      <c r="AK4" s="16">
        <f t="shared" ref="AK4:AK56" si="20">((AI4/K4)*(100+S4))/(R4)</f>
        <v>1.020966957142243E-2</v>
      </c>
      <c r="AL4" s="16">
        <f t="shared" ref="AL4:AL56" si="21">((AJ4/K4)*(100+S4))/(R4)</f>
        <v>0.11233236308672825</v>
      </c>
      <c r="AM4" s="27">
        <f t="shared" ref="AM4:AM56" si="22">AK4*1000</f>
        <v>10.209669571422429</v>
      </c>
      <c r="AN4" s="27">
        <f t="shared" ref="AN4:AN56" si="23">AL4*1000</f>
        <v>112.33236308672825</v>
      </c>
      <c r="AO4" s="29" t="e">
        <f t="shared" ref="AO4:AO56" si="24">AI4*100/Z4</f>
        <v>#VALUE!</v>
      </c>
      <c r="AP4" s="29" t="e">
        <f t="shared" ref="AP4:AP56" si="25">AJ4*100/Z4</f>
        <v>#VALUE!</v>
      </c>
      <c r="AQ4" s="27">
        <f t="shared" ref="AQ4:AQ56" si="26">AJ4/AI4</f>
        <v>11.002546390056962</v>
      </c>
      <c r="AR4" s="14">
        <f t="shared" ref="AR4:AR56" si="27">W4+(1.98-AB4)</f>
        <v>4.5612261721254335</v>
      </c>
      <c r="AS4" s="25">
        <v>0.36620000000000003</v>
      </c>
      <c r="AT4" s="22">
        <f t="shared" ref="AT4:AT56" si="28">100*0.003676*(AR4/1000+1)/(1+0.003676*(AR4/1000+1))</f>
        <v>0.36791807100476237</v>
      </c>
      <c r="AU4" s="22">
        <f t="shared" ref="AU4:AU56" si="29">AT4-AS4</f>
        <v>1.7180710047623449E-3</v>
      </c>
      <c r="AV4" s="15"/>
      <c r="AW4" s="22"/>
      <c r="AX4" s="34">
        <f t="shared" ref="AX4:AX56" si="30">(((AI4*(AU4%))/AI4)*1000)*1000</f>
        <v>17.18071004762345</v>
      </c>
      <c r="AY4" s="14">
        <f t="shared" ref="AY4:AY56" si="31">Y4+(-26.03-AD4)</f>
        <v>-27.889474990477694</v>
      </c>
      <c r="AZ4" s="25">
        <v>1.0819000000000001</v>
      </c>
      <c r="BA4" s="22">
        <f t="shared" ref="BA4:BA56" si="32">100*0.011237*(AY4/1000+1)/(1+0.011237*(AY4/1000+1))</f>
        <v>1.0805570178624584</v>
      </c>
      <c r="BB4" s="38">
        <f t="shared" ref="BB4:BB56" si="33">BA4-AZ4</f>
        <v>-1.3429821375416928E-3</v>
      </c>
      <c r="BC4" s="15"/>
      <c r="BD4" s="38"/>
      <c r="BE4" s="38">
        <f t="shared" ref="BE4:BE56" si="34">(((AJ4*(BB4%))/AJ4)*1000)*1000</f>
        <v>-13.429821375416928</v>
      </c>
    </row>
    <row r="5" spans="1:57" ht="15.75">
      <c r="A5" s="67">
        <v>3</v>
      </c>
      <c r="B5" s="134">
        <v>1</v>
      </c>
      <c r="C5" s="66" t="s">
        <v>415</v>
      </c>
      <c r="D5" s="66" t="s">
        <v>416</v>
      </c>
      <c r="E5" s="66" t="s">
        <v>410</v>
      </c>
      <c r="F5" s="66" t="s">
        <v>411</v>
      </c>
      <c r="G5" s="66">
        <v>1</v>
      </c>
      <c r="H5" s="66" t="s">
        <v>412</v>
      </c>
      <c r="I5" s="66">
        <v>100</v>
      </c>
      <c r="J5" s="66">
        <v>11.63</v>
      </c>
      <c r="K5" s="66">
        <v>30</v>
      </c>
      <c r="L5" s="66" t="s">
        <v>64</v>
      </c>
      <c r="M5" s="66">
        <v>1</v>
      </c>
      <c r="N5"/>
      <c r="O5"/>
      <c r="P5"/>
      <c r="Q5" s="108">
        <v>10</v>
      </c>
      <c r="R5" s="53">
        <v>8</v>
      </c>
      <c r="S5" s="53">
        <f t="shared" si="15"/>
        <v>2</v>
      </c>
      <c r="T5" s="80">
        <v>110</v>
      </c>
      <c r="U5" s="80" t="s">
        <v>190</v>
      </c>
      <c r="V5" s="81">
        <v>0.83952281250000005</v>
      </c>
      <c r="W5" s="81">
        <v>9.4507451241286784</v>
      </c>
      <c r="X5" s="81">
        <v>0.57450674999999995</v>
      </c>
      <c r="Y5" s="81">
        <v>-29.632294259474516</v>
      </c>
      <c r="Z5" s="69" t="s">
        <v>54</v>
      </c>
      <c r="AA5" s="73">
        <v>5.5661983611111108</v>
      </c>
      <c r="AB5" s="73">
        <v>3.0248816727959098</v>
      </c>
      <c r="AC5" s="73">
        <v>3.9982883888888887</v>
      </c>
      <c r="AD5" s="73">
        <v>-25.508901929003891</v>
      </c>
      <c r="AE5" s="73">
        <v>2.2461111111111109</v>
      </c>
      <c r="AF5" s="73">
        <v>2.2461111111111109</v>
      </c>
      <c r="AG5" s="32">
        <f t="shared" si="16"/>
        <v>1.1379460310984945E-2</v>
      </c>
      <c r="AH5" s="32">
        <f t="shared" si="17"/>
        <v>0.25846953038557846</v>
      </c>
      <c r="AI5" s="33">
        <f t="shared" si="18"/>
        <v>9.5533165250102064E-3</v>
      </c>
      <c r="AJ5" s="34">
        <f t="shared" si="19"/>
        <v>0.14849248987584493</v>
      </c>
      <c r="AK5" s="16">
        <f t="shared" si="20"/>
        <v>4.0601595231293374E-3</v>
      </c>
      <c r="AL5" s="16">
        <f t="shared" si="21"/>
        <v>6.3109308197234093E-2</v>
      </c>
      <c r="AM5" s="27">
        <f t="shared" si="22"/>
        <v>4.0601595231293377</v>
      </c>
      <c r="AN5" s="27">
        <f t="shared" si="23"/>
        <v>63.109308197234093</v>
      </c>
      <c r="AO5" s="29" t="e">
        <f t="shared" si="24"/>
        <v>#VALUE!</v>
      </c>
      <c r="AP5" s="29" t="e">
        <f t="shared" si="25"/>
        <v>#VALUE!</v>
      </c>
      <c r="AQ5" s="27">
        <f t="shared" si="26"/>
        <v>15.543553852434119</v>
      </c>
      <c r="AR5" s="14">
        <f t="shared" si="27"/>
        <v>8.4058634513327686</v>
      </c>
      <c r="AS5" s="25">
        <v>0.36620000000000003</v>
      </c>
      <c r="AT5" s="22">
        <f t="shared" si="28"/>
        <v>0.36932095955670058</v>
      </c>
      <c r="AU5" s="22">
        <f t="shared" si="29"/>
        <v>3.1209595567005533E-3</v>
      </c>
      <c r="AV5" s="15"/>
      <c r="AW5" s="22"/>
      <c r="AX5" s="34">
        <f t="shared" si="30"/>
        <v>31.209595567005536</v>
      </c>
      <c r="AY5" s="14">
        <f t="shared" si="31"/>
        <v>-30.153392330470627</v>
      </c>
      <c r="AZ5" s="25">
        <v>1.0819000000000001</v>
      </c>
      <c r="BA5" s="22">
        <f t="shared" si="32"/>
        <v>1.07806767223087</v>
      </c>
      <c r="BB5" s="38">
        <f t="shared" si="33"/>
        <v>-3.8323277691301172E-3</v>
      </c>
      <c r="BC5" s="15"/>
      <c r="BD5" s="38"/>
      <c r="BE5" s="38">
        <f t="shared" si="34"/>
        <v>-38.323277691301172</v>
      </c>
    </row>
    <row r="6" spans="1:57" ht="15.75">
      <c r="A6" s="67">
        <v>4</v>
      </c>
      <c r="B6" s="134">
        <v>1</v>
      </c>
      <c r="C6" s="66" t="s">
        <v>417</v>
      </c>
      <c r="D6" s="66" t="s">
        <v>418</v>
      </c>
      <c r="E6" s="66" t="s">
        <v>410</v>
      </c>
      <c r="F6" s="66" t="s">
        <v>411</v>
      </c>
      <c r="G6" s="66">
        <v>1</v>
      </c>
      <c r="H6" s="66" t="s">
        <v>412</v>
      </c>
      <c r="I6" s="66">
        <v>100</v>
      </c>
      <c r="J6" s="66">
        <v>5.33</v>
      </c>
      <c r="K6" s="66">
        <v>30</v>
      </c>
      <c r="L6" s="66" t="s">
        <v>65</v>
      </c>
      <c r="M6" s="66">
        <v>1</v>
      </c>
      <c r="N6"/>
      <c r="O6"/>
      <c r="P6"/>
      <c r="Q6" s="108">
        <v>10</v>
      </c>
      <c r="R6" s="53">
        <v>8</v>
      </c>
      <c r="S6" s="53">
        <f t="shared" si="15"/>
        <v>2</v>
      </c>
      <c r="T6" s="82">
        <v>111</v>
      </c>
      <c r="U6" s="82" t="s">
        <v>191</v>
      </c>
      <c r="V6" s="83">
        <v>6.6161595000000002</v>
      </c>
      <c r="W6" s="83">
        <v>1.7708651047615154</v>
      </c>
      <c r="X6" s="83">
        <v>2.3699857500000001</v>
      </c>
      <c r="Y6" s="83">
        <v>-27.817652876228813</v>
      </c>
      <c r="Z6" s="69" t="s">
        <v>54</v>
      </c>
      <c r="AA6" s="73">
        <v>5.5661983611111108</v>
      </c>
      <c r="AB6" s="73">
        <v>3.0248816727959098</v>
      </c>
      <c r="AC6" s="73">
        <v>3.9982883888888887</v>
      </c>
      <c r="AD6" s="73">
        <v>-25.508901929003891</v>
      </c>
      <c r="AE6" s="73">
        <v>2.2461111111111109</v>
      </c>
      <c r="AF6" s="73">
        <v>2.2461111111111109</v>
      </c>
      <c r="AG6" s="32">
        <f t="shared" si="16"/>
        <v>1.1379460310984945E-2</v>
      </c>
      <c r="AH6" s="32">
        <f t="shared" si="17"/>
        <v>0.25846953038557846</v>
      </c>
      <c r="AI6" s="33">
        <f t="shared" si="18"/>
        <v>7.5288324441396007E-2</v>
      </c>
      <c r="AJ6" s="34">
        <f t="shared" si="19"/>
        <v>0.61256910382301299</v>
      </c>
      <c r="AK6" s="16">
        <f t="shared" si="20"/>
        <v>3.1997537887593304E-2</v>
      </c>
      <c r="AL6" s="16">
        <f t="shared" si="21"/>
        <v>0.26034186912478052</v>
      </c>
      <c r="AM6" s="27">
        <f t="shared" si="22"/>
        <v>31.997537887593303</v>
      </c>
      <c r="AN6" s="27">
        <f t="shared" si="23"/>
        <v>260.34186912478054</v>
      </c>
      <c r="AO6" s="29" t="e">
        <f t="shared" si="24"/>
        <v>#VALUE!</v>
      </c>
      <c r="AP6" s="29" t="e">
        <f t="shared" si="25"/>
        <v>#VALUE!</v>
      </c>
      <c r="AQ6" s="27">
        <f t="shared" si="26"/>
        <v>8.1363094260363464</v>
      </c>
      <c r="AR6" s="14">
        <f t="shared" si="27"/>
        <v>0.72598343196560555</v>
      </c>
      <c r="AS6" s="25">
        <v>0.36620000000000003</v>
      </c>
      <c r="AT6" s="22">
        <f t="shared" si="28"/>
        <v>0.36651857110855185</v>
      </c>
      <c r="AU6" s="22">
        <f t="shared" si="29"/>
        <v>3.1857110855182391E-4</v>
      </c>
      <c r="AV6" s="15"/>
      <c r="AW6" s="22"/>
      <c r="AX6" s="34">
        <f t="shared" si="30"/>
        <v>3.1857110855182396</v>
      </c>
      <c r="AY6" s="14">
        <f t="shared" si="31"/>
        <v>-28.338750947224923</v>
      </c>
      <c r="AZ6" s="25">
        <v>1.0819000000000001</v>
      </c>
      <c r="BA6" s="22">
        <f t="shared" si="32"/>
        <v>1.0800630154705135</v>
      </c>
      <c r="BB6" s="38">
        <f t="shared" si="33"/>
        <v>-1.8369845294865517E-3</v>
      </c>
      <c r="BC6" s="15"/>
      <c r="BD6" s="38"/>
      <c r="BE6" s="38">
        <f t="shared" si="34"/>
        <v>-18.369845294865517</v>
      </c>
    </row>
    <row r="7" spans="1:57" ht="15.75">
      <c r="A7" s="67">
        <v>5</v>
      </c>
      <c r="B7" s="134">
        <v>1</v>
      </c>
      <c r="C7" s="66" t="s">
        <v>419</v>
      </c>
      <c r="D7" s="66" t="s">
        <v>420</v>
      </c>
      <c r="E7" s="66" t="s">
        <v>410</v>
      </c>
      <c r="F7" s="66" t="s">
        <v>411</v>
      </c>
      <c r="G7" s="66">
        <v>1</v>
      </c>
      <c r="H7" s="66" t="s">
        <v>412</v>
      </c>
      <c r="I7" s="66">
        <v>100</v>
      </c>
      <c r="J7" s="66">
        <v>8.89</v>
      </c>
      <c r="K7" s="66">
        <v>30</v>
      </c>
      <c r="L7" s="66" t="s">
        <v>66</v>
      </c>
      <c r="M7" s="66">
        <v>1</v>
      </c>
      <c r="N7"/>
      <c r="O7"/>
      <c r="P7"/>
      <c r="Q7" s="108">
        <v>10</v>
      </c>
      <c r="R7" s="53">
        <v>8</v>
      </c>
      <c r="S7" s="53">
        <f t="shared" si="15"/>
        <v>2</v>
      </c>
      <c r="T7" s="80">
        <v>112</v>
      </c>
      <c r="U7" s="80" t="s">
        <v>192</v>
      </c>
      <c r="V7" s="81">
        <v>4.0043597499999999</v>
      </c>
      <c r="W7" s="81">
        <v>1.8241389295614003</v>
      </c>
      <c r="X7" s="81">
        <v>3.06855725</v>
      </c>
      <c r="Y7" s="81">
        <v>-28.00192881326263</v>
      </c>
      <c r="Z7" s="69" t="s">
        <v>54</v>
      </c>
      <c r="AA7" s="73">
        <v>5.5661983611111108</v>
      </c>
      <c r="AB7" s="73">
        <v>3.0248816727959098</v>
      </c>
      <c r="AC7" s="73">
        <v>3.9982883888888887</v>
      </c>
      <c r="AD7" s="73">
        <v>-25.508901929003891</v>
      </c>
      <c r="AE7" s="73">
        <v>2.2461111111111109</v>
      </c>
      <c r="AF7" s="73">
        <v>2.2461111111111109</v>
      </c>
      <c r="AG7" s="32">
        <f t="shared" si="16"/>
        <v>1.1379460310984945E-2</v>
      </c>
      <c r="AH7" s="32">
        <f t="shared" si="17"/>
        <v>0.25846953038557846</v>
      </c>
      <c r="AI7" s="33">
        <f t="shared" si="18"/>
        <v>4.5567452846030594E-2</v>
      </c>
      <c r="AJ7" s="34">
        <f t="shared" si="19"/>
        <v>0.79312855136876204</v>
      </c>
      <c r="AK7" s="16">
        <f t="shared" si="20"/>
        <v>1.9366167459563002E-2</v>
      </c>
      <c r="AL7" s="16">
        <f t="shared" si="21"/>
        <v>0.33707963433172389</v>
      </c>
      <c r="AM7" s="27">
        <f t="shared" si="22"/>
        <v>19.366167459563002</v>
      </c>
      <c r="AN7" s="27">
        <f t="shared" si="23"/>
        <v>337.07963433172387</v>
      </c>
      <c r="AO7" s="29" t="e">
        <f t="shared" si="24"/>
        <v>#VALUE!</v>
      </c>
      <c r="AP7" s="29" t="e">
        <f t="shared" si="25"/>
        <v>#VALUE!</v>
      </c>
      <c r="AQ7" s="27">
        <f t="shared" si="26"/>
        <v>17.405593287136124</v>
      </c>
      <c r="AR7" s="14">
        <f t="shared" si="27"/>
        <v>0.77925725676549051</v>
      </c>
      <c r="AS7" s="25">
        <v>0.36620000000000003</v>
      </c>
      <c r="AT7" s="22">
        <f t="shared" si="28"/>
        <v>0.3665380112718104</v>
      </c>
      <c r="AU7" s="22">
        <f t="shared" si="29"/>
        <v>3.3801127181037893E-4</v>
      </c>
      <c r="AV7" s="15"/>
      <c r="AW7" s="22"/>
      <c r="AX7" s="34">
        <f t="shared" si="30"/>
        <v>3.3801127181037893</v>
      </c>
      <c r="AY7" s="14">
        <f t="shared" si="31"/>
        <v>-28.523026884258741</v>
      </c>
      <c r="AZ7" s="25">
        <v>1.0819000000000001</v>
      </c>
      <c r="BA7" s="22">
        <f t="shared" si="32"/>
        <v>1.0798603930212383</v>
      </c>
      <c r="BB7" s="38">
        <f t="shared" si="33"/>
        <v>-2.039606978761821E-3</v>
      </c>
      <c r="BC7" s="15"/>
      <c r="BD7" s="38"/>
      <c r="BE7" s="38">
        <f t="shared" si="34"/>
        <v>-20.39606978761821</v>
      </c>
    </row>
    <row r="8" spans="1:57" ht="15.75">
      <c r="A8" s="67">
        <v>6</v>
      </c>
      <c r="B8" s="134">
        <v>1</v>
      </c>
      <c r="C8" s="66" t="s">
        <v>421</v>
      </c>
      <c r="D8" s="66" t="s">
        <v>422</v>
      </c>
      <c r="E8" s="66" t="s">
        <v>410</v>
      </c>
      <c r="F8" s="66" t="s">
        <v>411</v>
      </c>
      <c r="G8" s="66">
        <v>1</v>
      </c>
      <c r="H8" s="66" t="s">
        <v>412</v>
      </c>
      <c r="I8" s="66">
        <v>100</v>
      </c>
      <c r="J8" s="66">
        <v>10.89</v>
      </c>
      <c r="K8" s="66">
        <v>30</v>
      </c>
      <c r="L8" s="66" t="s">
        <v>67</v>
      </c>
      <c r="M8" s="66">
        <v>1</v>
      </c>
      <c r="N8"/>
      <c r="O8"/>
      <c r="P8"/>
      <c r="Q8" s="108">
        <v>10</v>
      </c>
      <c r="R8" s="53">
        <v>8</v>
      </c>
      <c r="S8" s="53">
        <f t="shared" si="15"/>
        <v>2</v>
      </c>
      <c r="T8" s="82">
        <v>113</v>
      </c>
      <c r="U8" s="82" t="s">
        <v>193</v>
      </c>
      <c r="V8" s="83">
        <v>8.1192659999999997</v>
      </c>
      <c r="W8" s="83">
        <v>2.1984388108644697</v>
      </c>
      <c r="X8" s="83">
        <v>6.8126620000000004</v>
      </c>
      <c r="Y8" s="83">
        <v>-27.495327384154173</v>
      </c>
      <c r="Z8" s="69" t="s">
        <v>54</v>
      </c>
      <c r="AA8" s="73">
        <v>5.5661983611111108</v>
      </c>
      <c r="AB8" s="73">
        <v>3.0248816727959098</v>
      </c>
      <c r="AC8" s="73">
        <v>3.9982883888888887</v>
      </c>
      <c r="AD8" s="73">
        <v>-25.508901929003891</v>
      </c>
      <c r="AE8" s="73">
        <v>2.2461111111111109</v>
      </c>
      <c r="AF8" s="73">
        <v>2.2461111111111109</v>
      </c>
      <c r="AG8" s="32">
        <f t="shared" si="16"/>
        <v>1.1379460310984945E-2</v>
      </c>
      <c r="AH8" s="32">
        <f t="shared" si="17"/>
        <v>0.25846953038557846</v>
      </c>
      <c r="AI8" s="33">
        <f t="shared" si="18"/>
        <v>9.2392865201329485E-2</v>
      </c>
      <c r="AJ8" s="34">
        <f t="shared" si="19"/>
        <v>1.7608655478156758</v>
      </c>
      <c r="AK8" s="16">
        <f t="shared" si="20"/>
        <v>3.926696771056503E-2</v>
      </c>
      <c r="AL8" s="16">
        <f t="shared" si="21"/>
        <v>0.74836785782166226</v>
      </c>
      <c r="AM8" s="27">
        <f t="shared" si="22"/>
        <v>39.266967710565034</v>
      </c>
      <c r="AN8" s="27">
        <f t="shared" si="23"/>
        <v>748.36785782166226</v>
      </c>
      <c r="AO8" s="29" t="e">
        <f t="shared" si="24"/>
        <v>#VALUE!</v>
      </c>
      <c r="AP8" s="29" t="e">
        <f t="shared" si="25"/>
        <v>#VALUE!</v>
      </c>
      <c r="AQ8" s="27">
        <f t="shared" si="26"/>
        <v>19.058458074426486</v>
      </c>
      <c r="AR8" s="14">
        <f t="shared" si="27"/>
        <v>1.1535571380685599</v>
      </c>
      <c r="AS8" s="25">
        <v>0.36620000000000003</v>
      </c>
      <c r="AT8" s="22">
        <f t="shared" si="28"/>
        <v>0.36667459691086712</v>
      </c>
      <c r="AU8" s="22">
        <f t="shared" si="29"/>
        <v>4.7459691086709777E-4</v>
      </c>
      <c r="AV8" s="15"/>
      <c r="AW8" s="22"/>
      <c r="AX8" s="34">
        <f t="shared" si="30"/>
        <v>4.7459691086709777</v>
      </c>
      <c r="AY8" s="14">
        <f t="shared" si="31"/>
        <v>-28.016425455150284</v>
      </c>
      <c r="AZ8" s="25">
        <v>1.0819000000000001</v>
      </c>
      <c r="BA8" s="22">
        <f t="shared" si="32"/>
        <v>1.0804174296927125</v>
      </c>
      <c r="BB8" s="38">
        <f t="shared" si="33"/>
        <v>-1.4825703072876006E-3</v>
      </c>
      <c r="BC8" s="15"/>
      <c r="BD8" s="38"/>
      <c r="BE8" s="38">
        <f t="shared" si="34"/>
        <v>-14.825703072876006</v>
      </c>
    </row>
    <row r="9" spans="1:57" ht="15.75">
      <c r="A9" s="67">
        <v>7</v>
      </c>
      <c r="B9" s="134">
        <v>1</v>
      </c>
      <c r="C9" s="66" t="s">
        <v>423</v>
      </c>
      <c r="D9" s="66" t="s">
        <v>424</v>
      </c>
      <c r="E9" s="66" t="s">
        <v>410</v>
      </c>
      <c r="F9" s="66" t="s">
        <v>411</v>
      </c>
      <c r="G9" s="66">
        <v>1</v>
      </c>
      <c r="H9" s="66" t="s">
        <v>412</v>
      </c>
      <c r="I9" s="66">
        <v>100</v>
      </c>
      <c r="J9" s="66">
        <v>7.66</v>
      </c>
      <c r="K9" s="66">
        <v>30</v>
      </c>
      <c r="L9" s="66" t="s">
        <v>68</v>
      </c>
      <c r="M9" s="66">
        <v>1</v>
      </c>
      <c r="N9"/>
      <c r="O9"/>
      <c r="P9"/>
      <c r="Q9" s="108">
        <v>10</v>
      </c>
      <c r="R9" s="53">
        <v>8</v>
      </c>
      <c r="S9" s="53">
        <f t="shared" si="15"/>
        <v>2</v>
      </c>
      <c r="T9" s="80">
        <v>114</v>
      </c>
      <c r="U9" s="80" t="s">
        <v>194</v>
      </c>
      <c r="V9" s="81">
        <v>4.5341690000000003</v>
      </c>
      <c r="W9" s="81">
        <v>8.585659962562513</v>
      </c>
      <c r="X9" s="81">
        <v>3.61554625</v>
      </c>
      <c r="Y9" s="81">
        <v>-28.099042804032475</v>
      </c>
      <c r="Z9" s="69" t="s">
        <v>54</v>
      </c>
      <c r="AA9" s="73">
        <v>5.5661983611111108</v>
      </c>
      <c r="AB9" s="73">
        <v>3.0248816727959098</v>
      </c>
      <c r="AC9" s="73">
        <v>3.9982883888888887</v>
      </c>
      <c r="AD9" s="73">
        <v>-25.508901929003891</v>
      </c>
      <c r="AE9" s="73">
        <v>2.2461111111111109</v>
      </c>
      <c r="AF9" s="73">
        <v>2.2461111111111109</v>
      </c>
      <c r="AG9" s="32">
        <f t="shared" si="16"/>
        <v>1.1379460310984945E-2</v>
      </c>
      <c r="AH9" s="32">
        <f t="shared" si="17"/>
        <v>0.25846953038557846</v>
      </c>
      <c r="AI9" s="33">
        <f t="shared" si="18"/>
        <v>5.1596396178798305E-2</v>
      </c>
      <c r="AJ9" s="34">
        <f t="shared" si="19"/>
        <v>0.93450854132483929</v>
      </c>
      <c r="AK9" s="16">
        <f t="shared" si="20"/>
        <v>2.1928468375989281E-2</v>
      </c>
      <c r="AL9" s="16">
        <f t="shared" si="21"/>
        <v>0.39716613006305668</v>
      </c>
      <c r="AM9" s="27">
        <f t="shared" si="22"/>
        <v>21.928468375989279</v>
      </c>
      <c r="AN9" s="27">
        <f t="shared" si="23"/>
        <v>397.1661300630567</v>
      </c>
      <c r="AO9" s="29" t="e">
        <f t="shared" si="24"/>
        <v>#VALUE!</v>
      </c>
      <c r="AP9" s="29" t="e">
        <f t="shared" si="25"/>
        <v>#VALUE!</v>
      </c>
      <c r="AQ9" s="27">
        <f t="shared" si="26"/>
        <v>18.111895607717699</v>
      </c>
      <c r="AR9" s="14">
        <f t="shared" si="27"/>
        <v>7.5407782897666031</v>
      </c>
      <c r="AS9" s="25">
        <v>0.36620000000000003</v>
      </c>
      <c r="AT9" s="22">
        <f t="shared" si="28"/>
        <v>0.36900529783415781</v>
      </c>
      <c r="AU9" s="22">
        <f t="shared" si="29"/>
        <v>2.8052978341577828E-3</v>
      </c>
      <c r="AV9" s="15"/>
      <c r="AW9" s="22"/>
      <c r="AX9" s="34">
        <f t="shared" si="30"/>
        <v>28.05297834157783</v>
      </c>
      <c r="AY9" s="14">
        <f t="shared" si="31"/>
        <v>-28.620140875028586</v>
      </c>
      <c r="AZ9" s="25">
        <v>1.0819000000000001</v>
      </c>
      <c r="BA9" s="22">
        <f t="shared" si="32"/>
        <v>1.0797536100275746</v>
      </c>
      <c r="BB9" s="38">
        <f t="shared" si="33"/>
        <v>-2.1463899724254443E-3</v>
      </c>
      <c r="BC9" s="15"/>
      <c r="BD9" s="38"/>
      <c r="BE9" s="38">
        <f t="shared" si="34"/>
        <v>-21.463899724254443</v>
      </c>
    </row>
    <row r="10" spans="1:57" ht="15.75">
      <c r="A10" s="67">
        <v>8</v>
      </c>
      <c r="B10" s="134">
        <v>1</v>
      </c>
      <c r="C10" s="66" t="s">
        <v>425</v>
      </c>
      <c r="D10" s="66" t="s">
        <v>426</v>
      </c>
      <c r="E10" s="66" t="s">
        <v>410</v>
      </c>
      <c r="F10" s="66" t="s">
        <v>411</v>
      </c>
      <c r="G10" s="66">
        <v>1</v>
      </c>
      <c r="H10" s="66" t="s">
        <v>412</v>
      </c>
      <c r="I10" s="66">
        <v>100</v>
      </c>
      <c r="J10" s="66">
        <v>13.98</v>
      </c>
      <c r="K10" s="66">
        <v>30</v>
      </c>
      <c r="L10" s="66" t="s">
        <v>69</v>
      </c>
      <c r="M10" s="66">
        <v>1</v>
      </c>
      <c r="N10"/>
      <c r="O10"/>
      <c r="P10"/>
      <c r="Q10" s="108">
        <v>10</v>
      </c>
      <c r="R10" s="53">
        <v>8</v>
      </c>
      <c r="S10" s="53">
        <f t="shared" si="15"/>
        <v>2</v>
      </c>
      <c r="T10" s="82">
        <v>115</v>
      </c>
      <c r="U10" s="82" t="s">
        <v>195</v>
      </c>
      <c r="V10" s="83">
        <v>0.44312962500000003</v>
      </c>
      <c r="W10" s="83">
        <v>17.513499445103992</v>
      </c>
      <c r="X10" s="83">
        <v>0.26993946875000002</v>
      </c>
      <c r="Y10" s="83">
        <v>-40.396883395377493</v>
      </c>
      <c r="Z10" s="69" t="s">
        <v>54</v>
      </c>
      <c r="AA10" s="73">
        <v>5.5661983611111108</v>
      </c>
      <c r="AB10" s="73">
        <v>3.0248816727959098</v>
      </c>
      <c r="AC10" s="73">
        <v>3.9982883888888887</v>
      </c>
      <c r="AD10" s="73">
        <v>-25.508901929003891</v>
      </c>
      <c r="AE10" s="73">
        <v>2.2461111111111109</v>
      </c>
      <c r="AF10" s="73">
        <v>2.2461111111111109</v>
      </c>
      <c r="AG10" s="32">
        <f t="shared" si="16"/>
        <v>1.1379460310984945E-2</v>
      </c>
      <c r="AH10" s="32">
        <f t="shared" si="17"/>
        <v>0.25846953038557846</v>
      </c>
      <c r="AI10" s="33">
        <f t="shared" si="18"/>
        <v>5.0425759803091426E-3</v>
      </c>
      <c r="AJ10" s="34">
        <f t="shared" si="19"/>
        <v>6.9771127720345036E-2</v>
      </c>
      <c r="AK10" s="16">
        <f t="shared" si="20"/>
        <v>2.1430947916313858E-3</v>
      </c>
      <c r="AL10" s="16">
        <f t="shared" si="21"/>
        <v>2.9652729281146643E-2</v>
      </c>
      <c r="AM10" s="27">
        <f t="shared" si="22"/>
        <v>2.1430947916313858</v>
      </c>
      <c r="AN10" s="27">
        <f t="shared" si="23"/>
        <v>29.652729281146645</v>
      </c>
      <c r="AO10" s="29" t="e">
        <f t="shared" si="24"/>
        <v>#VALUE!</v>
      </c>
      <c r="AP10" s="29" t="e">
        <f t="shared" si="25"/>
        <v>#VALUE!</v>
      </c>
      <c r="AQ10" s="27">
        <f t="shared" si="26"/>
        <v>13.836405835587948</v>
      </c>
      <c r="AR10" s="14">
        <f t="shared" si="27"/>
        <v>16.468617772308082</v>
      </c>
      <c r="AS10" s="25">
        <v>0.36620000000000003</v>
      </c>
      <c r="AT10" s="22">
        <f t="shared" si="28"/>
        <v>0.37226288922367612</v>
      </c>
      <c r="AU10" s="22">
        <f t="shared" si="29"/>
        <v>6.0628892236760934E-3</v>
      </c>
      <c r="AV10" s="15"/>
      <c r="AW10" s="22"/>
      <c r="AX10" s="34">
        <f t="shared" si="30"/>
        <v>60.628892236760933</v>
      </c>
      <c r="AY10" s="14">
        <f t="shared" si="31"/>
        <v>-40.917981466373604</v>
      </c>
      <c r="AZ10" s="25">
        <v>1.0819000000000001</v>
      </c>
      <c r="BA10" s="22">
        <f t="shared" si="32"/>
        <v>1.0662294908081813</v>
      </c>
      <c r="BB10" s="38">
        <f t="shared" si="33"/>
        <v>-1.5670509191818782E-2</v>
      </c>
      <c r="BC10" s="15"/>
      <c r="BD10" s="38"/>
      <c r="BE10" s="38">
        <f t="shared" si="34"/>
        <v>-156.70509191818783</v>
      </c>
    </row>
    <row r="11" spans="1:57" ht="15.75">
      <c r="A11" s="67">
        <v>9</v>
      </c>
      <c r="B11" s="134">
        <v>2</v>
      </c>
      <c r="C11" s="66" t="s">
        <v>408</v>
      </c>
      <c r="D11" s="66" t="s">
        <v>426</v>
      </c>
      <c r="E11" s="66" t="s">
        <v>410</v>
      </c>
      <c r="F11" s="66" t="s">
        <v>411</v>
      </c>
      <c r="G11" s="66">
        <v>2</v>
      </c>
      <c r="H11" s="66" t="s">
        <v>427</v>
      </c>
      <c r="I11" s="66">
        <v>100</v>
      </c>
      <c r="J11" s="66">
        <v>9.4</v>
      </c>
      <c r="K11" s="66">
        <v>30</v>
      </c>
      <c r="L11" s="66" t="s">
        <v>70</v>
      </c>
      <c r="M11" s="66">
        <v>1</v>
      </c>
      <c r="N11"/>
      <c r="O11"/>
      <c r="P11"/>
      <c r="Q11" s="108">
        <v>10</v>
      </c>
      <c r="R11" s="53">
        <v>8</v>
      </c>
      <c r="S11" s="53">
        <f t="shared" si="15"/>
        <v>2</v>
      </c>
      <c r="T11" s="80">
        <v>116</v>
      </c>
      <c r="U11" s="80" t="s">
        <v>196</v>
      </c>
      <c r="V11" s="81">
        <v>8.551266</v>
      </c>
      <c r="W11" s="81">
        <v>1500.8046578897192</v>
      </c>
      <c r="X11" s="81">
        <v>4.3230719999999998</v>
      </c>
      <c r="Y11" s="81">
        <v>4.4493282834368184</v>
      </c>
      <c r="Z11" s="69" t="s">
        <v>54</v>
      </c>
      <c r="AA11" s="73">
        <v>5.5661983611111108</v>
      </c>
      <c r="AB11" s="73">
        <v>3.0248816727959098</v>
      </c>
      <c r="AC11" s="73">
        <v>3.9982883888888887</v>
      </c>
      <c r="AD11" s="73">
        <v>-25.508901929003891</v>
      </c>
      <c r="AE11" s="73">
        <v>2.2461111111111109</v>
      </c>
      <c r="AF11" s="73">
        <v>2.2461111111111109</v>
      </c>
      <c r="AG11" s="32">
        <f t="shared" si="16"/>
        <v>1.1379460310984945E-2</v>
      </c>
      <c r="AH11" s="32">
        <f t="shared" si="17"/>
        <v>0.25846953038557846</v>
      </c>
      <c r="AI11" s="33">
        <f t="shared" si="18"/>
        <v>9.7308792055674984E-2</v>
      </c>
      <c r="AJ11" s="34">
        <f t="shared" si="19"/>
        <v>1.1173823896630435</v>
      </c>
      <c r="AK11" s="16">
        <f t="shared" si="20"/>
        <v>4.135623662366187E-2</v>
      </c>
      <c r="AL11" s="16">
        <f t="shared" si="21"/>
        <v>0.47488751560679349</v>
      </c>
      <c r="AM11" s="27">
        <f t="shared" si="22"/>
        <v>41.356236623661871</v>
      </c>
      <c r="AN11" s="27">
        <f t="shared" si="23"/>
        <v>474.8875156067935</v>
      </c>
      <c r="AO11" s="29" t="e">
        <f t="shared" si="24"/>
        <v>#VALUE!</v>
      </c>
      <c r="AP11" s="29" t="e">
        <f t="shared" si="25"/>
        <v>#VALUE!</v>
      </c>
      <c r="AQ11" s="27">
        <f t="shared" si="26"/>
        <v>11.482851303135444</v>
      </c>
      <c r="AR11" s="14">
        <f t="shared" si="27"/>
        <v>1499.7597762169232</v>
      </c>
      <c r="AS11" s="25">
        <v>0.36620000000000003</v>
      </c>
      <c r="AT11" s="22">
        <f t="shared" si="28"/>
        <v>0.91054459299561119</v>
      </c>
      <c r="AU11" s="22">
        <f t="shared" si="29"/>
        <v>0.54434459299561122</v>
      </c>
      <c r="AV11" s="15"/>
      <c r="AW11" s="22"/>
      <c r="AX11" s="34">
        <f t="shared" si="30"/>
        <v>5443.4459299561122</v>
      </c>
      <c r="AY11" s="14">
        <f t="shared" si="31"/>
        <v>3.9282302124407078</v>
      </c>
      <c r="AZ11" s="25">
        <v>1.0819000000000001</v>
      </c>
      <c r="BA11" s="22">
        <f t="shared" si="32"/>
        <v>1.115529703827842</v>
      </c>
      <c r="BB11" s="38">
        <f t="shared" si="33"/>
        <v>3.3629703827841917E-2</v>
      </c>
      <c r="BC11" s="15"/>
      <c r="BD11" s="38"/>
      <c r="BE11" s="38">
        <f t="shared" si="34"/>
        <v>336.29703827841917</v>
      </c>
    </row>
    <row r="12" spans="1:57" ht="15.75">
      <c r="A12" s="67">
        <v>10</v>
      </c>
      <c r="B12" s="134">
        <v>2</v>
      </c>
      <c r="C12" s="66" t="s">
        <v>413</v>
      </c>
      <c r="D12" s="66" t="s">
        <v>418</v>
      </c>
      <c r="E12" s="66" t="s">
        <v>410</v>
      </c>
      <c r="F12" s="66" t="s">
        <v>411</v>
      </c>
      <c r="G12" s="66">
        <v>2</v>
      </c>
      <c r="H12" s="66" t="s">
        <v>427</v>
      </c>
      <c r="I12" s="66">
        <v>100</v>
      </c>
      <c r="J12" s="66">
        <v>3.2</v>
      </c>
      <c r="K12" s="66">
        <v>30</v>
      </c>
      <c r="L12" s="66" t="s">
        <v>71</v>
      </c>
      <c r="M12" s="66">
        <v>1</v>
      </c>
      <c r="N12"/>
      <c r="O12"/>
      <c r="P12"/>
      <c r="Q12" s="108">
        <v>10</v>
      </c>
      <c r="R12" s="53">
        <v>8</v>
      </c>
      <c r="S12" s="53">
        <f t="shared" si="15"/>
        <v>2</v>
      </c>
      <c r="T12" s="82">
        <v>117</v>
      </c>
      <c r="U12" s="82" t="s">
        <v>197</v>
      </c>
      <c r="V12" s="83">
        <v>2.77913575</v>
      </c>
      <c r="W12" s="83">
        <v>1336.0967960726825</v>
      </c>
      <c r="X12" s="83">
        <v>1.7598235</v>
      </c>
      <c r="Y12" s="83">
        <v>10.689453081557824</v>
      </c>
      <c r="Z12" s="69" t="s">
        <v>54</v>
      </c>
      <c r="AA12" s="73">
        <v>5.5661983611111108</v>
      </c>
      <c r="AB12" s="73">
        <v>3.0248816727959098</v>
      </c>
      <c r="AC12" s="73">
        <v>3.9982883888888887</v>
      </c>
      <c r="AD12" s="73">
        <v>-25.508901929003891</v>
      </c>
      <c r="AE12" s="73">
        <v>2.2461111111111109</v>
      </c>
      <c r="AF12" s="73">
        <v>2.2461111111111109</v>
      </c>
      <c r="AG12" s="32">
        <f t="shared" si="16"/>
        <v>1.1379460310984945E-2</v>
      </c>
      <c r="AH12" s="32">
        <f t="shared" si="17"/>
        <v>0.25846953038557846</v>
      </c>
      <c r="AI12" s="33">
        <f t="shared" si="18"/>
        <v>3.1625064965964379E-2</v>
      </c>
      <c r="AJ12" s="34">
        <f t="shared" si="19"/>
        <v>0.45486075360650502</v>
      </c>
      <c r="AK12" s="16">
        <f t="shared" si="20"/>
        <v>1.344065261053486E-2</v>
      </c>
      <c r="AL12" s="16">
        <f t="shared" si="21"/>
        <v>0.19331582028276464</v>
      </c>
      <c r="AM12" s="27">
        <f t="shared" si="22"/>
        <v>13.44065261053486</v>
      </c>
      <c r="AN12" s="27">
        <f t="shared" si="23"/>
        <v>193.31582028276463</v>
      </c>
      <c r="AO12" s="29" t="e">
        <f t="shared" si="24"/>
        <v>#VALUE!</v>
      </c>
      <c r="AP12" s="29" t="e">
        <f t="shared" si="25"/>
        <v>#VALUE!</v>
      </c>
      <c r="AQ12" s="27">
        <f t="shared" si="26"/>
        <v>14.382919184388605</v>
      </c>
      <c r="AR12" s="14">
        <f t="shared" si="27"/>
        <v>1335.0519143998865</v>
      </c>
      <c r="AS12" s="25">
        <v>0.36620000000000003</v>
      </c>
      <c r="AT12" s="22">
        <f t="shared" si="28"/>
        <v>0.85105988285728884</v>
      </c>
      <c r="AU12" s="22">
        <f t="shared" si="29"/>
        <v>0.48485988285728882</v>
      </c>
      <c r="AV12" s="15"/>
      <c r="AW12" s="22"/>
      <c r="AX12" s="34">
        <f t="shared" si="30"/>
        <v>4848.5988285728881</v>
      </c>
      <c r="AY12" s="14">
        <f t="shared" si="31"/>
        <v>10.168355010561713</v>
      </c>
      <c r="AZ12" s="25">
        <v>1.0819000000000001</v>
      </c>
      <c r="BA12" s="22">
        <f t="shared" si="32"/>
        <v>1.1223856867486157</v>
      </c>
      <c r="BB12" s="38">
        <f t="shared" si="33"/>
        <v>4.0485686748615635E-2</v>
      </c>
      <c r="BC12" s="15"/>
      <c r="BD12" s="38"/>
      <c r="BE12" s="38">
        <f t="shared" si="34"/>
        <v>404.85686748615637</v>
      </c>
    </row>
    <row r="13" spans="1:57" ht="15.75">
      <c r="A13" s="67">
        <v>11</v>
      </c>
      <c r="B13" s="134">
        <v>2</v>
      </c>
      <c r="C13" s="66" t="s">
        <v>415</v>
      </c>
      <c r="D13" s="66" t="s">
        <v>416</v>
      </c>
      <c r="E13" s="66" t="s">
        <v>410</v>
      </c>
      <c r="F13" s="66" t="s">
        <v>411</v>
      </c>
      <c r="G13" s="66">
        <v>2</v>
      </c>
      <c r="H13" s="66" t="s">
        <v>427</v>
      </c>
      <c r="I13" s="66">
        <v>100</v>
      </c>
      <c r="J13" s="66">
        <v>7.69</v>
      </c>
      <c r="K13" s="66">
        <v>30</v>
      </c>
      <c r="L13" s="66" t="s">
        <v>72</v>
      </c>
      <c r="M13" s="66">
        <v>1</v>
      </c>
      <c r="N13"/>
      <c r="O13"/>
      <c r="P13"/>
      <c r="Q13" s="108">
        <v>10</v>
      </c>
      <c r="R13" s="53">
        <v>8</v>
      </c>
      <c r="S13" s="53">
        <f t="shared" si="15"/>
        <v>2</v>
      </c>
      <c r="T13" s="80">
        <v>118</v>
      </c>
      <c r="U13" s="80" t="s">
        <v>198</v>
      </c>
      <c r="V13" s="81">
        <v>9.6817390000000003</v>
      </c>
      <c r="W13" s="81">
        <v>904.00242294424481</v>
      </c>
      <c r="X13" s="81">
        <v>4.4663744999999997</v>
      </c>
      <c r="Y13" s="81">
        <v>-16.872632699834167</v>
      </c>
      <c r="Z13" s="69" t="s">
        <v>54</v>
      </c>
      <c r="AA13" s="73">
        <v>5.5661983611111108</v>
      </c>
      <c r="AB13" s="73">
        <v>3.0248816727959098</v>
      </c>
      <c r="AC13" s="73">
        <v>3.9982883888888887</v>
      </c>
      <c r="AD13" s="73">
        <v>-25.508901929003891</v>
      </c>
      <c r="AE13" s="73">
        <v>2.2461111111111109</v>
      </c>
      <c r="AF13" s="73">
        <v>2.2461111111111109</v>
      </c>
      <c r="AG13" s="32">
        <f t="shared" si="16"/>
        <v>1.1379460310984945E-2</v>
      </c>
      <c r="AH13" s="32">
        <f t="shared" si="17"/>
        <v>0.25846953038557846</v>
      </c>
      <c r="AI13" s="33">
        <f t="shared" si="18"/>
        <v>0.11017296469181508</v>
      </c>
      <c r="AJ13" s="34">
        <f t="shared" si="19"/>
        <v>1.1544217195411228</v>
      </c>
      <c r="AK13" s="16">
        <f t="shared" si="20"/>
        <v>4.6823509994021406E-2</v>
      </c>
      <c r="AL13" s="16">
        <f t="shared" si="21"/>
        <v>0.49062923080497722</v>
      </c>
      <c r="AM13" s="27">
        <f t="shared" si="22"/>
        <v>46.823509994021407</v>
      </c>
      <c r="AN13" s="27">
        <f t="shared" si="23"/>
        <v>490.62923080497723</v>
      </c>
      <c r="AO13" s="29" t="e">
        <f t="shared" si="24"/>
        <v>#VALUE!</v>
      </c>
      <c r="AP13" s="29" t="e">
        <f t="shared" si="25"/>
        <v>#VALUE!</v>
      </c>
      <c r="AQ13" s="27">
        <f t="shared" si="26"/>
        <v>10.478266812283456</v>
      </c>
      <c r="AR13" s="14">
        <f t="shared" si="27"/>
        <v>902.95754127144892</v>
      </c>
      <c r="AS13" s="25">
        <v>0.36620000000000003</v>
      </c>
      <c r="AT13" s="22">
        <f t="shared" si="28"/>
        <v>0.69466780200112743</v>
      </c>
      <c r="AU13" s="22">
        <f t="shared" si="29"/>
        <v>0.32846780200112741</v>
      </c>
      <c r="AV13" s="15"/>
      <c r="AW13" s="22"/>
      <c r="AX13" s="34">
        <f t="shared" si="30"/>
        <v>3284.6780200112739</v>
      </c>
      <c r="AY13" s="14">
        <f t="shared" si="31"/>
        <v>-17.393730770830278</v>
      </c>
      <c r="AZ13" s="25">
        <v>1.0819000000000001</v>
      </c>
      <c r="BA13" s="22">
        <f t="shared" si="32"/>
        <v>1.0920962332302353</v>
      </c>
      <c r="BB13" s="38">
        <f t="shared" si="33"/>
        <v>1.0196233230235219E-2</v>
      </c>
      <c r="BC13" s="15"/>
      <c r="BD13" s="38"/>
      <c r="BE13" s="38">
        <f t="shared" si="34"/>
        <v>101.96233230235219</v>
      </c>
    </row>
    <row r="14" spans="1:57" ht="15.75">
      <c r="A14" s="135"/>
      <c r="B14" s="136"/>
      <c r="C14" s="135"/>
      <c r="D14" s="135" t="s">
        <v>116</v>
      </c>
      <c r="E14" s="135"/>
      <c r="F14" s="135" t="s">
        <v>55</v>
      </c>
      <c r="G14" s="135"/>
      <c r="H14" s="135"/>
      <c r="I14" s="135"/>
      <c r="J14" s="135"/>
      <c r="K14" s="135"/>
      <c r="L14" s="135" t="s">
        <v>128</v>
      </c>
      <c r="M14" s="137">
        <v>1</v>
      </c>
      <c r="N14"/>
      <c r="O14"/>
      <c r="P14"/>
      <c r="Q14" s="108">
        <v>10</v>
      </c>
      <c r="R14" s="53">
        <v>8</v>
      </c>
      <c r="S14" s="53">
        <f t="shared" si="15"/>
        <v>2</v>
      </c>
      <c r="T14" s="82">
        <v>119</v>
      </c>
      <c r="U14" s="82" t="s">
        <v>199</v>
      </c>
      <c r="V14" s="83">
        <v>5.8842065000000003</v>
      </c>
      <c r="W14" s="83">
        <v>4.7209904847467055</v>
      </c>
      <c r="X14" s="83">
        <v>4.1570999999999998</v>
      </c>
      <c r="Y14" s="83">
        <v>-25.342150435706447</v>
      </c>
      <c r="Z14" s="69">
        <v>2.2629999999999999</v>
      </c>
      <c r="AA14" s="73">
        <v>5.5661983611111108</v>
      </c>
      <c r="AB14" s="73">
        <v>3.0248816727959098</v>
      </c>
      <c r="AC14" s="73">
        <v>3.9982883888888887</v>
      </c>
      <c r="AD14" s="73">
        <v>-25.508901929003891</v>
      </c>
      <c r="AE14" s="73">
        <v>2.2461111111111109</v>
      </c>
      <c r="AF14" s="73">
        <v>2.2461111111111109</v>
      </c>
      <c r="AG14" s="32">
        <f t="shared" si="16"/>
        <v>1.1379460310984945E-2</v>
      </c>
      <c r="AH14" s="32">
        <f t="shared" si="17"/>
        <v>0.25846953038557846</v>
      </c>
      <c r="AI14" s="33">
        <f t="shared" si="18"/>
        <v>6.6959094328389646E-2</v>
      </c>
      <c r="AJ14" s="34">
        <f t="shared" si="19"/>
        <v>1.0744836847658881</v>
      </c>
      <c r="AK14" s="16" t="e">
        <f t="shared" si="20"/>
        <v>#DIV/0!</v>
      </c>
      <c r="AL14" s="16" t="e">
        <f t="shared" si="21"/>
        <v>#DIV/0!</v>
      </c>
      <c r="AM14" s="27" t="e">
        <f t="shared" si="22"/>
        <v>#DIV/0!</v>
      </c>
      <c r="AN14" s="27" t="e">
        <f t="shared" si="23"/>
        <v>#DIV/0!</v>
      </c>
      <c r="AO14" s="29">
        <f t="shared" si="24"/>
        <v>2.9588640887489905</v>
      </c>
      <c r="AP14" s="29">
        <f t="shared" si="25"/>
        <v>47.480498663980917</v>
      </c>
      <c r="AQ14" s="27">
        <f t="shared" si="26"/>
        <v>16.046867054328171</v>
      </c>
      <c r="AR14" s="14">
        <f t="shared" si="27"/>
        <v>3.6761088119507956</v>
      </c>
      <c r="AS14" s="25">
        <v>0.36620000000000003</v>
      </c>
      <c r="AT14" s="22">
        <f t="shared" si="28"/>
        <v>0.36759509059557155</v>
      </c>
      <c r="AU14" s="22">
        <f t="shared" si="29"/>
        <v>1.3950905955715243E-3</v>
      </c>
      <c r="AV14" s="15"/>
      <c r="AW14" s="22"/>
      <c r="AX14" s="34">
        <f t="shared" si="30"/>
        <v>13.950905955715243</v>
      </c>
      <c r="AY14" s="14">
        <f t="shared" si="31"/>
        <v>-25.863248506702558</v>
      </c>
      <c r="AZ14" s="25">
        <v>1.0819000000000001</v>
      </c>
      <c r="BA14" s="22">
        <f t="shared" si="32"/>
        <v>1.0827848984603825</v>
      </c>
      <c r="BB14" s="38">
        <f t="shared" si="33"/>
        <v>8.848984603824217E-4</v>
      </c>
      <c r="BC14" s="15"/>
      <c r="BD14" s="38"/>
      <c r="BE14" s="38">
        <f t="shared" si="34"/>
        <v>8.848984603824217</v>
      </c>
    </row>
    <row r="15" spans="1:57" ht="15.75">
      <c r="A15" s="67">
        <v>12</v>
      </c>
      <c r="B15" s="134">
        <v>2</v>
      </c>
      <c r="C15" s="66" t="s">
        <v>417</v>
      </c>
      <c r="D15" s="66" t="s">
        <v>422</v>
      </c>
      <c r="E15" s="66" t="s">
        <v>410</v>
      </c>
      <c r="F15" s="66" t="s">
        <v>411</v>
      </c>
      <c r="G15" s="66">
        <v>2</v>
      </c>
      <c r="H15" s="66" t="s">
        <v>427</v>
      </c>
      <c r="I15" s="66">
        <v>100</v>
      </c>
      <c r="J15" s="66">
        <v>9.26</v>
      </c>
      <c r="K15" s="66">
        <v>30</v>
      </c>
      <c r="L15" s="66" t="s">
        <v>428</v>
      </c>
      <c r="M15" s="66">
        <v>1</v>
      </c>
      <c r="N15"/>
      <c r="O15"/>
      <c r="P15"/>
      <c r="Q15" s="108">
        <v>10</v>
      </c>
      <c r="R15" s="53">
        <v>8</v>
      </c>
      <c r="S15" s="53">
        <f t="shared" si="15"/>
        <v>2</v>
      </c>
      <c r="T15" s="80">
        <v>120</v>
      </c>
      <c r="U15" s="80" t="s">
        <v>200</v>
      </c>
      <c r="V15" s="81">
        <v>19.606266000000002</v>
      </c>
      <c r="W15" s="81">
        <v>1313.5248097176705</v>
      </c>
      <c r="X15" s="81">
        <v>13.396355</v>
      </c>
      <c r="Y15" s="81">
        <v>30.36226315923669</v>
      </c>
      <c r="Z15" s="69" t="s">
        <v>54</v>
      </c>
      <c r="AA15" s="73">
        <v>5.5661983611111108</v>
      </c>
      <c r="AB15" s="73">
        <v>3.0248816727959098</v>
      </c>
      <c r="AC15" s="73">
        <v>3.9982883888888887</v>
      </c>
      <c r="AD15" s="73">
        <v>-25.508901929003891</v>
      </c>
      <c r="AE15" s="73">
        <v>2.2461111111111109</v>
      </c>
      <c r="AF15" s="73">
        <v>2.2461111111111109</v>
      </c>
      <c r="AG15" s="32">
        <f t="shared" si="16"/>
        <v>1.1379460310984945E-2</v>
      </c>
      <c r="AH15" s="32">
        <f t="shared" si="17"/>
        <v>0.25846953038557846</v>
      </c>
      <c r="AI15" s="33">
        <f t="shared" si="18"/>
        <v>0.22310872579361357</v>
      </c>
      <c r="AJ15" s="34">
        <f t="shared" si="19"/>
        <v>3.462549585728496</v>
      </c>
      <c r="AK15" s="16">
        <f t="shared" si="20"/>
        <v>9.4821208462285769E-2</v>
      </c>
      <c r="AL15" s="16">
        <f t="shared" si="21"/>
        <v>1.4715835739346108</v>
      </c>
      <c r="AM15" s="27">
        <f t="shared" si="22"/>
        <v>94.821208462285767</v>
      </c>
      <c r="AN15" s="27">
        <f t="shared" si="23"/>
        <v>1471.5835739346107</v>
      </c>
      <c r="AO15" s="29" t="e">
        <f t="shared" si="24"/>
        <v>#VALUE!</v>
      </c>
      <c r="AP15" s="29" t="e">
        <f t="shared" si="25"/>
        <v>#VALUE!</v>
      </c>
      <c r="AQ15" s="27">
        <f t="shared" si="26"/>
        <v>15.519561475742202</v>
      </c>
      <c r="AR15" s="14">
        <f t="shared" si="27"/>
        <v>1312.4799280448744</v>
      </c>
      <c r="AS15" s="25">
        <v>0.36620000000000003</v>
      </c>
      <c r="AT15" s="22">
        <f t="shared" si="28"/>
        <v>0.84290238132438933</v>
      </c>
      <c r="AU15" s="22">
        <f t="shared" si="29"/>
        <v>0.4767023813243893</v>
      </c>
      <c r="AV15" s="15"/>
      <c r="AW15" s="22"/>
      <c r="AX15" s="34">
        <f t="shared" si="30"/>
        <v>4767.0238132438926</v>
      </c>
      <c r="AY15" s="14">
        <f t="shared" si="31"/>
        <v>29.841165088240579</v>
      </c>
      <c r="AZ15" s="25">
        <v>1.0819000000000001</v>
      </c>
      <c r="BA15" s="22">
        <f t="shared" si="32"/>
        <v>1.143993848401081</v>
      </c>
      <c r="BB15" s="38">
        <f t="shared" si="33"/>
        <v>6.2093848401080898E-2</v>
      </c>
      <c r="BC15" s="15"/>
      <c r="BD15" s="38"/>
      <c r="BE15" s="38">
        <f t="shared" si="34"/>
        <v>620.93848401080902</v>
      </c>
    </row>
    <row r="16" spans="1:57" ht="15.75">
      <c r="A16" s="67">
        <v>13</v>
      </c>
      <c r="B16" s="134">
        <v>2</v>
      </c>
      <c r="C16" s="66" t="s">
        <v>419</v>
      </c>
      <c r="D16" s="66" t="s">
        <v>409</v>
      </c>
      <c r="E16" s="66" t="s">
        <v>410</v>
      </c>
      <c r="F16" s="66" t="s">
        <v>411</v>
      </c>
      <c r="G16" s="66">
        <v>2</v>
      </c>
      <c r="H16" s="66" t="s">
        <v>427</v>
      </c>
      <c r="I16" s="66">
        <v>100</v>
      </c>
      <c r="J16" s="66">
        <v>5.7</v>
      </c>
      <c r="K16" s="66">
        <v>30</v>
      </c>
      <c r="L16" s="66" t="s">
        <v>74</v>
      </c>
      <c r="M16" s="66">
        <v>1</v>
      </c>
      <c r="N16"/>
      <c r="O16"/>
      <c r="P16"/>
      <c r="Q16" s="108">
        <v>10</v>
      </c>
      <c r="R16" s="53">
        <v>8</v>
      </c>
      <c r="S16" s="53">
        <f t="shared" si="15"/>
        <v>2</v>
      </c>
      <c r="T16" s="82">
        <v>121</v>
      </c>
      <c r="U16" s="82" t="s">
        <v>201</v>
      </c>
      <c r="V16" s="83">
        <v>8.7109989999999993</v>
      </c>
      <c r="W16" s="83">
        <v>2130.5849425297329</v>
      </c>
      <c r="X16" s="83">
        <v>7.0021315</v>
      </c>
      <c r="Y16" s="83">
        <v>15.026387138432938</v>
      </c>
      <c r="Z16" s="69" t="s">
        <v>54</v>
      </c>
      <c r="AA16" s="73">
        <v>5.5661983611111108</v>
      </c>
      <c r="AB16" s="73">
        <v>3.0248816727959098</v>
      </c>
      <c r="AC16" s="73">
        <v>3.9982883888888887</v>
      </c>
      <c r="AD16" s="73">
        <v>-25.508901929003891</v>
      </c>
      <c r="AE16" s="73">
        <v>2.2461111111111109</v>
      </c>
      <c r="AF16" s="73">
        <v>2.2461111111111109</v>
      </c>
      <c r="AG16" s="32">
        <f t="shared" si="16"/>
        <v>1.1379460310984945E-2</v>
      </c>
      <c r="AH16" s="32">
        <f t="shared" si="17"/>
        <v>0.25846953038557846</v>
      </c>
      <c r="AI16" s="33">
        <f t="shared" si="18"/>
        <v>9.9126467389529543E-2</v>
      </c>
      <c r="AJ16" s="34">
        <f t="shared" si="19"/>
        <v>1.8098376405030661</v>
      </c>
      <c r="AK16" s="16">
        <f t="shared" si="20"/>
        <v>4.2128748640550058E-2</v>
      </c>
      <c r="AL16" s="16">
        <f t="shared" si="21"/>
        <v>0.76918099721380306</v>
      </c>
      <c r="AM16" s="27">
        <f t="shared" si="22"/>
        <v>42.128748640550057</v>
      </c>
      <c r="AN16" s="27">
        <f t="shared" si="23"/>
        <v>769.18099721380304</v>
      </c>
      <c r="AO16" s="29" t="e">
        <f t="shared" si="24"/>
        <v>#VALUE!</v>
      </c>
      <c r="AP16" s="29" t="e">
        <f t="shared" si="25"/>
        <v>#VALUE!</v>
      </c>
      <c r="AQ16" s="27">
        <f t="shared" si="26"/>
        <v>18.257864808105069</v>
      </c>
      <c r="AR16" s="14">
        <f t="shared" si="27"/>
        <v>2129.5400608569371</v>
      </c>
      <c r="AS16" s="25">
        <v>0.36620000000000003</v>
      </c>
      <c r="AT16" s="22">
        <f t="shared" si="28"/>
        <v>1.137334811443953</v>
      </c>
      <c r="AU16" s="22">
        <f t="shared" si="29"/>
        <v>0.77113481144395291</v>
      </c>
      <c r="AV16" s="15"/>
      <c r="AW16" s="22"/>
      <c r="AX16" s="34">
        <f t="shared" si="30"/>
        <v>7711.3481144395282</v>
      </c>
      <c r="AY16" s="14">
        <f t="shared" si="31"/>
        <v>14.505289067436827</v>
      </c>
      <c r="AZ16" s="25">
        <v>1.0819000000000001</v>
      </c>
      <c r="BA16" s="22">
        <f t="shared" si="32"/>
        <v>1.1271500869180502</v>
      </c>
      <c r="BB16" s="38">
        <f t="shared" si="33"/>
        <v>4.5250086918050103E-2</v>
      </c>
      <c r="BC16" s="15"/>
      <c r="BD16" s="38"/>
      <c r="BE16" s="38">
        <f t="shared" si="34"/>
        <v>452.50086918050101</v>
      </c>
    </row>
    <row r="17" spans="1:57" ht="15.75">
      <c r="A17" s="67">
        <v>14</v>
      </c>
      <c r="B17" s="134">
        <v>2</v>
      </c>
      <c r="C17" s="66" t="s">
        <v>421</v>
      </c>
      <c r="D17" s="66" t="s">
        <v>424</v>
      </c>
      <c r="E17" s="66" t="s">
        <v>410</v>
      </c>
      <c r="F17" s="66" t="s">
        <v>411</v>
      </c>
      <c r="G17" s="66">
        <v>2</v>
      </c>
      <c r="H17" s="66" t="s">
        <v>427</v>
      </c>
      <c r="I17" s="66">
        <v>100</v>
      </c>
      <c r="J17" s="66">
        <v>10.81</v>
      </c>
      <c r="K17" s="66">
        <v>30</v>
      </c>
      <c r="L17" s="66" t="s">
        <v>75</v>
      </c>
      <c r="M17" s="66">
        <v>1</v>
      </c>
      <c r="N17"/>
      <c r="O17"/>
      <c r="P17"/>
      <c r="Q17" s="108">
        <v>10</v>
      </c>
      <c r="R17" s="53">
        <v>8</v>
      </c>
      <c r="S17" s="53">
        <f t="shared" si="15"/>
        <v>2</v>
      </c>
      <c r="T17" s="80">
        <v>122</v>
      </c>
      <c r="U17" s="80" t="s">
        <v>202</v>
      </c>
      <c r="V17" s="81">
        <v>3.4629599999999998</v>
      </c>
      <c r="W17" s="81">
        <v>1503.4591895932183</v>
      </c>
      <c r="X17" s="81">
        <v>2.8376169999999998</v>
      </c>
      <c r="Y17" s="81">
        <v>7.344769518636026</v>
      </c>
      <c r="Z17" s="69" t="s">
        <v>54</v>
      </c>
      <c r="AA17" s="73">
        <v>5.5661983611111108</v>
      </c>
      <c r="AB17" s="73">
        <v>3.0248816727959098</v>
      </c>
      <c r="AC17" s="73">
        <v>3.9982883888888887</v>
      </c>
      <c r="AD17" s="73">
        <v>-25.508901929003891</v>
      </c>
      <c r="AE17" s="73">
        <v>2.2461111111111109</v>
      </c>
      <c r="AF17" s="73">
        <v>2.2461111111111109</v>
      </c>
      <c r="AG17" s="32">
        <f t="shared" si="16"/>
        <v>1.1379460310984945E-2</v>
      </c>
      <c r="AH17" s="32">
        <f t="shared" si="17"/>
        <v>0.25846953038557846</v>
      </c>
      <c r="AI17" s="33">
        <f t="shared" si="18"/>
        <v>3.9406615878528423E-2</v>
      </c>
      <c r="AJ17" s="34">
        <f t="shared" si="19"/>
        <v>0.73343753340413398</v>
      </c>
      <c r="AK17" s="16">
        <f t="shared" si="20"/>
        <v>1.6747811748374579E-2</v>
      </c>
      <c r="AL17" s="16">
        <f t="shared" si="21"/>
        <v>0.31171095169675694</v>
      </c>
      <c r="AM17" s="27">
        <f t="shared" si="22"/>
        <v>16.747811748374581</v>
      </c>
      <c r="AN17" s="27">
        <f t="shared" si="23"/>
        <v>311.71095169675692</v>
      </c>
      <c r="AO17" s="29" t="e">
        <f t="shared" si="24"/>
        <v>#VALUE!</v>
      </c>
      <c r="AP17" s="29" t="e">
        <f t="shared" si="25"/>
        <v>#VALUE!</v>
      </c>
      <c r="AQ17" s="27">
        <f t="shared" si="26"/>
        <v>18.612040568643803</v>
      </c>
      <c r="AR17" s="14">
        <f t="shared" si="27"/>
        <v>1502.4143079204223</v>
      </c>
      <c r="AS17" s="25">
        <v>0.36620000000000003</v>
      </c>
      <c r="AT17" s="22">
        <f t="shared" si="28"/>
        <v>0.91150270019402291</v>
      </c>
      <c r="AU17" s="22">
        <f t="shared" si="29"/>
        <v>0.54530270019402294</v>
      </c>
      <c r="AV17" s="15"/>
      <c r="AW17" s="22"/>
      <c r="AX17" s="34">
        <f t="shared" si="30"/>
        <v>5453.0270019402287</v>
      </c>
      <c r="AY17" s="14">
        <f t="shared" si="31"/>
        <v>6.8236714476399154</v>
      </c>
      <c r="AZ17" s="25">
        <v>1.0819000000000001</v>
      </c>
      <c r="BA17" s="22">
        <f t="shared" si="32"/>
        <v>1.1187110237597404</v>
      </c>
      <c r="BB17" s="38">
        <f t="shared" si="33"/>
        <v>3.6811023759740324E-2</v>
      </c>
      <c r="BC17" s="15"/>
      <c r="BD17" s="38"/>
      <c r="BE17" s="38">
        <f t="shared" si="34"/>
        <v>368.11023759740328</v>
      </c>
    </row>
    <row r="18" spans="1:57" ht="15.75">
      <c r="A18" s="67">
        <v>15</v>
      </c>
      <c r="B18" s="134">
        <v>2</v>
      </c>
      <c r="C18" s="66" t="s">
        <v>423</v>
      </c>
      <c r="D18" s="66" t="s">
        <v>414</v>
      </c>
      <c r="E18" s="66" t="s">
        <v>410</v>
      </c>
      <c r="F18" s="66" t="s">
        <v>411</v>
      </c>
      <c r="G18" s="66">
        <v>2</v>
      </c>
      <c r="H18" s="66" t="s">
        <v>427</v>
      </c>
      <c r="I18" s="66">
        <v>100</v>
      </c>
      <c r="J18" s="66">
        <v>10</v>
      </c>
      <c r="K18" s="66">
        <v>30</v>
      </c>
      <c r="L18" s="66" t="s">
        <v>76</v>
      </c>
      <c r="M18" s="66">
        <v>1</v>
      </c>
      <c r="N18"/>
      <c r="O18"/>
      <c r="P18"/>
      <c r="Q18" s="108">
        <v>10</v>
      </c>
      <c r="R18" s="53">
        <v>8</v>
      </c>
      <c r="S18" s="53">
        <f t="shared" si="15"/>
        <v>2</v>
      </c>
      <c r="T18" s="82">
        <v>123</v>
      </c>
      <c r="U18" s="82" t="s">
        <v>203</v>
      </c>
      <c r="V18" s="83">
        <v>2.9473829999999999</v>
      </c>
      <c r="W18" s="83">
        <v>1954.7197835913469</v>
      </c>
      <c r="X18" s="83">
        <v>1.09266</v>
      </c>
      <c r="Y18" s="83">
        <v>-28.492728531788877</v>
      </c>
      <c r="Z18" s="69" t="s">
        <v>54</v>
      </c>
      <c r="AA18" s="73">
        <v>5.5661983611111108</v>
      </c>
      <c r="AB18" s="73">
        <v>3.0248816727959098</v>
      </c>
      <c r="AC18" s="73">
        <v>3.9982883888888887</v>
      </c>
      <c r="AD18" s="73">
        <v>-25.508901929003891</v>
      </c>
      <c r="AE18" s="73">
        <v>2.2461111111111109</v>
      </c>
      <c r="AF18" s="73">
        <v>2.2461111111111109</v>
      </c>
      <c r="AG18" s="32">
        <f t="shared" si="16"/>
        <v>1.1379460310984945E-2</v>
      </c>
      <c r="AH18" s="32">
        <f t="shared" si="17"/>
        <v>0.25846953038557846</v>
      </c>
      <c r="AI18" s="33">
        <f t="shared" si="18"/>
        <v>3.3539627869771736E-2</v>
      </c>
      <c r="AJ18" s="34">
        <f t="shared" si="19"/>
        <v>0.28241931707110618</v>
      </c>
      <c r="AK18" s="16">
        <f t="shared" si="20"/>
        <v>1.4254341844652988E-2</v>
      </c>
      <c r="AL18" s="16">
        <f t="shared" si="21"/>
        <v>0.12002820975522012</v>
      </c>
      <c r="AM18" s="27">
        <f t="shared" si="22"/>
        <v>14.254341844652988</v>
      </c>
      <c r="AN18" s="27">
        <f t="shared" si="23"/>
        <v>120.02820975522012</v>
      </c>
      <c r="AO18" s="29" t="e">
        <f t="shared" si="24"/>
        <v>#VALUE!</v>
      </c>
      <c r="AP18" s="29" t="e">
        <f t="shared" si="25"/>
        <v>#VALUE!</v>
      </c>
      <c r="AQ18" s="27">
        <f t="shared" si="26"/>
        <v>8.4204666243671191</v>
      </c>
      <c r="AR18" s="14">
        <f t="shared" si="27"/>
        <v>1953.6749019185509</v>
      </c>
      <c r="AS18" s="25">
        <v>0.36620000000000003</v>
      </c>
      <c r="AT18" s="22">
        <f t="shared" si="28"/>
        <v>1.0741085360910017</v>
      </c>
      <c r="AU18" s="22">
        <f t="shared" si="29"/>
        <v>0.70790853609100157</v>
      </c>
      <c r="AV18" s="15"/>
      <c r="AW18" s="22"/>
      <c r="AX18" s="34">
        <f t="shared" si="30"/>
        <v>7079.0853609100159</v>
      </c>
      <c r="AY18" s="14">
        <f t="shared" si="31"/>
        <v>-29.013826602784988</v>
      </c>
      <c r="AZ18" s="25">
        <v>1.0819000000000001</v>
      </c>
      <c r="BA18" s="22">
        <f t="shared" si="32"/>
        <v>1.0793207252332584</v>
      </c>
      <c r="BB18" s="38">
        <f t="shared" si="33"/>
        <v>-2.5792747667416904E-3</v>
      </c>
      <c r="BC18" s="15"/>
      <c r="BD18" s="38"/>
      <c r="BE18" s="38">
        <f t="shared" si="34"/>
        <v>-25.792747667416904</v>
      </c>
    </row>
    <row r="19" spans="1:57" ht="15.75">
      <c r="A19" s="67">
        <v>16</v>
      </c>
      <c r="B19" s="134">
        <v>2</v>
      </c>
      <c r="C19" s="66" t="s">
        <v>425</v>
      </c>
      <c r="D19" s="66" t="s">
        <v>420</v>
      </c>
      <c r="E19" s="66" t="s">
        <v>410</v>
      </c>
      <c r="F19" s="66" t="s">
        <v>411</v>
      </c>
      <c r="G19" s="66">
        <v>2</v>
      </c>
      <c r="H19" s="66" t="s">
        <v>427</v>
      </c>
      <c r="I19" s="66">
        <v>100</v>
      </c>
      <c r="J19" s="66">
        <v>10.56</v>
      </c>
      <c r="K19" s="66">
        <v>30</v>
      </c>
      <c r="L19" s="66" t="s">
        <v>77</v>
      </c>
      <c r="M19" s="66">
        <v>1</v>
      </c>
      <c r="N19"/>
      <c r="O19"/>
      <c r="P19"/>
      <c r="Q19" s="108">
        <v>10</v>
      </c>
      <c r="R19" s="53">
        <v>8</v>
      </c>
      <c r="S19" s="53">
        <f t="shared" si="15"/>
        <v>2</v>
      </c>
      <c r="T19" s="80">
        <v>124</v>
      </c>
      <c r="U19" s="80" t="s">
        <v>204</v>
      </c>
      <c r="V19" s="81">
        <v>8.1053280000000001</v>
      </c>
      <c r="W19" s="81">
        <v>1316.3523848678744</v>
      </c>
      <c r="X19" s="81">
        <v>5.7392865000000004</v>
      </c>
      <c r="Y19" s="81">
        <v>2.0020310262703509</v>
      </c>
      <c r="Z19" s="69" t="s">
        <v>54</v>
      </c>
      <c r="AA19" s="73">
        <v>5.5661983611111108</v>
      </c>
      <c r="AB19" s="73">
        <v>3.0248816727959098</v>
      </c>
      <c r="AC19" s="73">
        <v>3.9982883888888887</v>
      </c>
      <c r="AD19" s="73">
        <v>-25.508901929003891</v>
      </c>
      <c r="AE19" s="73">
        <v>2.2461111111111109</v>
      </c>
      <c r="AF19" s="73">
        <v>2.2461111111111109</v>
      </c>
      <c r="AG19" s="32">
        <f t="shared" si="16"/>
        <v>1.1379460310984945E-2</v>
      </c>
      <c r="AH19" s="32">
        <f t="shared" si="17"/>
        <v>0.25846953038557846</v>
      </c>
      <c r="AI19" s="33">
        <f t="shared" si="18"/>
        <v>9.2234258283514989E-2</v>
      </c>
      <c r="AJ19" s="34">
        <f t="shared" si="19"/>
        <v>1.4834306864032905</v>
      </c>
      <c r="AK19" s="16">
        <f t="shared" si="20"/>
        <v>3.9199559770493865E-2</v>
      </c>
      <c r="AL19" s="16">
        <f t="shared" si="21"/>
        <v>0.63045804172139841</v>
      </c>
      <c r="AM19" s="27">
        <f t="shared" si="22"/>
        <v>39.199559770493863</v>
      </c>
      <c r="AN19" s="27">
        <f t="shared" si="23"/>
        <v>630.45804172139844</v>
      </c>
      <c r="AO19" s="29" t="e">
        <f t="shared" si="24"/>
        <v>#VALUE!</v>
      </c>
      <c r="AP19" s="29" t="e">
        <f t="shared" si="25"/>
        <v>#VALUE!</v>
      </c>
      <c r="AQ19" s="27">
        <f t="shared" si="26"/>
        <v>16.083293930151587</v>
      </c>
      <c r="AR19" s="14">
        <f t="shared" si="27"/>
        <v>1315.3075031950784</v>
      </c>
      <c r="AS19" s="25">
        <v>0.36620000000000003</v>
      </c>
      <c r="AT19" s="22">
        <f t="shared" si="28"/>
        <v>0.84392433873070605</v>
      </c>
      <c r="AU19" s="22">
        <f t="shared" si="29"/>
        <v>0.47772433873070602</v>
      </c>
      <c r="AV19" s="15"/>
      <c r="AW19" s="22"/>
      <c r="AX19" s="34">
        <f t="shared" si="30"/>
        <v>4777.2433873070604</v>
      </c>
      <c r="AY19" s="14">
        <f t="shared" si="31"/>
        <v>1.4809329552742403</v>
      </c>
      <c r="AZ19" s="25">
        <v>1.0819000000000001</v>
      </c>
      <c r="BA19" s="22">
        <f t="shared" si="32"/>
        <v>1.1128406153157511</v>
      </c>
      <c r="BB19" s="38">
        <f t="shared" si="33"/>
        <v>3.0940615315750986E-2</v>
      </c>
      <c r="BC19" s="15"/>
      <c r="BD19" s="38"/>
      <c r="BE19" s="38">
        <f t="shared" si="34"/>
        <v>309.40615315750983</v>
      </c>
    </row>
    <row r="20" spans="1:57" ht="15.75">
      <c r="A20" s="67">
        <v>17</v>
      </c>
      <c r="B20" s="134">
        <v>3</v>
      </c>
      <c r="C20" s="66" t="s">
        <v>408</v>
      </c>
      <c r="D20" s="66" t="s">
        <v>418</v>
      </c>
      <c r="E20" s="66" t="s">
        <v>410</v>
      </c>
      <c r="F20" s="66" t="s">
        <v>411</v>
      </c>
      <c r="G20" s="66">
        <v>3</v>
      </c>
      <c r="H20" s="66" t="s">
        <v>429</v>
      </c>
      <c r="I20" s="66">
        <v>100</v>
      </c>
      <c r="J20" s="66">
        <v>16.45</v>
      </c>
      <c r="K20" s="66">
        <v>30</v>
      </c>
      <c r="L20" s="66" t="s">
        <v>78</v>
      </c>
      <c r="M20" s="66">
        <v>1</v>
      </c>
      <c r="N20"/>
      <c r="O20"/>
      <c r="P20"/>
      <c r="Q20" s="108">
        <v>10</v>
      </c>
      <c r="R20" s="53">
        <v>8</v>
      </c>
      <c r="S20" s="53">
        <f t="shared" si="15"/>
        <v>2</v>
      </c>
      <c r="T20" s="82">
        <v>125</v>
      </c>
      <c r="U20" s="82" t="s">
        <v>205</v>
      </c>
      <c r="V20" s="83">
        <v>1.6121220000000001</v>
      </c>
      <c r="W20" s="83">
        <v>3059.1441970254182</v>
      </c>
      <c r="X20" s="83">
        <v>0.88509362499999999</v>
      </c>
      <c r="Y20" s="83">
        <v>-27.346384455984499</v>
      </c>
      <c r="Z20" s="69" t="s">
        <v>54</v>
      </c>
      <c r="AA20" s="73">
        <v>5.5661983611111108</v>
      </c>
      <c r="AB20" s="73">
        <v>3.0248816727959098</v>
      </c>
      <c r="AC20" s="73">
        <v>3.9982883888888887</v>
      </c>
      <c r="AD20" s="73">
        <v>-25.508901929003891</v>
      </c>
      <c r="AE20" s="73">
        <v>2.2461111111111109</v>
      </c>
      <c r="AF20" s="73">
        <v>2.2461111111111109</v>
      </c>
      <c r="AG20" s="32">
        <f t="shared" si="16"/>
        <v>1.1379460310984945E-2</v>
      </c>
      <c r="AH20" s="32">
        <f t="shared" si="17"/>
        <v>0.25846953038557846</v>
      </c>
      <c r="AI20" s="33">
        <f t="shared" si="18"/>
        <v>1.8345078315465672E-2</v>
      </c>
      <c r="AJ20" s="34">
        <f t="shared" si="19"/>
        <v>0.22876973360101929</v>
      </c>
      <c r="AK20" s="16">
        <f t="shared" si="20"/>
        <v>7.7966582840729099E-3</v>
      </c>
      <c r="AL20" s="16">
        <f t="shared" si="21"/>
        <v>9.7227136780433196E-2</v>
      </c>
      <c r="AM20" s="27">
        <f t="shared" si="22"/>
        <v>7.79665828407291</v>
      </c>
      <c r="AN20" s="27">
        <f t="shared" si="23"/>
        <v>97.227136780433199</v>
      </c>
      <c r="AO20" s="29" t="e">
        <f t="shared" si="24"/>
        <v>#VALUE!</v>
      </c>
      <c r="AP20" s="29" t="e">
        <f t="shared" si="25"/>
        <v>#VALUE!</v>
      </c>
      <c r="AQ20" s="27">
        <f t="shared" si="26"/>
        <v>12.470360151483071</v>
      </c>
      <c r="AR20" s="14">
        <f t="shared" si="27"/>
        <v>3058.0993153526224</v>
      </c>
      <c r="AS20" s="25">
        <v>0.36620000000000003</v>
      </c>
      <c r="AT20" s="22">
        <f t="shared" si="28"/>
        <v>1.4698309970057841</v>
      </c>
      <c r="AU20" s="22">
        <f t="shared" si="29"/>
        <v>1.103630997005784</v>
      </c>
      <c r="AV20" s="15"/>
      <c r="AW20" s="22"/>
      <c r="AX20" s="34">
        <f t="shared" si="30"/>
        <v>11036.30997005784</v>
      </c>
      <c r="AY20" s="14">
        <f t="shared" si="31"/>
        <v>-27.867482526980609</v>
      </c>
      <c r="AZ20" s="25">
        <v>1.0819000000000001</v>
      </c>
      <c r="BA20" s="22">
        <f t="shared" si="32"/>
        <v>1.0805811995986436</v>
      </c>
      <c r="BB20" s="38">
        <f t="shared" si="33"/>
        <v>-1.3188004013564569E-3</v>
      </c>
      <c r="BC20" s="15"/>
      <c r="BD20" s="38"/>
      <c r="BE20" s="38">
        <f t="shared" si="34"/>
        <v>-13.188004013564569</v>
      </c>
    </row>
    <row r="21" spans="1:57" ht="15.75">
      <c r="A21" s="67">
        <v>18</v>
      </c>
      <c r="B21" s="134">
        <v>3</v>
      </c>
      <c r="C21" s="66" t="s">
        <v>413</v>
      </c>
      <c r="D21" s="66" t="s">
        <v>416</v>
      </c>
      <c r="E21" s="66" t="s">
        <v>410</v>
      </c>
      <c r="F21" s="66" t="s">
        <v>411</v>
      </c>
      <c r="G21" s="66">
        <v>3</v>
      </c>
      <c r="H21" s="66" t="s">
        <v>429</v>
      </c>
      <c r="I21" s="66">
        <v>100</v>
      </c>
      <c r="J21" s="66">
        <v>8.51</v>
      </c>
      <c r="K21" s="66">
        <v>30</v>
      </c>
      <c r="L21" s="66" t="s">
        <v>79</v>
      </c>
      <c r="M21" s="66">
        <v>1</v>
      </c>
      <c r="N21"/>
      <c r="O21"/>
      <c r="P21"/>
      <c r="Q21" s="108">
        <v>10</v>
      </c>
      <c r="R21" s="53">
        <v>8</v>
      </c>
      <c r="S21" s="53">
        <f t="shared" si="15"/>
        <v>2</v>
      </c>
      <c r="T21" s="80">
        <v>126</v>
      </c>
      <c r="U21" s="80" t="s">
        <v>206</v>
      </c>
      <c r="V21" s="81">
        <v>4.1182577499999997</v>
      </c>
      <c r="W21" s="81">
        <v>944.81910556600735</v>
      </c>
      <c r="X21" s="81">
        <v>2.2809667500000002</v>
      </c>
      <c r="Y21" s="81">
        <v>-5.23797769746922</v>
      </c>
      <c r="Z21" s="69" t="s">
        <v>54</v>
      </c>
      <c r="AA21" s="73">
        <v>5.5661983611111108</v>
      </c>
      <c r="AB21" s="73">
        <v>3.0248816727959098</v>
      </c>
      <c r="AC21" s="73">
        <v>3.9982883888888887</v>
      </c>
      <c r="AD21" s="73">
        <v>-25.508901929003891</v>
      </c>
      <c r="AE21" s="73">
        <v>2.2461111111111109</v>
      </c>
      <c r="AF21" s="73">
        <v>2.2461111111111109</v>
      </c>
      <c r="AG21" s="32">
        <f t="shared" si="16"/>
        <v>1.1379460310984945E-2</v>
      </c>
      <c r="AH21" s="32">
        <f t="shared" si="17"/>
        <v>0.25846953038557846</v>
      </c>
      <c r="AI21" s="33">
        <f t="shared" si="18"/>
        <v>4.6863550616531156E-2</v>
      </c>
      <c r="AJ21" s="34">
        <f t="shared" si="19"/>
        <v>0.58956040469761917</v>
      </c>
      <c r="AK21" s="16">
        <f t="shared" si="20"/>
        <v>1.9917009012025741E-2</v>
      </c>
      <c r="AL21" s="16">
        <f t="shared" si="21"/>
        <v>0.25056317199648814</v>
      </c>
      <c r="AM21" s="27">
        <f t="shared" si="22"/>
        <v>19.917009012025741</v>
      </c>
      <c r="AN21" s="27">
        <f t="shared" si="23"/>
        <v>250.56317199648814</v>
      </c>
      <c r="AO21" s="29" t="e">
        <f t="shared" si="24"/>
        <v>#VALUE!</v>
      </c>
      <c r="AP21" s="29" t="e">
        <f t="shared" si="25"/>
        <v>#VALUE!</v>
      </c>
      <c r="AQ21" s="27">
        <f t="shared" si="26"/>
        <v>12.580361431036154</v>
      </c>
      <c r="AR21" s="14">
        <f t="shared" si="27"/>
        <v>943.77422389321146</v>
      </c>
      <c r="AS21" s="25">
        <v>0.36620000000000003</v>
      </c>
      <c r="AT21" s="22">
        <f t="shared" si="28"/>
        <v>0.70946207537016592</v>
      </c>
      <c r="AU21" s="22">
        <f t="shared" si="29"/>
        <v>0.3432620753701659</v>
      </c>
      <c r="AV21" s="15"/>
      <c r="AW21" s="22"/>
      <c r="AX21" s="34">
        <f t="shared" si="30"/>
        <v>3432.6207537016594</v>
      </c>
      <c r="AY21" s="14">
        <f t="shared" si="31"/>
        <v>-5.7590757684653306</v>
      </c>
      <c r="AZ21" s="25">
        <v>1.0819000000000001</v>
      </c>
      <c r="BA21" s="22">
        <f t="shared" si="32"/>
        <v>1.104884442383159</v>
      </c>
      <c r="BB21" s="38">
        <f t="shared" si="33"/>
        <v>2.2984442383158887E-2</v>
      </c>
      <c r="BC21" s="15"/>
      <c r="BD21" s="38"/>
      <c r="BE21" s="38">
        <f t="shared" si="34"/>
        <v>229.84442383158887</v>
      </c>
    </row>
    <row r="22" spans="1:57" ht="15.75">
      <c r="A22" s="67">
        <v>19</v>
      </c>
      <c r="B22" s="134">
        <v>3</v>
      </c>
      <c r="C22" s="66" t="s">
        <v>415</v>
      </c>
      <c r="D22" s="66" t="s">
        <v>426</v>
      </c>
      <c r="E22" s="66" t="s">
        <v>410</v>
      </c>
      <c r="F22" s="66" t="s">
        <v>411</v>
      </c>
      <c r="G22" s="66">
        <v>3</v>
      </c>
      <c r="H22" s="66" t="s">
        <v>429</v>
      </c>
      <c r="I22" s="66">
        <v>100</v>
      </c>
      <c r="J22" s="66">
        <v>16.52</v>
      </c>
      <c r="K22" s="66">
        <v>30</v>
      </c>
      <c r="L22" s="66" t="s">
        <v>80</v>
      </c>
      <c r="M22" s="66">
        <v>1</v>
      </c>
      <c r="N22"/>
      <c r="O22"/>
      <c r="P22"/>
      <c r="Q22" s="108">
        <v>10</v>
      </c>
      <c r="R22" s="53">
        <v>8</v>
      </c>
      <c r="S22" s="53">
        <f t="shared" si="15"/>
        <v>2</v>
      </c>
      <c r="T22" s="82">
        <v>127</v>
      </c>
      <c r="U22" s="82" t="s">
        <v>207</v>
      </c>
      <c r="V22" s="83">
        <v>2.3216252499999999</v>
      </c>
      <c r="W22" s="83">
        <v>585.49808442213657</v>
      </c>
      <c r="X22" s="83">
        <v>1.316195875</v>
      </c>
      <c r="Y22" s="83">
        <v>-25.522638539949629</v>
      </c>
      <c r="Z22" s="69" t="s">
        <v>54</v>
      </c>
      <c r="AA22" s="73">
        <v>5.5661983611111108</v>
      </c>
      <c r="AB22" s="73">
        <v>3.0248816727959098</v>
      </c>
      <c r="AC22" s="73">
        <v>3.9982883888888887</v>
      </c>
      <c r="AD22" s="73">
        <v>-25.508901929003891</v>
      </c>
      <c r="AE22" s="73">
        <v>2.2461111111111109</v>
      </c>
      <c r="AF22" s="73">
        <v>2.2461111111111109</v>
      </c>
      <c r="AG22" s="32">
        <f t="shared" si="16"/>
        <v>1.1379460310984945E-2</v>
      </c>
      <c r="AH22" s="32">
        <f t="shared" si="17"/>
        <v>0.25846953038557846</v>
      </c>
      <c r="AI22" s="33">
        <f t="shared" si="18"/>
        <v>2.6418842389355501E-2</v>
      </c>
      <c r="AJ22" s="34">
        <f t="shared" si="19"/>
        <v>0.34019652970668551</v>
      </c>
      <c r="AK22" s="16">
        <f t="shared" si="20"/>
        <v>1.1228008015476089E-2</v>
      </c>
      <c r="AL22" s="16">
        <f t="shared" si="21"/>
        <v>0.14458352512534134</v>
      </c>
      <c r="AM22" s="27">
        <f t="shared" si="22"/>
        <v>11.228008015476089</v>
      </c>
      <c r="AN22" s="27">
        <f t="shared" si="23"/>
        <v>144.58352512534134</v>
      </c>
      <c r="AO22" s="29" t="e">
        <f t="shared" si="24"/>
        <v>#VALUE!</v>
      </c>
      <c r="AP22" s="29" t="e">
        <f t="shared" si="25"/>
        <v>#VALUE!</v>
      </c>
      <c r="AQ22" s="27">
        <f t="shared" si="26"/>
        <v>12.877041495344065</v>
      </c>
      <c r="AR22" s="14">
        <f t="shared" si="27"/>
        <v>584.45320274934068</v>
      </c>
      <c r="AS22" s="25">
        <v>0.36620000000000003</v>
      </c>
      <c r="AT22" s="22">
        <f t="shared" si="28"/>
        <v>0.57907222015344229</v>
      </c>
      <c r="AU22" s="22">
        <f t="shared" si="29"/>
        <v>0.21287222015344226</v>
      </c>
      <c r="AV22" s="15"/>
      <c r="AW22" s="22"/>
      <c r="AX22" s="34">
        <f t="shared" si="30"/>
        <v>2128.7222015344223</v>
      </c>
      <c r="AY22" s="14">
        <f t="shared" si="31"/>
        <v>-26.043736610945739</v>
      </c>
      <c r="AZ22" s="25">
        <v>1.0819000000000001</v>
      </c>
      <c r="BA22" s="22">
        <f t="shared" si="32"/>
        <v>1.0825864518902668</v>
      </c>
      <c r="BB22" s="38">
        <f t="shared" si="33"/>
        <v>6.8645189026672604E-4</v>
      </c>
      <c r="BC22" s="15"/>
      <c r="BD22" s="38"/>
      <c r="BE22" s="38">
        <f t="shared" si="34"/>
        <v>6.8645189026672604</v>
      </c>
    </row>
    <row r="23" spans="1:57" ht="15.75">
      <c r="A23" s="67">
        <v>20</v>
      </c>
      <c r="B23" s="134">
        <v>3</v>
      </c>
      <c r="C23" s="66" t="s">
        <v>417</v>
      </c>
      <c r="D23" s="66" t="s">
        <v>420</v>
      </c>
      <c r="E23" s="66" t="s">
        <v>410</v>
      </c>
      <c r="F23" s="66" t="s">
        <v>411</v>
      </c>
      <c r="G23" s="66">
        <v>3</v>
      </c>
      <c r="H23" s="66" t="s">
        <v>429</v>
      </c>
      <c r="I23" s="66">
        <v>100</v>
      </c>
      <c r="J23" s="66">
        <v>7.29</v>
      </c>
      <c r="K23" s="66">
        <v>30</v>
      </c>
      <c r="L23" s="66" t="s">
        <v>81</v>
      </c>
      <c r="M23" s="66">
        <v>1</v>
      </c>
      <c r="N23"/>
      <c r="O23"/>
      <c r="P23"/>
      <c r="Q23" s="108">
        <v>10</v>
      </c>
      <c r="R23" s="53">
        <v>8</v>
      </c>
      <c r="S23" s="53">
        <f t="shared" si="15"/>
        <v>2</v>
      </c>
      <c r="T23" s="80">
        <v>128</v>
      </c>
      <c r="U23" s="80" t="s">
        <v>208</v>
      </c>
      <c r="V23" s="81">
        <v>6.4251480000000001</v>
      </c>
      <c r="W23" s="81">
        <v>1312.6382563139089</v>
      </c>
      <c r="X23" s="81">
        <v>3.9255659999999999</v>
      </c>
      <c r="Y23" s="81">
        <v>7.8683965818861488</v>
      </c>
      <c r="Z23" s="69" t="s">
        <v>54</v>
      </c>
      <c r="AA23" s="73">
        <v>5.5661983611111108</v>
      </c>
      <c r="AB23" s="73">
        <v>3.0248816727959098</v>
      </c>
      <c r="AC23" s="73">
        <v>3.9982883888888887</v>
      </c>
      <c r="AD23" s="73">
        <v>-25.508901929003891</v>
      </c>
      <c r="AE23" s="73">
        <v>2.2461111111111109</v>
      </c>
      <c r="AF23" s="73">
        <v>2.2461111111111109</v>
      </c>
      <c r="AG23" s="32">
        <f t="shared" si="16"/>
        <v>1.1379460310984945E-2</v>
      </c>
      <c r="AH23" s="32">
        <f t="shared" si="17"/>
        <v>0.25846953038557846</v>
      </c>
      <c r="AI23" s="33">
        <f t="shared" si="18"/>
        <v>7.3114716658204307E-2</v>
      </c>
      <c r="AJ23" s="34">
        <f t="shared" si="19"/>
        <v>1.0146392005175937</v>
      </c>
      <c r="AK23" s="16">
        <f t="shared" si="20"/>
        <v>3.107375457973683E-2</v>
      </c>
      <c r="AL23" s="16">
        <f t="shared" si="21"/>
        <v>0.43122166021997732</v>
      </c>
      <c r="AM23" s="27">
        <f t="shared" si="22"/>
        <v>31.073754579736828</v>
      </c>
      <c r="AN23" s="27">
        <f t="shared" si="23"/>
        <v>431.22166021997731</v>
      </c>
      <c r="AO23" s="29" t="e">
        <f t="shared" si="24"/>
        <v>#VALUE!</v>
      </c>
      <c r="AP23" s="29" t="e">
        <f t="shared" si="25"/>
        <v>#VALUE!</v>
      </c>
      <c r="AQ23" s="27">
        <f t="shared" si="26"/>
        <v>13.877359400308086</v>
      </c>
      <c r="AR23" s="14">
        <f t="shared" si="27"/>
        <v>1311.5933746411129</v>
      </c>
      <c r="AS23" s="25">
        <v>0.36620000000000003</v>
      </c>
      <c r="AT23" s="22">
        <f t="shared" si="28"/>
        <v>0.84258195409090286</v>
      </c>
      <c r="AU23" s="22">
        <f t="shared" si="29"/>
        <v>0.47638195409090284</v>
      </c>
      <c r="AV23" s="15"/>
      <c r="AW23" s="22"/>
      <c r="AX23" s="34">
        <f t="shared" si="30"/>
        <v>4763.8195409090285</v>
      </c>
      <c r="AY23" s="14">
        <f t="shared" si="31"/>
        <v>7.3472985108900382</v>
      </c>
      <c r="AZ23" s="25">
        <v>1.0819000000000001</v>
      </c>
      <c r="BA23" s="22">
        <f t="shared" si="32"/>
        <v>1.1192863287972532</v>
      </c>
      <c r="BB23" s="38">
        <f t="shared" si="33"/>
        <v>3.7386328797253121E-2</v>
      </c>
      <c r="BC23" s="15"/>
      <c r="BD23" s="38"/>
      <c r="BE23" s="38">
        <f t="shared" si="34"/>
        <v>373.86328797253123</v>
      </c>
    </row>
    <row r="24" spans="1:57" ht="15.75">
      <c r="A24" s="67">
        <v>21</v>
      </c>
      <c r="B24" s="134">
        <v>3</v>
      </c>
      <c r="C24" s="66" t="s">
        <v>419</v>
      </c>
      <c r="D24" s="66" t="s">
        <v>422</v>
      </c>
      <c r="E24" s="66" t="s">
        <v>410</v>
      </c>
      <c r="F24" s="66" t="s">
        <v>411</v>
      </c>
      <c r="G24" s="66">
        <v>3</v>
      </c>
      <c r="H24" s="66" t="s">
        <v>429</v>
      </c>
      <c r="I24" s="66">
        <v>100</v>
      </c>
      <c r="J24" s="66">
        <v>7.82</v>
      </c>
      <c r="K24" s="66">
        <v>30</v>
      </c>
      <c r="L24" s="66" t="s">
        <v>82</v>
      </c>
      <c r="M24" s="66">
        <v>1</v>
      </c>
      <c r="N24"/>
      <c r="O24"/>
      <c r="P24"/>
      <c r="Q24" s="108">
        <v>10</v>
      </c>
      <c r="R24" s="53">
        <v>8</v>
      </c>
      <c r="S24" s="53">
        <f t="shared" si="15"/>
        <v>2</v>
      </c>
      <c r="T24" s="82">
        <v>129</v>
      </c>
      <c r="U24" s="82" t="s">
        <v>209</v>
      </c>
      <c r="V24" s="83">
        <v>12.830360000000001</v>
      </c>
      <c r="W24" s="83">
        <v>1584.1106366888087</v>
      </c>
      <c r="X24" s="83">
        <v>8.5774500000000007</v>
      </c>
      <c r="Y24" s="83">
        <v>11.379856199276404</v>
      </c>
      <c r="Z24" s="69" t="s">
        <v>54</v>
      </c>
      <c r="AA24" s="73">
        <v>5.5661983611111108</v>
      </c>
      <c r="AB24" s="73">
        <v>3.0248816727959098</v>
      </c>
      <c r="AC24" s="73">
        <v>3.9982883888888887</v>
      </c>
      <c r="AD24" s="73">
        <v>-25.508901929003891</v>
      </c>
      <c r="AE24" s="73">
        <v>2.2461111111111109</v>
      </c>
      <c r="AF24" s="73">
        <v>2.2461111111111109</v>
      </c>
      <c r="AG24" s="32">
        <f t="shared" si="16"/>
        <v>1.1379460310984945E-2</v>
      </c>
      <c r="AH24" s="32">
        <f t="shared" si="17"/>
        <v>0.25846953038557846</v>
      </c>
      <c r="AI24" s="33">
        <f t="shared" si="18"/>
        <v>0.14600257239564882</v>
      </c>
      <c r="AJ24" s="34">
        <f t="shared" si="19"/>
        <v>2.2170094734057804</v>
      </c>
      <c r="AK24" s="16">
        <f t="shared" si="20"/>
        <v>6.2051093268150746E-2</v>
      </c>
      <c r="AL24" s="16">
        <f t="shared" si="21"/>
        <v>0.94222902619745674</v>
      </c>
      <c r="AM24" s="27">
        <f t="shared" si="22"/>
        <v>62.051093268150744</v>
      </c>
      <c r="AN24" s="27">
        <f t="shared" si="23"/>
        <v>942.22902619745673</v>
      </c>
      <c r="AO24" s="29" t="e">
        <f t="shared" si="24"/>
        <v>#VALUE!</v>
      </c>
      <c r="AP24" s="29" t="e">
        <f t="shared" si="25"/>
        <v>#VALUE!</v>
      </c>
      <c r="AQ24" s="27">
        <f t="shared" si="26"/>
        <v>15.184728851201061</v>
      </c>
      <c r="AR24" s="14">
        <f t="shared" si="27"/>
        <v>1583.0657550160126</v>
      </c>
      <c r="AS24" s="25">
        <v>0.36620000000000003</v>
      </c>
      <c r="AT24" s="22">
        <f t="shared" si="28"/>
        <v>0.94060361131088466</v>
      </c>
      <c r="AU24" s="22">
        <f t="shared" si="29"/>
        <v>0.57440361131088458</v>
      </c>
      <c r="AV24" s="15"/>
      <c r="AW24" s="22"/>
      <c r="AX24" s="34">
        <f t="shared" si="30"/>
        <v>5744.0361131088466</v>
      </c>
      <c r="AY24" s="14">
        <f t="shared" si="31"/>
        <v>10.858758128280293</v>
      </c>
      <c r="AZ24" s="25">
        <v>1.0819000000000001</v>
      </c>
      <c r="BA24" s="22">
        <f t="shared" si="32"/>
        <v>1.1231441695751867</v>
      </c>
      <c r="BB24" s="38">
        <f t="shared" si="33"/>
        <v>4.1244169575186618E-2</v>
      </c>
      <c r="BC24" s="15"/>
      <c r="BD24" s="38"/>
      <c r="BE24" s="38">
        <f t="shared" si="34"/>
        <v>412.44169575186618</v>
      </c>
    </row>
    <row r="25" spans="1:57" ht="15.75">
      <c r="A25" s="67">
        <v>22</v>
      </c>
      <c r="B25" s="134">
        <v>3</v>
      </c>
      <c r="C25" s="66" t="s">
        <v>421</v>
      </c>
      <c r="D25" s="66" t="s">
        <v>424</v>
      </c>
      <c r="E25" s="66" t="s">
        <v>410</v>
      </c>
      <c r="F25" s="66" t="s">
        <v>411</v>
      </c>
      <c r="G25" s="66">
        <v>3</v>
      </c>
      <c r="H25" s="66" t="s">
        <v>429</v>
      </c>
      <c r="I25" s="66">
        <v>100</v>
      </c>
      <c r="J25" s="66">
        <v>7.15</v>
      </c>
      <c r="K25" s="66">
        <v>30</v>
      </c>
      <c r="L25" s="66" t="s">
        <v>83</v>
      </c>
      <c r="M25" s="66">
        <v>1</v>
      </c>
      <c r="N25"/>
      <c r="O25"/>
      <c r="P25"/>
      <c r="Q25" s="108">
        <v>10</v>
      </c>
      <c r="R25" s="53">
        <v>8</v>
      </c>
      <c r="S25" s="53">
        <f t="shared" si="15"/>
        <v>2</v>
      </c>
      <c r="T25" s="80">
        <v>130</v>
      </c>
      <c r="U25" s="80" t="s">
        <v>210</v>
      </c>
      <c r="V25" s="81">
        <v>5.6651210000000001</v>
      </c>
      <c r="W25" s="81">
        <v>1312.2469043323244</v>
      </c>
      <c r="X25" s="81">
        <v>4.1254332500000004</v>
      </c>
      <c r="Y25" s="81">
        <v>-3.0537534258326438</v>
      </c>
      <c r="Z25" s="69" t="s">
        <v>54</v>
      </c>
      <c r="AA25" s="73">
        <v>5.5661983611111108</v>
      </c>
      <c r="AB25" s="73">
        <v>3.0248816727959098</v>
      </c>
      <c r="AC25" s="73">
        <v>3.9982883888888887</v>
      </c>
      <c r="AD25" s="73">
        <v>-25.508901929003891</v>
      </c>
      <c r="AE25" s="73">
        <v>2.2461111111111109</v>
      </c>
      <c r="AF25" s="73">
        <v>2.2461111111111109</v>
      </c>
      <c r="AG25" s="32">
        <f t="shared" si="16"/>
        <v>1.1379460310984945E-2</v>
      </c>
      <c r="AH25" s="32">
        <f t="shared" si="17"/>
        <v>0.25846953038557846</v>
      </c>
      <c r="AI25" s="33">
        <f t="shared" si="18"/>
        <v>6.446601957642735E-2</v>
      </c>
      <c r="AJ25" s="34">
        <f t="shared" si="19"/>
        <v>1.0662987947645508</v>
      </c>
      <c r="AK25" s="16">
        <f t="shared" si="20"/>
        <v>2.7398058319981624E-2</v>
      </c>
      <c r="AL25" s="16">
        <f t="shared" si="21"/>
        <v>0.45317698777493404</v>
      </c>
      <c r="AM25" s="27">
        <f t="shared" si="22"/>
        <v>27.398058319981622</v>
      </c>
      <c r="AN25" s="27">
        <f t="shared" si="23"/>
        <v>453.17698777493405</v>
      </c>
      <c r="AO25" s="29" t="e">
        <f t="shared" si="24"/>
        <v>#VALUE!</v>
      </c>
      <c r="AP25" s="29" t="e">
        <f t="shared" si="25"/>
        <v>#VALUE!</v>
      </c>
      <c r="AQ25" s="27">
        <f t="shared" si="26"/>
        <v>16.540478251498154</v>
      </c>
      <c r="AR25" s="14">
        <f t="shared" si="27"/>
        <v>1311.2020226595284</v>
      </c>
      <c r="AS25" s="25">
        <v>0.36620000000000003</v>
      </c>
      <c r="AT25" s="22">
        <f t="shared" si="28"/>
        <v>0.84244050698082507</v>
      </c>
      <c r="AU25" s="22">
        <f t="shared" si="29"/>
        <v>0.47624050698082504</v>
      </c>
      <c r="AV25" s="15"/>
      <c r="AW25" s="22"/>
      <c r="AX25" s="34">
        <f t="shared" si="30"/>
        <v>4762.4050698082501</v>
      </c>
      <c r="AY25" s="14">
        <f t="shared" si="31"/>
        <v>-3.5748514968287544</v>
      </c>
      <c r="AZ25" s="25">
        <v>1.0819000000000001</v>
      </c>
      <c r="BA25" s="22">
        <f t="shared" si="32"/>
        <v>1.107284859708596</v>
      </c>
      <c r="BB25" s="38">
        <f t="shared" si="33"/>
        <v>2.5384859708595942E-2</v>
      </c>
      <c r="BC25" s="15"/>
      <c r="BD25" s="38"/>
      <c r="BE25" s="38">
        <f t="shared" si="34"/>
        <v>253.84859708595943</v>
      </c>
    </row>
    <row r="26" spans="1:57" ht="15.75">
      <c r="A26" s="135"/>
      <c r="B26" s="136"/>
      <c r="C26" s="135"/>
      <c r="D26" s="135" t="s">
        <v>116</v>
      </c>
      <c r="E26" s="135"/>
      <c r="F26" s="135" t="s">
        <v>55</v>
      </c>
      <c r="G26" s="135"/>
      <c r="H26" s="135"/>
      <c r="I26" s="135"/>
      <c r="J26" s="135"/>
      <c r="K26" s="135"/>
      <c r="L26" s="135" t="s">
        <v>129</v>
      </c>
      <c r="M26" s="137">
        <v>1</v>
      </c>
      <c r="N26"/>
      <c r="O26"/>
      <c r="P26"/>
      <c r="Q26" s="108">
        <v>10</v>
      </c>
      <c r="R26" s="53">
        <v>8</v>
      </c>
      <c r="S26" s="53">
        <f t="shared" si="15"/>
        <v>2</v>
      </c>
      <c r="T26" s="82">
        <v>131</v>
      </c>
      <c r="U26" s="82" t="s">
        <v>211</v>
      </c>
      <c r="V26" s="83">
        <v>6.0239944999999997</v>
      </c>
      <c r="W26" s="83">
        <v>5.0220988703314982</v>
      </c>
      <c r="X26" s="83">
        <v>4.2970790000000001</v>
      </c>
      <c r="Y26" s="83">
        <v>-26.229176399678455</v>
      </c>
      <c r="Z26" s="69">
        <v>2.3340000000000001</v>
      </c>
      <c r="AA26" s="73">
        <v>5.5661983611111108</v>
      </c>
      <c r="AB26" s="73">
        <v>3.0248816727959098</v>
      </c>
      <c r="AC26" s="73">
        <v>3.9982883888888887</v>
      </c>
      <c r="AD26" s="73">
        <v>-25.508901929003891</v>
      </c>
      <c r="AE26" s="73">
        <v>2.2461111111111109</v>
      </c>
      <c r="AF26" s="73">
        <v>2.2461111111111109</v>
      </c>
      <c r="AG26" s="32">
        <f t="shared" si="16"/>
        <v>1.1379460310984945E-2</v>
      </c>
      <c r="AH26" s="32">
        <f t="shared" si="17"/>
        <v>0.25846953038557846</v>
      </c>
      <c r="AI26" s="33">
        <f t="shared" si="18"/>
        <v>6.8549806326341597E-2</v>
      </c>
      <c r="AJ26" s="34">
        <f t="shared" si="19"/>
        <v>1.1106639911597311</v>
      </c>
      <c r="AK26" s="16" t="e">
        <f t="shared" si="20"/>
        <v>#DIV/0!</v>
      </c>
      <c r="AL26" s="16" t="e">
        <f t="shared" si="21"/>
        <v>#DIV/0!</v>
      </c>
      <c r="AM26" s="27" t="e">
        <f t="shared" si="22"/>
        <v>#DIV/0!</v>
      </c>
      <c r="AN26" s="27" t="e">
        <f t="shared" si="23"/>
        <v>#DIV/0!</v>
      </c>
      <c r="AO26" s="29">
        <f t="shared" si="24"/>
        <v>2.9370096969298025</v>
      </c>
      <c r="AP26" s="29">
        <f t="shared" si="25"/>
        <v>47.586289252773398</v>
      </c>
      <c r="AQ26" s="27">
        <f t="shared" si="26"/>
        <v>16.202292182595663</v>
      </c>
      <c r="AR26" s="14">
        <f t="shared" si="27"/>
        <v>3.9772171975355883</v>
      </c>
      <c r="AS26" s="25">
        <v>0.36620000000000003</v>
      </c>
      <c r="AT26" s="22">
        <f t="shared" si="28"/>
        <v>0.36770496564940908</v>
      </c>
      <c r="AU26" s="22">
        <f t="shared" si="29"/>
        <v>1.5049656494090513E-3</v>
      </c>
      <c r="AV26" s="15"/>
      <c r="AW26" s="22"/>
      <c r="AX26" s="34">
        <f t="shared" si="30"/>
        <v>15.049656494090513</v>
      </c>
      <c r="AY26" s="14">
        <f t="shared" si="31"/>
        <v>-26.750274470674565</v>
      </c>
      <c r="AZ26" s="25">
        <v>1.0819000000000001</v>
      </c>
      <c r="BA26" s="22">
        <f t="shared" si="32"/>
        <v>1.0818096062475357</v>
      </c>
      <c r="BB26" s="38">
        <f t="shared" si="33"/>
        <v>-9.0393752464335009E-5</v>
      </c>
      <c r="BC26" s="15"/>
      <c r="BD26" s="38"/>
      <c r="BE26" s="38">
        <f t="shared" si="34"/>
        <v>-0.9039375246433502</v>
      </c>
    </row>
    <row r="27" spans="1:57" ht="15.75">
      <c r="A27" s="67">
        <v>23</v>
      </c>
      <c r="B27" s="134">
        <v>3</v>
      </c>
      <c r="C27" s="66" t="s">
        <v>423</v>
      </c>
      <c r="D27" s="66" t="s">
        <v>414</v>
      </c>
      <c r="E27" s="66" t="s">
        <v>410</v>
      </c>
      <c r="F27" s="66" t="s">
        <v>411</v>
      </c>
      <c r="G27" s="66">
        <v>3</v>
      </c>
      <c r="H27" s="66" t="s">
        <v>429</v>
      </c>
      <c r="I27" s="66">
        <v>100</v>
      </c>
      <c r="J27" s="66">
        <v>10.01</v>
      </c>
      <c r="K27" s="66">
        <v>30</v>
      </c>
      <c r="L27" s="66" t="s">
        <v>84</v>
      </c>
      <c r="M27" s="66">
        <v>1</v>
      </c>
      <c r="N27"/>
      <c r="O27"/>
      <c r="P27"/>
      <c r="Q27" s="108">
        <v>10</v>
      </c>
      <c r="R27" s="53">
        <v>8</v>
      </c>
      <c r="S27" s="53">
        <f t="shared" si="15"/>
        <v>2</v>
      </c>
      <c r="T27" s="80">
        <v>132</v>
      </c>
      <c r="U27" s="80" t="s">
        <v>212</v>
      </c>
      <c r="V27" s="81">
        <v>2.1247180000000001</v>
      </c>
      <c r="W27" s="81">
        <v>683.96662715281104</v>
      </c>
      <c r="X27" s="81">
        <v>1.1550164999999999</v>
      </c>
      <c r="Y27" s="81">
        <v>-22.629625458936047</v>
      </c>
      <c r="Z27" s="69" t="s">
        <v>54</v>
      </c>
      <c r="AA27" s="73">
        <v>5.5661983611111108</v>
      </c>
      <c r="AB27" s="73">
        <v>3.0248816727959098</v>
      </c>
      <c r="AC27" s="73">
        <v>3.9982883888888887</v>
      </c>
      <c r="AD27" s="73">
        <v>-25.508901929003891</v>
      </c>
      <c r="AE27" s="73">
        <v>2.2461111111111109</v>
      </c>
      <c r="AF27" s="73">
        <v>2.2461111111111109</v>
      </c>
      <c r="AG27" s="32">
        <f t="shared" si="16"/>
        <v>1.1379460310984945E-2</v>
      </c>
      <c r="AH27" s="32">
        <f t="shared" si="17"/>
        <v>0.25846953038557846</v>
      </c>
      <c r="AI27" s="33">
        <f t="shared" si="18"/>
        <v>2.4178144153035312E-2</v>
      </c>
      <c r="AJ27" s="34">
        <f t="shared" si="19"/>
        <v>0.29853657234259445</v>
      </c>
      <c r="AK27" s="16">
        <f t="shared" si="20"/>
        <v>1.0275711265040009E-2</v>
      </c>
      <c r="AL27" s="16">
        <f t="shared" si="21"/>
        <v>0.12687804324560265</v>
      </c>
      <c r="AM27" s="27">
        <f t="shared" si="22"/>
        <v>10.275711265040009</v>
      </c>
      <c r="AN27" s="27">
        <f t="shared" si="23"/>
        <v>126.87804324560264</v>
      </c>
      <c r="AO27" s="29" t="e">
        <f t="shared" si="24"/>
        <v>#VALUE!</v>
      </c>
      <c r="AP27" s="29" t="e">
        <f t="shared" si="25"/>
        <v>#VALUE!</v>
      </c>
      <c r="AQ27" s="27">
        <f t="shared" si="26"/>
        <v>12.347373332419988</v>
      </c>
      <c r="AR27" s="14">
        <f t="shared" si="27"/>
        <v>682.92174548001515</v>
      </c>
      <c r="AS27" s="25">
        <v>0.36620000000000003</v>
      </c>
      <c r="AT27" s="22">
        <f t="shared" si="28"/>
        <v>0.61483838495020771</v>
      </c>
      <c r="AU27" s="22">
        <f t="shared" si="29"/>
        <v>0.24863838495020768</v>
      </c>
      <c r="AV27" s="15"/>
      <c r="AW27" s="22"/>
      <c r="AX27" s="34">
        <f t="shared" si="30"/>
        <v>2486.3838495020768</v>
      </c>
      <c r="AY27" s="14">
        <f t="shared" si="31"/>
        <v>-23.150723529932158</v>
      </c>
      <c r="AZ27" s="25">
        <v>1.0819000000000001</v>
      </c>
      <c r="BA27" s="22">
        <f t="shared" si="32"/>
        <v>1.0857672222598034</v>
      </c>
      <c r="BB27" s="38">
        <f t="shared" si="33"/>
        <v>3.8672222598032935E-3</v>
      </c>
      <c r="BC27" s="15"/>
      <c r="BD27" s="38"/>
      <c r="BE27" s="38">
        <f t="shared" si="34"/>
        <v>38.672222598032931</v>
      </c>
    </row>
    <row r="28" spans="1:57" ht="15.75">
      <c r="A28" s="67">
        <v>24</v>
      </c>
      <c r="B28" s="134">
        <v>3</v>
      </c>
      <c r="C28" s="66" t="s">
        <v>425</v>
      </c>
      <c r="D28" s="66" t="s">
        <v>409</v>
      </c>
      <c r="E28" s="66" t="s">
        <v>410</v>
      </c>
      <c r="F28" s="66" t="s">
        <v>411</v>
      </c>
      <c r="G28" s="66">
        <v>3</v>
      </c>
      <c r="H28" s="66" t="s">
        <v>429</v>
      </c>
      <c r="I28" s="66">
        <v>100</v>
      </c>
      <c r="J28" s="66">
        <v>8.89</v>
      </c>
      <c r="K28" s="66">
        <v>30</v>
      </c>
      <c r="L28" s="66" t="s">
        <v>85</v>
      </c>
      <c r="M28" s="66">
        <v>1</v>
      </c>
      <c r="N28"/>
      <c r="O28"/>
      <c r="P28"/>
      <c r="Q28" s="108">
        <v>10</v>
      </c>
      <c r="R28" s="53">
        <v>8</v>
      </c>
      <c r="S28" s="53">
        <f t="shared" si="15"/>
        <v>2</v>
      </c>
      <c r="T28" s="82">
        <v>133</v>
      </c>
      <c r="U28" s="82" t="s">
        <v>213</v>
      </c>
      <c r="V28" s="83">
        <v>7.9669825000000003</v>
      </c>
      <c r="W28" s="83">
        <v>1101.7326398965754</v>
      </c>
      <c r="X28" s="83">
        <v>5.0831315000000004</v>
      </c>
      <c r="Y28" s="83">
        <v>-1.6725509158680993</v>
      </c>
      <c r="Z28" s="69" t="s">
        <v>54</v>
      </c>
      <c r="AA28" s="73">
        <v>5.5661983611111108</v>
      </c>
      <c r="AB28" s="73">
        <v>3.0248816727959098</v>
      </c>
      <c r="AC28" s="73">
        <v>3.9982883888888887</v>
      </c>
      <c r="AD28" s="73">
        <v>-25.508901929003891</v>
      </c>
      <c r="AE28" s="73">
        <v>2.2461111111111109</v>
      </c>
      <c r="AF28" s="73">
        <v>2.2461111111111109</v>
      </c>
      <c r="AG28" s="32">
        <f t="shared" si="16"/>
        <v>1.1379460310984945E-2</v>
      </c>
      <c r="AH28" s="32">
        <f t="shared" si="17"/>
        <v>0.25846953038557846</v>
      </c>
      <c r="AI28" s="33">
        <f t="shared" si="18"/>
        <v>9.0659961157061625E-2</v>
      </c>
      <c r="AJ28" s="34">
        <f t="shared" si="19"/>
        <v>1.3138346116931412</v>
      </c>
      <c r="AK28" s="16">
        <f t="shared" si="20"/>
        <v>3.8530483491751193E-2</v>
      </c>
      <c r="AL28" s="16">
        <f t="shared" si="21"/>
        <v>0.55837970996958508</v>
      </c>
      <c r="AM28" s="27">
        <f t="shared" si="22"/>
        <v>38.530483491751191</v>
      </c>
      <c r="AN28" s="27">
        <f t="shared" si="23"/>
        <v>558.37970996958506</v>
      </c>
      <c r="AO28" s="29" t="e">
        <f t="shared" si="24"/>
        <v>#VALUE!</v>
      </c>
      <c r="AP28" s="29" t="e">
        <f t="shared" si="25"/>
        <v>#VALUE!</v>
      </c>
      <c r="AQ28" s="27">
        <f t="shared" si="26"/>
        <v>14.491894712121271</v>
      </c>
      <c r="AR28" s="14">
        <f t="shared" si="27"/>
        <v>1100.6877582237794</v>
      </c>
      <c r="AS28" s="25">
        <v>0.36620000000000003</v>
      </c>
      <c r="AT28" s="22">
        <f t="shared" si="28"/>
        <v>0.7662953886930941</v>
      </c>
      <c r="AU28" s="22">
        <f t="shared" si="29"/>
        <v>0.40009538869309408</v>
      </c>
      <c r="AV28" s="15"/>
      <c r="AW28" s="22"/>
      <c r="AX28" s="34">
        <f t="shared" si="30"/>
        <v>4000.9538869309413</v>
      </c>
      <c r="AY28" s="14">
        <f t="shared" si="31"/>
        <v>-2.1936489868642099</v>
      </c>
      <c r="AZ28" s="25">
        <v>1.0819000000000001</v>
      </c>
      <c r="BA28" s="22">
        <f t="shared" si="32"/>
        <v>1.1088027125764326</v>
      </c>
      <c r="BB28" s="38">
        <f t="shared" si="33"/>
        <v>2.6902712576432508E-2</v>
      </c>
      <c r="BC28" s="15"/>
      <c r="BD28" s="38"/>
      <c r="BE28" s="38">
        <f t="shared" si="34"/>
        <v>269.02712576432509</v>
      </c>
    </row>
    <row r="29" spans="1:57" ht="15.75">
      <c r="A29" s="67">
        <v>25</v>
      </c>
      <c r="B29" s="134">
        <v>4</v>
      </c>
      <c r="C29" s="66" t="s">
        <v>408</v>
      </c>
      <c r="D29" s="66" t="s">
        <v>416</v>
      </c>
      <c r="E29" s="66" t="s">
        <v>410</v>
      </c>
      <c r="F29" s="66" t="s">
        <v>411</v>
      </c>
      <c r="G29" s="66">
        <v>4</v>
      </c>
      <c r="H29" s="66" t="s">
        <v>430</v>
      </c>
      <c r="I29" s="66">
        <v>100</v>
      </c>
      <c r="J29" s="66">
        <v>4.59</v>
      </c>
      <c r="K29" s="66">
        <v>30</v>
      </c>
      <c r="L29" s="66" t="s">
        <v>86</v>
      </c>
      <c r="M29" s="66">
        <v>1</v>
      </c>
      <c r="N29"/>
      <c r="O29"/>
      <c r="P29"/>
      <c r="Q29" s="108">
        <v>10</v>
      </c>
      <c r="R29" s="53">
        <v>8</v>
      </c>
      <c r="S29" s="53">
        <f t="shared" si="15"/>
        <v>2</v>
      </c>
      <c r="T29" s="80">
        <v>134</v>
      </c>
      <c r="U29" s="80" t="s">
        <v>214</v>
      </c>
      <c r="V29" s="81">
        <v>2.4514887500000002</v>
      </c>
      <c r="W29" s="81">
        <v>682.95483338621773</v>
      </c>
      <c r="X29" s="81">
        <v>1.606986</v>
      </c>
      <c r="Y29" s="81">
        <v>-21.614155723320977</v>
      </c>
      <c r="Z29" s="69" t="s">
        <v>54</v>
      </c>
      <c r="AA29" s="73">
        <v>5.5661983611111108</v>
      </c>
      <c r="AB29" s="73">
        <v>3.0248816727959098</v>
      </c>
      <c r="AC29" s="73">
        <v>3.9982883888888887</v>
      </c>
      <c r="AD29" s="73">
        <v>-25.508901929003891</v>
      </c>
      <c r="AE29" s="73">
        <v>2.2461111111111109</v>
      </c>
      <c r="AF29" s="73">
        <v>2.2461111111111109</v>
      </c>
      <c r="AG29" s="32">
        <f t="shared" si="16"/>
        <v>1.1379460310984945E-2</v>
      </c>
      <c r="AH29" s="32">
        <f t="shared" si="17"/>
        <v>0.25846953038557846</v>
      </c>
      <c r="AI29" s="33">
        <f t="shared" si="18"/>
        <v>2.7896618933451096E-2</v>
      </c>
      <c r="AJ29" s="34">
        <f t="shared" si="19"/>
        <v>0.41535691675619918</v>
      </c>
      <c r="AK29" s="16">
        <f t="shared" si="20"/>
        <v>1.1856063046716716E-2</v>
      </c>
      <c r="AL29" s="16">
        <f t="shared" si="21"/>
        <v>0.17652668962138465</v>
      </c>
      <c r="AM29" s="27">
        <f t="shared" si="22"/>
        <v>11.856063046716715</v>
      </c>
      <c r="AN29" s="27">
        <f t="shared" si="23"/>
        <v>176.52668962138466</v>
      </c>
      <c r="AO29" s="29" t="e">
        <f t="shared" si="24"/>
        <v>#VALUE!</v>
      </c>
      <c r="AP29" s="29" t="e">
        <f t="shared" si="25"/>
        <v>#VALUE!</v>
      </c>
      <c r="AQ29" s="27">
        <f t="shared" si="26"/>
        <v>14.889149030821827</v>
      </c>
      <c r="AR29" s="14">
        <f t="shared" si="27"/>
        <v>681.90995171342183</v>
      </c>
      <c r="AS29" s="25">
        <v>0.36620000000000003</v>
      </c>
      <c r="AT29" s="22">
        <f t="shared" si="28"/>
        <v>0.6144710077465424</v>
      </c>
      <c r="AU29" s="22">
        <f t="shared" si="29"/>
        <v>0.24827100774654237</v>
      </c>
      <c r="AV29" s="15"/>
      <c r="AW29" s="22"/>
      <c r="AX29" s="34">
        <f t="shared" si="30"/>
        <v>2482.7100774654236</v>
      </c>
      <c r="AY29" s="14">
        <f t="shared" si="31"/>
        <v>-22.135253794317087</v>
      </c>
      <c r="AZ29" s="25">
        <v>1.0819000000000001</v>
      </c>
      <c r="BA29" s="22">
        <f t="shared" si="32"/>
        <v>1.086883648504096</v>
      </c>
      <c r="BB29" s="38">
        <f t="shared" si="33"/>
        <v>4.9836485040959388E-3</v>
      </c>
      <c r="BC29" s="15"/>
      <c r="BD29" s="38"/>
      <c r="BE29" s="38">
        <f t="shared" si="34"/>
        <v>49.836485040959381</v>
      </c>
    </row>
    <row r="30" spans="1:57" ht="15.75">
      <c r="A30" s="67">
        <v>26</v>
      </c>
      <c r="B30" s="134">
        <v>4</v>
      </c>
      <c r="C30" s="66" t="s">
        <v>413</v>
      </c>
      <c r="D30" s="66" t="s">
        <v>409</v>
      </c>
      <c r="E30" s="66" t="s">
        <v>410</v>
      </c>
      <c r="F30" s="66" t="s">
        <v>411</v>
      </c>
      <c r="G30" s="66">
        <v>4</v>
      </c>
      <c r="H30" s="66" t="s">
        <v>430</v>
      </c>
      <c r="I30" s="66">
        <v>100</v>
      </c>
      <c r="J30" s="66">
        <v>5.44</v>
      </c>
      <c r="K30" s="66">
        <v>30</v>
      </c>
      <c r="L30" s="66" t="s">
        <v>87</v>
      </c>
      <c r="M30" s="66">
        <v>1</v>
      </c>
      <c r="N30"/>
      <c r="O30"/>
      <c r="P30"/>
      <c r="Q30" s="108">
        <v>10</v>
      </c>
      <c r="R30" s="53">
        <v>8</v>
      </c>
      <c r="S30" s="53">
        <f t="shared" si="15"/>
        <v>2</v>
      </c>
      <c r="T30" s="82">
        <v>135</v>
      </c>
      <c r="U30" s="82" t="s">
        <v>215</v>
      </c>
      <c r="V30" s="83">
        <v>10.023908</v>
      </c>
      <c r="W30" s="83">
        <v>92.625321504389618</v>
      </c>
      <c r="X30" s="83">
        <v>7.5566500000000003</v>
      </c>
      <c r="Y30" s="83">
        <v>-25.038013998667083</v>
      </c>
      <c r="Z30" s="69" t="s">
        <v>54</v>
      </c>
      <c r="AA30" s="73">
        <v>5.5661983611111108</v>
      </c>
      <c r="AB30" s="73">
        <v>3.0248816727959098</v>
      </c>
      <c r="AC30" s="73">
        <v>3.9982883888888887</v>
      </c>
      <c r="AD30" s="73">
        <v>-25.508901929003891</v>
      </c>
      <c r="AE30" s="73">
        <v>2.2461111111111109</v>
      </c>
      <c r="AF30" s="73">
        <v>2.2461111111111109</v>
      </c>
      <c r="AG30" s="32">
        <f t="shared" si="16"/>
        <v>1.1379460310984945E-2</v>
      </c>
      <c r="AH30" s="32">
        <f t="shared" si="17"/>
        <v>0.25846953038557846</v>
      </c>
      <c r="AI30" s="33">
        <f t="shared" si="18"/>
        <v>0.11406666324696449</v>
      </c>
      <c r="AJ30" s="34">
        <f t="shared" si="19"/>
        <v>1.9531637767881815</v>
      </c>
      <c r="AK30" s="16">
        <f t="shared" si="20"/>
        <v>4.8478331879959903E-2</v>
      </c>
      <c r="AL30" s="16">
        <f t="shared" si="21"/>
        <v>0.83009460513497713</v>
      </c>
      <c r="AM30" s="27">
        <f t="shared" si="22"/>
        <v>48.478331879959903</v>
      </c>
      <c r="AN30" s="27">
        <f t="shared" si="23"/>
        <v>830.09460513497709</v>
      </c>
      <c r="AO30" s="29" t="e">
        <f t="shared" si="24"/>
        <v>#VALUE!</v>
      </c>
      <c r="AP30" s="29" t="e">
        <f t="shared" si="25"/>
        <v>#VALUE!</v>
      </c>
      <c r="AQ30" s="27">
        <f t="shared" si="26"/>
        <v>17.123002647665846</v>
      </c>
      <c r="AR30" s="14">
        <f t="shared" si="27"/>
        <v>91.580439831593708</v>
      </c>
      <c r="AS30" s="25">
        <v>0.36620000000000003</v>
      </c>
      <c r="AT30" s="22">
        <f t="shared" si="28"/>
        <v>0.39966126901216115</v>
      </c>
      <c r="AU30" s="22">
        <f t="shared" si="29"/>
        <v>3.3461269012161121E-2</v>
      </c>
      <c r="AV30" s="15"/>
      <c r="AW30" s="22"/>
      <c r="AX30" s="34">
        <f t="shared" si="30"/>
        <v>334.61269012161119</v>
      </c>
      <c r="AY30" s="14">
        <f t="shared" si="31"/>
        <v>-25.559112069663193</v>
      </c>
      <c r="AZ30" s="25">
        <v>1.0819000000000001</v>
      </c>
      <c r="BA30" s="22">
        <f t="shared" si="32"/>
        <v>1.0831192945022425</v>
      </c>
      <c r="BB30" s="38">
        <f t="shared" si="33"/>
        <v>1.2192945022424517E-3</v>
      </c>
      <c r="BC30" s="15"/>
      <c r="BD30" s="38"/>
      <c r="BE30" s="38">
        <f t="shared" si="34"/>
        <v>12.192945022424517</v>
      </c>
    </row>
    <row r="31" spans="1:57" ht="15.75">
      <c r="A31" s="67">
        <v>27</v>
      </c>
      <c r="B31" s="134">
        <v>4</v>
      </c>
      <c r="C31" s="66" t="s">
        <v>415</v>
      </c>
      <c r="D31" s="66" t="s">
        <v>418</v>
      </c>
      <c r="E31" s="66" t="s">
        <v>410</v>
      </c>
      <c r="F31" s="66" t="s">
        <v>411</v>
      </c>
      <c r="G31" s="66">
        <v>4</v>
      </c>
      <c r="H31" s="66" t="s">
        <v>430</v>
      </c>
      <c r="I31" s="66">
        <v>100</v>
      </c>
      <c r="J31" s="66">
        <v>7.91</v>
      </c>
      <c r="K31" s="66">
        <v>30</v>
      </c>
      <c r="L31" s="66" t="s">
        <v>88</v>
      </c>
      <c r="M31" s="66">
        <v>1</v>
      </c>
      <c r="N31"/>
      <c r="O31"/>
      <c r="P31"/>
      <c r="Q31" s="108">
        <v>10</v>
      </c>
      <c r="R31" s="53">
        <v>8</v>
      </c>
      <c r="S31" s="53">
        <f t="shared" si="15"/>
        <v>2</v>
      </c>
      <c r="T31" s="80">
        <v>136</v>
      </c>
      <c r="U31" s="80" t="s">
        <v>216</v>
      </c>
      <c r="V31" s="81">
        <v>1.6231211249999999</v>
      </c>
      <c r="W31" s="81">
        <v>626.37796122187729</v>
      </c>
      <c r="X31" s="81">
        <v>1.0652483749999999</v>
      </c>
      <c r="Y31" s="81">
        <v>-25.225216128355925</v>
      </c>
      <c r="Z31" s="69" t="s">
        <v>54</v>
      </c>
      <c r="AA31" s="73">
        <v>5.5661983611111108</v>
      </c>
      <c r="AB31" s="73">
        <v>3.0248816727959098</v>
      </c>
      <c r="AC31" s="73">
        <v>3.9982883888888887</v>
      </c>
      <c r="AD31" s="73">
        <v>-25.508901929003891</v>
      </c>
      <c r="AE31" s="73">
        <v>2.2461111111111109</v>
      </c>
      <c r="AF31" s="73">
        <v>2.2461111111111109</v>
      </c>
      <c r="AG31" s="32">
        <f t="shared" si="16"/>
        <v>1.1379460310984945E-2</v>
      </c>
      <c r="AH31" s="32">
        <f t="shared" si="17"/>
        <v>0.25846953038557846</v>
      </c>
      <c r="AI31" s="33">
        <f t="shared" si="18"/>
        <v>1.8470242421858733E-2</v>
      </c>
      <c r="AJ31" s="34">
        <f t="shared" si="19"/>
        <v>0.27533424723025057</v>
      </c>
      <c r="AK31" s="16">
        <f t="shared" si="20"/>
        <v>7.8498530292899615E-3</v>
      </c>
      <c r="AL31" s="16">
        <f t="shared" si="21"/>
        <v>0.11701705507285651</v>
      </c>
      <c r="AM31" s="27">
        <f t="shared" si="22"/>
        <v>7.8498530292899611</v>
      </c>
      <c r="AN31" s="27">
        <f t="shared" si="23"/>
        <v>117.01705507285651</v>
      </c>
      <c r="AO31" s="29" t="e">
        <f t="shared" si="24"/>
        <v>#VALUE!</v>
      </c>
      <c r="AP31" s="29" t="e">
        <f t="shared" si="25"/>
        <v>#VALUE!</v>
      </c>
      <c r="AQ31" s="27">
        <f t="shared" si="26"/>
        <v>14.906910312363003</v>
      </c>
      <c r="AR31" s="14">
        <f t="shared" si="27"/>
        <v>625.33307954908139</v>
      </c>
      <c r="AS31" s="25">
        <v>0.36620000000000003</v>
      </c>
      <c r="AT31" s="22">
        <f t="shared" si="28"/>
        <v>0.59392390837488063</v>
      </c>
      <c r="AU31" s="22">
        <f t="shared" si="29"/>
        <v>0.2277239083748806</v>
      </c>
      <c r="AV31" s="15"/>
      <c r="AW31" s="22"/>
      <c r="AX31" s="34">
        <f t="shared" si="30"/>
        <v>2277.239083748806</v>
      </c>
      <c r="AY31" s="14">
        <f t="shared" si="31"/>
        <v>-25.746314199352035</v>
      </c>
      <c r="AZ31" s="25">
        <v>1.0819000000000001</v>
      </c>
      <c r="BA31" s="22">
        <f t="shared" si="32"/>
        <v>1.0829134672411602</v>
      </c>
      <c r="BB31" s="38">
        <f t="shared" si="33"/>
        <v>1.0134672411601375E-3</v>
      </c>
      <c r="BC31" s="15"/>
      <c r="BD31" s="38"/>
      <c r="BE31" s="38">
        <f t="shared" si="34"/>
        <v>10.134672411601375</v>
      </c>
    </row>
    <row r="32" spans="1:57" ht="15.75">
      <c r="A32" s="67">
        <v>28</v>
      </c>
      <c r="B32" s="134">
        <v>4</v>
      </c>
      <c r="C32" s="66" t="s">
        <v>417</v>
      </c>
      <c r="D32" s="66" t="s">
        <v>424</v>
      </c>
      <c r="E32" s="66" t="s">
        <v>410</v>
      </c>
      <c r="F32" s="66" t="s">
        <v>411</v>
      </c>
      <c r="G32" s="66">
        <v>4</v>
      </c>
      <c r="H32" s="66" t="s">
        <v>430</v>
      </c>
      <c r="I32" s="66">
        <v>100</v>
      </c>
      <c r="J32" s="66">
        <v>4.96</v>
      </c>
      <c r="K32" s="66">
        <v>30</v>
      </c>
      <c r="L32" s="66" t="s">
        <v>89</v>
      </c>
      <c r="M32" s="66">
        <v>1</v>
      </c>
      <c r="N32"/>
      <c r="O32"/>
      <c r="P32"/>
      <c r="Q32" s="108">
        <v>10</v>
      </c>
      <c r="R32" s="53">
        <v>8</v>
      </c>
      <c r="S32" s="53">
        <f t="shared" si="15"/>
        <v>2</v>
      </c>
      <c r="T32" s="82">
        <v>137</v>
      </c>
      <c r="U32" s="82" t="s">
        <v>217</v>
      </c>
      <c r="V32" s="83">
        <v>10.001783</v>
      </c>
      <c r="W32" s="83">
        <v>1475.8289988209701</v>
      </c>
      <c r="X32" s="83">
        <v>4.9146809999999999</v>
      </c>
      <c r="Y32" s="83">
        <v>7.4878417952287704</v>
      </c>
      <c r="Z32" s="69" t="s">
        <v>54</v>
      </c>
      <c r="AA32" s="73">
        <v>5.5661983611111108</v>
      </c>
      <c r="AB32" s="73">
        <v>3.0248816727959098</v>
      </c>
      <c r="AC32" s="73">
        <v>3.9982883888888887</v>
      </c>
      <c r="AD32" s="73">
        <v>-25.508901929003891</v>
      </c>
      <c r="AE32" s="73">
        <v>2.2461111111111109</v>
      </c>
      <c r="AF32" s="73">
        <v>2.2461111111111109</v>
      </c>
      <c r="AG32" s="32">
        <f t="shared" si="16"/>
        <v>1.1379460310984945E-2</v>
      </c>
      <c r="AH32" s="32">
        <f t="shared" si="17"/>
        <v>0.25846953038557846</v>
      </c>
      <c r="AI32" s="33">
        <f t="shared" si="18"/>
        <v>0.11381489268758394</v>
      </c>
      <c r="AJ32" s="34">
        <f t="shared" si="19"/>
        <v>1.2702952900649251</v>
      </c>
      <c r="AK32" s="16">
        <f t="shared" si="20"/>
        <v>4.8371329392223168E-2</v>
      </c>
      <c r="AL32" s="16">
        <f t="shared" si="21"/>
        <v>0.53987549827759318</v>
      </c>
      <c r="AM32" s="27">
        <f t="shared" si="22"/>
        <v>48.371329392223167</v>
      </c>
      <c r="AN32" s="27">
        <f t="shared" si="23"/>
        <v>539.87549827759312</v>
      </c>
      <c r="AO32" s="29" t="e">
        <f t="shared" si="24"/>
        <v>#VALUE!</v>
      </c>
      <c r="AP32" s="29" t="e">
        <f t="shared" si="25"/>
        <v>#VALUE!</v>
      </c>
      <c r="AQ32" s="27">
        <f t="shared" si="26"/>
        <v>11.161063900062892</v>
      </c>
      <c r="AR32" s="14">
        <f t="shared" si="27"/>
        <v>1474.7841171481741</v>
      </c>
      <c r="AS32" s="25">
        <v>0.36620000000000003</v>
      </c>
      <c r="AT32" s="22">
        <f t="shared" si="28"/>
        <v>0.90152915450342286</v>
      </c>
      <c r="AU32" s="22">
        <f t="shared" si="29"/>
        <v>0.53532915450342289</v>
      </c>
      <c r="AV32" s="15"/>
      <c r="AW32" s="22"/>
      <c r="AX32" s="34">
        <f t="shared" si="30"/>
        <v>5353.2915450342289</v>
      </c>
      <c r="AY32" s="14">
        <f t="shared" si="31"/>
        <v>6.9667437242326598</v>
      </c>
      <c r="AZ32" s="25">
        <v>1.0819000000000001</v>
      </c>
      <c r="BA32" s="22">
        <f t="shared" si="32"/>
        <v>1.118868216837168</v>
      </c>
      <c r="BB32" s="38">
        <f t="shared" si="33"/>
        <v>3.6968216837167889E-2</v>
      </c>
      <c r="BC32" s="15"/>
      <c r="BD32" s="38"/>
      <c r="BE32" s="38">
        <f t="shared" si="34"/>
        <v>369.68216837167887</v>
      </c>
    </row>
    <row r="33" spans="1:57" ht="15.75">
      <c r="A33" s="67">
        <v>29</v>
      </c>
      <c r="B33" s="134">
        <v>4</v>
      </c>
      <c r="C33" s="66" t="s">
        <v>419</v>
      </c>
      <c r="D33" s="66" t="s">
        <v>414</v>
      </c>
      <c r="E33" s="66" t="s">
        <v>410</v>
      </c>
      <c r="F33" s="66" t="s">
        <v>411</v>
      </c>
      <c r="G33" s="66">
        <v>4</v>
      </c>
      <c r="H33" s="66" t="s">
        <v>430</v>
      </c>
      <c r="I33" s="66">
        <v>100</v>
      </c>
      <c r="J33" s="66">
        <v>17.48</v>
      </c>
      <c r="K33" s="66">
        <v>30</v>
      </c>
      <c r="L33" s="66" t="s">
        <v>90</v>
      </c>
      <c r="M33" s="66">
        <v>1</v>
      </c>
      <c r="N33"/>
      <c r="O33"/>
      <c r="P33"/>
      <c r="Q33" s="108">
        <v>10</v>
      </c>
      <c r="R33" s="53">
        <v>8</v>
      </c>
      <c r="S33" s="53">
        <f t="shared" si="15"/>
        <v>2</v>
      </c>
      <c r="T33" s="80">
        <v>138</v>
      </c>
      <c r="U33" s="80" t="s">
        <v>218</v>
      </c>
      <c r="V33" s="81">
        <v>1.6994285</v>
      </c>
      <c r="W33" s="81">
        <v>839.58520635698619</v>
      </c>
      <c r="X33" s="81">
        <v>1.1199874999999999</v>
      </c>
      <c r="Y33" s="81">
        <v>-14.647483704175844</v>
      </c>
      <c r="Z33" s="69" t="s">
        <v>54</v>
      </c>
      <c r="AA33" s="73">
        <v>5.5661983611111108</v>
      </c>
      <c r="AB33" s="73">
        <v>3.0248816727959098</v>
      </c>
      <c r="AC33" s="73">
        <v>3.9982883888888887</v>
      </c>
      <c r="AD33" s="73">
        <v>-25.508901929003891</v>
      </c>
      <c r="AE33" s="73">
        <v>2.2461111111111109</v>
      </c>
      <c r="AF33" s="73">
        <v>2.2461111111111109</v>
      </c>
      <c r="AG33" s="32">
        <f t="shared" si="16"/>
        <v>1.1379460310984945E-2</v>
      </c>
      <c r="AH33" s="32">
        <f t="shared" si="17"/>
        <v>0.25846953038557846</v>
      </c>
      <c r="AI33" s="33">
        <f t="shared" si="18"/>
        <v>1.9338579167106681E-2</v>
      </c>
      <c r="AJ33" s="34">
        <f t="shared" si="19"/>
        <v>0.28948264316271805</v>
      </c>
      <c r="AK33" s="16">
        <f t="shared" si="20"/>
        <v>8.2188961460203398E-3</v>
      </c>
      <c r="AL33" s="16">
        <f t="shared" si="21"/>
        <v>0.12303012334415517</v>
      </c>
      <c r="AM33" s="27">
        <f t="shared" si="22"/>
        <v>8.2188961460203398</v>
      </c>
      <c r="AN33" s="27">
        <f t="shared" si="23"/>
        <v>123.03012334415517</v>
      </c>
      <c r="AO33" s="29" t="e">
        <f t="shared" si="24"/>
        <v>#VALUE!</v>
      </c>
      <c r="AP33" s="29" t="e">
        <f t="shared" si="25"/>
        <v>#VALUE!</v>
      </c>
      <c r="AQ33" s="27">
        <f t="shared" si="26"/>
        <v>14.969178483138203</v>
      </c>
      <c r="AR33" s="14">
        <f t="shared" si="27"/>
        <v>838.5403246841903</v>
      </c>
      <c r="AS33" s="25">
        <v>0.36620000000000003</v>
      </c>
      <c r="AT33" s="22">
        <f t="shared" si="28"/>
        <v>0.67131038938454579</v>
      </c>
      <c r="AU33" s="22">
        <f t="shared" si="29"/>
        <v>0.30511038938454577</v>
      </c>
      <c r="AV33" s="15"/>
      <c r="AW33" s="22"/>
      <c r="AX33" s="34">
        <f t="shared" si="30"/>
        <v>3051.1038938454576</v>
      </c>
      <c r="AY33" s="14">
        <f t="shared" si="31"/>
        <v>-15.168581775171955</v>
      </c>
      <c r="AZ33" s="25">
        <v>1.0819000000000001</v>
      </c>
      <c r="BA33" s="22">
        <f t="shared" si="32"/>
        <v>1.0945422573336214</v>
      </c>
      <c r="BB33" s="38">
        <f t="shared" si="33"/>
        <v>1.2642257333621343E-2</v>
      </c>
      <c r="BC33" s="15"/>
      <c r="BD33" s="38"/>
      <c r="BE33" s="38">
        <f t="shared" si="34"/>
        <v>126.42257333621343</v>
      </c>
    </row>
    <row r="34" spans="1:57" ht="15.75">
      <c r="A34" s="67">
        <v>30</v>
      </c>
      <c r="B34" s="134">
        <v>4</v>
      </c>
      <c r="C34" s="66" t="s">
        <v>421</v>
      </c>
      <c r="D34" s="66" t="s">
        <v>420</v>
      </c>
      <c r="E34" s="66" t="s">
        <v>410</v>
      </c>
      <c r="F34" s="66" t="s">
        <v>411</v>
      </c>
      <c r="G34" s="66">
        <v>4</v>
      </c>
      <c r="H34" s="66" t="s">
        <v>430</v>
      </c>
      <c r="I34" s="66">
        <v>100</v>
      </c>
      <c r="J34" s="66">
        <v>11.67</v>
      </c>
      <c r="K34" s="66">
        <v>30</v>
      </c>
      <c r="L34" s="66" t="s">
        <v>91</v>
      </c>
      <c r="M34" s="66">
        <v>1</v>
      </c>
      <c r="N34"/>
      <c r="O34"/>
      <c r="P34"/>
      <c r="Q34" s="108">
        <v>10</v>
      </c>
      <c r="R34" s="53">
        <v>8</v>
      </c>
      <c r="S34" s="53">
        <f t="shared" si="15"/>
        <v>2</v>
      </c>
      <c r="T34" s="82">
        <v>139</v>
      </c>
      <c r="U34" s="82" t="s">
        <v>219</v>
      </c>
      <c r="V34" s="83">
        <v>7.4832530000000004</v>
      </c>
      <c r="W34" s="83">
        <v>879.66516566658834</v>
      </c>
      <c r="X34" s="83">
        <v>4.0239867499999997</v>
      </c>
      <c r="Y34" s="83">
        <v>-4.2481044141885622</v>
      </c>
      <c r="Z34" s="69" t="s">
        <v>54</v>
      </c>
      <c r="AA34" s="73">
        <v>5.5661983611111108</v>
      </c>
      <c r="AB34" s="73">
        <v>3.0248816727959098</v>
      </c>
      <c r="AC34" s="73">
        <v>3.9982883888888887</v>
      </c>
      <c r="AD34" s="73">
        <v>-25.508901929003891</v>
      </c>
      <c r="AE34" s="73">
        <v>2.2461111111111109</v>
      </c>
      <c r="AF34" s="73">
        <v>2.2461111111111109</v>
      </c>
      <c r="AG34" s="32">
        <f t="shared" si="16"/>
        <v>1.1379460310984945E-2</v>
      </c>
      <c r="AH34" s="32">
        <f t="shared" si="17"/>
        <v>0.25846953038557846</v>
      </c>
      <c r="AI34" s="33">
        <f t="shared" si="18"/>
        <v>8.5155380510559028E-2</v>
      </c>
      <c r="AJ34" s="34">
        <f t="shared" si="19"/>
        <v>1.0400779655502901</v>
      </c>
      <c r="AK34" s="16">
        <f t="shared" si="20"/>
        <v>3.619103671698759E-2</v>
      </c>
      <c r="AL34" s="16">
        <f t="shared" si="21"/>
        <v>0.44203313535887334</v>
      </c>
      <c r="AM34" s="27">
        <f t="shared" si="22"/>
        <v>36.19103671698759</v>
      </c>
      <c r="AN34" s="27">
        <f t="shared" si="23"/>
        <v>442.03313535887332</v>
      </c>
      <c r="AO34" s="29" t="e">
        <f t="shared" si="24"/>
        <v>#VALUE!</v>
      </c>
      <c r="AP34" s="29" t="e">
        <f t="shared" si="25"/>
        <v>#VALUE!</v>
      </c>
      <c r="AQ34" s="27">
        <f t="shared" si="26"/>
        <v>12.213884305541015</v>
      </c>
      <c r="AR34" s="14">
        <f t="shared" si="27"/>
        <v>878.62028399379244</v>
      </c>
      <c r="AS34" s="25">
        <v>0.36620000000000003</v>
      </c>
      <c r="AT34" s="22">
        <f t="shared" si="28"/>
        <v>0.68584450580869638</v>
      </c>
      <c r="AU34" s="22">
        <f t="shared" si="29"/>
        <v>0.31964450580869636</v>
      </c>
      <c r="AV34" s="15"/>
      <c r="AW34" s="22"/>
      <c r="AX34" s="34">
        <f t="shared" si="30"/>
        <v>3196.4450580869634</v>
      </c>
      <c r="AY34" s="14">
        <f t="shared" si="31"/>
        <v>-4.7692024851846728</v>
      </c>
      <c r="AZ34" s="25">
        <v>1.0819000000000001</v>
      </c>
      <c r="BA34" s="22">
        <f t="shared" si="32"/>
        <v>1.105972307098753</v>
      </c>
      <c r="BB34" s="38">
        <f t="shared" si="33"/>
        <v>2.4072307098752965E-2</v>
      </c>
      <c r="BC34" s="15"/>
      <c r="BD34" s="38"/>
      <c r="BE34" s="38">
        <f t="shared" si="34"/>
        <v>240.72307098752964</v>
      </c>
    </row>
    <row r="35" spans="1:57" ht="15.75">
      <c r="A35" s="67">
        <v>31</v>
      </c>
      <c r="B35" s="134">
        <v>4</v>
      </c>
      <c r="C35" s="66" t="s">
        <v>423</v>
      </c>
      <c r="D35" s="66" t="s">
        <v>426</v>
      </c>
      <c r="E35" s="66" t="s">
        <v>410</v>
      </c>
      <c r="F35" s="66" t="s">
        <v>411</v>
      </c>
      <c r="G35" s="66">
        <v>4</v>
      </c>
      <c r="H35" s="66" t="s">
        <v>430</v>
      </c>
      <c r="I35" s="66">
        <v>100</v>
      </c>
      <c r="J35" s="66">
        <v>15.56</v>
      </c>
      <c r="K35" s="66">
        <v>30</v>
      </c>
      <c r="L35" s="66" t="s">
        <v>92</v>
      </c>
      <c r="M35" s="66">
        <v>1</v>
      </c>
      <c r="N35"/>
      <c r="O35"/>
      <c r="P35"/>
      <c r="Q35" s="108">
        <v>10</v>
      </c>
      <c r="R35" s="53">
        <v>8</v>
      </c>
      <c r="S35" s="53">
        <f t="shared" si="15"/>
        <v>2</v>
      </c>
      <c r="T35" s="80">
        <v>140</v>
      </c>
      <c r="U35" s="80" t="s">
        <v>220</v>
      </c>
      <c r="V35" s="81">
        <v>2.74769</v>
      </c>
      <c r="W35" s="81">
        <v>299.88608465443826</v>
      </c>
      <c r="X35" s="81">
        <v>1.9534425</v>
      </c>
      <c r="Y35" s="81">
        <v>-25.806348071912527</v>
      </c>
      <c r="Z35" s="69" t="s">
        <v>54</v>
      </c>
      <c r="AA35" s="73">
        <v>5.5661983611111108</v>
      </c>
      <c r="AB35" s="73">
        <v>3.0248816727959098</v>
      </c>
      <c r="AC35" s="73">
        <v>3.9982883888888887</v>
      </c>
      <c r="AD35" s="73">
        <v>-25.508901929003891</v>
      </c>
      <c r="AE35" s="73">
        <v>2.2461111111111109</v>
      </c>
      <c r="AF35" s="73">
        <v>2.2461111111111109</v>
      </c>
      <c r="AG35" s="32">
        <f t="shared" si="16"/>
        <v>1.1379460310984945E-2</v>
      </c>
      <c r="AH35" s="32">
        <f t="shared" si="17"/>
        <v>0.25846953038557846</v>
      </c>
      <c r="AI35" s="33">
        <f t="shared" si="18"/>
        <v>3.1267229301890222E-2</v>
      </c>
      <c r="AJ35" s="34">
        <f t="shared" si="19"/>
        <v>0.50490536561023036</v>
      </c>
      <c r="AK35" s="16">
        <f t="shared" si="20"/>
        <v>1.3288572453303343E-2</v>
      </c>
      <c r="AL35" s="16">
        <f t="shared" si="21"/>
        <v>0.21458478038434789</v>
      </c>
      <c r="AM35" s="27">
        <f t="shared" si="22"/>
        <v>13.288572453303344</v>
      </c>
      <c r="AN35" s="27">
        <f t="shared" si="23"/>
        <v>214.58478038434788</v>
      </c>
      <c r="AO35" s="29" t="e">
        <f t="shared" si="24"/>
        <v>#VALUE!</v>
      </c>
      <c r="AP35" s="29" t="e">
        <f t="shared" si="25"/>
        <v>#VALUE!</v>
      </c>
      <c r="AQ35" s="27">
        <f t="shared" si="26"/>
        <v>16.14806866113036</v>
      </c>
      <c r="AR35" s="14">
        <f t="shared" si="27"/>
        <v>298.84120298164237</v>
      </c>
      <c r="AS35" s="25">
        <v>0.36620000000000003</v>
      </c>
      <c r="AT35" s="22">
        <f t="shared" si="28"/>
        <v>0.4751852351787067</v>
      </c>
      <c r="AU35" s="22">
        <f t="shared" si="29"/>
        <v>0.10898523517870667</v>
      </c>
      <c r="AV35" s="15"/>
      <c r="AW35" s="22"/>
      <c r="AX35" s="34">
        <f t="shared" si="30"/>
        <v>1089.8523517870669</v>
      </c>
      <c r="AY35" s="14">
        <f t="shared" si="31"/>
        <v>-26.327446142908638</v>
      </c>
      <c r="AZ35" s="25">
        <v>1.0819000000000001</v>
      </c>
      <c r="BA35" s="22">
        <f t="shared" si="32"/>
        <v>1.0822745118083292</v>
      </c>
      <c r="BB35" s="38">
        <f t="shared" si="33"/>
        <v>3.7451180832914766E-4</v>
      </c>
      <c r="BC35" s="15"/>
      <c r="BD35" s="38"/>
      <c r="BE35" s="38">
        <f t="shared" si="34"/>
        <v>3.7451180832914766</v>
      </c>
    </row>
    <row r="36" spans="1:57" ht="15.75">
      <c r="A36" s="67">
        <v>32</v>
      </c>
      <c r="B36" s="134">
        <v>4</v>
      </c>
      <c r="C36" s="66" t="s">
        <v>425</v>
      </c>
      <c r="D36" s="66" t="s">
        <v>422</v>
      </c>
      <c r="E36" s="66" t="s">
        <v>410</v>
      </c>
      <c r="F36" s="66" t="s">
        <v>411</v>
      </c>
      <c r="G36" s="66">
        <v>4</v>
      </c>
      <c r="H36" s="66" t="s">
        <v>430</v>
      </c>
      <c r="I36" s="66">
        <v>100</v>
      </c>
      <c r="J36" s="66">
        <v>7.53</v>
      </c>
      <c r="K36" s="66">
        <v>30</v>
      </c>
      <c r="L36" s="66" t="s">
        <v>93</v>
      </c>
      <c r="M36" s="66">
        <v>1</v>
      </c>
      <c r="N36"/>
      <c r="O36"/>
      <c r="P36"/>
      <c r="Q36" s="108">
        <v>10</v>
      </c>
      <c r="R36" s="53">
        <v>8</v>
      </c>
      <c r="S36" s="53">
        <f t="shared" si="15"/>
        <v>2</v>
      </c>
      <c r="T36" s="82">
        <v>141</v>
      </c>
      <c r="U36" s="82" t="s">
        <v>221</v>
      </c>
      <c r="V36" s="83">
        <v>8.0421364999999998</v>
      </c>
      <c r="W36" s="83">
        <v>284.10969246942494</v>
      </c>
      <c r="X36" s="83">
        <v>5.1145684999999999</v>
      </c>
      <c r="Y36" s="83">
        <v>-20.515641539140439</v>
      </c>
      <c r="Z36" s="69" t="s">
        <v>54</v>
      </c>
      <c r="AA36" s="73">
        <v>5.5661983611111108</v>
      </c>
      <c r="AB36" s="73">
        <v>3.0248816727959098</v>
      </c>
      <c r="AC36" s="73">
        <v>3.9982883888888887</v>
      </c>
      <c r="AD36" s="73">
        <v>-25.508901929003891</v>
      </c>
      <c r="AE36" s="73">
        <v>2.2461111111111109</v>
      </c>
      <c r="AF36" s="73">
        <v>2.2461111111111109</v>
      </c>
      <c r="AG36" s="32">
        <f t="shared" si="16"/>
        <v>1.1379460310984945E-2</v>
      </c>
      <c r="AH36" s="32">
        <f t="shared" si="17"/>
        <v>0.25846953038557846</v>
      </c>
      <c r="AI36" s="33">
        <f t="shared" si="18"/>
        <v>9.1515173117273377E-2</v>
      </c>
      <c r="AJ36" s="34">
        <f t="shared" si="19"/>
        <v>1.3219601183198724</v>
      </c>
      <c r="AK36" s="16">
        <f t="shared" si="20"/>
        <v>3.8893948574841186E-2</v>
      </c>
      <c r="AL36" s="16">
        <f t="shared" si="21"/>
        <v>0.56183305028594577</v>
      </c>
      <c r="AM36" s="27">
        <f t="shared" si="22"/>
        <v>38.89394857484119</v>
      </c>
      <c r="AN36" s="27">
        <f t="shared" si="23"/>
        <v>561.83305028594577</v>
      </c>
      <c r="AO36" s="29" t="e">
        <f t="shared" si="24"/>
        <v>#VALUE!</v>
      </c>
      <c r="AP36" s="29" t="e">
        <f t="shared" si="25"/>
        <v>#VALUE!</v>
      </c>
      <c r="AQ36" s="27">
        <f t="shared" si="26"/>
        <v>14.445256161246927</v>
      </c>
      <c r="AR36" s="14">
        <f t="shared" si="27"/>
        <v>283.06481079662905</v>
      </c>
      <c r="AS36" s="25">
        <v>0.36620000000000003</v>
      </c>
      <c r="AT36" s="22">
        <f t="shared" si="28"/>
        <v>0.46944048668435884</v>
      </c>
      <c r="AU36" s="22">
        <f t="shared" si="29"/>
        <v>0.10324048668435881</v>
      </c>
      <c r="AV36" s="15"/>
      <c r="AW36" s="22"/>
      <c r="AX36" s="34">
        <f t="shared" si="30"/>
        <v>1032.404866843588</v>
      </c>
      <c r="AY36" s="14">
        <f t="shared" si="31"/>
        <v>-21.03673961013655</v>
      </c>
      <c r="AZ36" s="25">
        <v>1.0819000000000001</v>
      </c>
      <c r="BA36" s="22">
        <f t="shared" si="32"/>
        <v>1.0880913469767921</v>
      </c>
      <c r="BB36" s="38">
        <f t="shared" si="33"/>
        <v>6.1913469767920226E-3</v>
      </c>
      <c r="BC36" s="15"/>
      <c r="BD36" s="38"/>
      <c r="BE36" s="38">
        <f t="shared" si="34"/>
        <v>61.913469767920233</v>
      </c>
    </row>
    <row r="37" spans="1:57" ht="15.75">
      <c r="A37" s="67">
        <v>33</v>
      </c>
      <c r="B37" s="66">
        <v>5</v>
      </c>
      <c r="C37" s="66" t="s">
        <v>408</v>
      </c>
      <c r="D37" s="66" t="s">
        <v>420</v>
      </c>
      <c r="E37" s="66" t="s">
        <v>410</v>
      </c>
      <c r="F37" s="66" t="s">
        <v>411</v>
      </c>
      <c r="G37" s="66">
        <v>5</v>
      </c>
      <c r="H37" s="66" t="s">
        <v>431</v>
      </c>
      <c r="I37" s="66">
        <v>100</v>
      </c>
      <c r="J37" s="66">
        <v>11.8</v>
      </c>
      <c r="K37" s="66">
        <v>30</v>
      </c>
      <c r="L37" s="66" t="s">
        <v>94</v>
      </c>
      <c r="M37" s="66">
        <v>1</v>
      </c>
      <c r="N37"/>
      <c r="O37"/>
      <c r="P37"/>
      <c r="Q37" s="108">
        <v>10</v>
      </c>
      <c r="R37" s="53">
        <v>8</v>
      </c>
      <c r="S37" s="53">
        <f t="shared" si="15"/>
        <v>2</v>
      </c>
      <c r="T37" s="80">
        <v>142</v>
      </c>
      <c r="U37" s="80" t="s">
        <v>222</v>
      </c>
      <c r="V37" s="81">
        <v>8.8467839999999995</v>
      </c>
      <c r="W37" s="81">
        <v>1276.3005405956369</v>
      </c>
      <c r="X37" s="81">
        <v>7.0657325000000002</v>
      </c>
      <c r="Y37" s="81">
        <v>-2.8569453289676585</v>
      </c>
      <c r="Z37" s="69" t="s">
        <v>54</v>
      </c>
      <c r="AA37" s="73">
        <v>5.5661983611111108</v>
      </c>
      <c r="AB37" s="73">
        <v>3.0248816727959098</v>
      </c>
      <c r="AC37" s="73">
        <v>3.9982883888888887</v>
      </c>
      <c r="AD37" s="73">
        <v>-25.508901929003891</v>
      </c>
      <c r="AE37" s="73">
        <v>2.2461111111111109</v>
      </c>
      <c r="AF37" s="73">
        <v>2.2461111111111109</v>
      </c>
      <c r="AG37" s="32">
        <f t="shared" si="16"/>
        <v>1.1379460310984945E-2</v>
      </c>
      <c r="AH37" s="32">
        <f t="shared" si="17"/>
        <v>0.25846953038557846</v>
      </c>
      <c r="AI37" s="33">
        <f t="shared" si="18"/>
        <v>0.10067162740785664</v>
      </c>
      <c r="AJ37" s="34">
        <f t="shared" si="19"/>
        <v>1.8262765611051193</v>
      </c>
      <c r="AK37" s="16">
        <f t="shared" si="20"/>
        <v>4.278544164833907E-2</v>
      </c>
      <c r="AL37" s="16">
        <f t="shared" si="21"/>
        <v>0.77616753846967568</v>
      </c>
      <c r="AM37" s="27">
        <f t="shared" si="22"/>
        <v>42.785441648339074</v>
      </c>
      <c r="AN37" s="27">
        <f t="shared" si="23"/>
        <v>776.16753846967572</v>
      </c>
      <c r="AO37" s="29" t="e">
        <f t="shared" si="24"/>
        <v>#VALUE!</v>
      </c>
      <c r="AP37" s="29" t="e">
        <f t="shared" si="25"/>
        <v>#VALUE!</v>
      </c>
      <c r="AQ37" s="27">
        <f t="shared" si="26"/>
        <v>18.140926178795365</v>
      </c>
      <c r="AR37" s="14">
        <f t="shared" si="27"/>
        <v>1275.2556589228409</v>
      </c>
      <c r="AS37" s="25">
        <v>0.36620000000000003</v>
      </c>
      <c r="AT37" s="22">
        <f t="shared" si="28"/>
        <v>0.82944662155289162</v>
      </c>
      <c r="AU37" s="22">
        <f t="shared" si="29"/>
        <v>0.46324662155289159</v>
      </c>
      <c r="AV37" s="15"/>
      <c r="AW37" s="22"/>
      <c r="AX37" s="34">
        <f t="shared" si="30"/>
        <v>4632.4662155289152</v>
      </c>
      <c r="AY37" s="14">
        <f t="shared" si="31"/>
        <v>-3.3780433999637691</v>
      </c>
      <c r="AZ37" s="25">
        <v>1.0819000000000001</v>
      </c>
      <c r="BA37" s="22">
        <f t="shared" si="32"/>
        <v>1.1075011420160827</v>
      </c>
      <c r="BB37" s="38">
        <f t="shared" si="33"/>
        <v>2.5601142016082656E-2</v>
      </c>
      <c r="BC37" s="15"/>
      <c r="BD37" s="38"/>
      <c r="BE37" s="38">
        <f t="shared" si="34"/>
        <v>256.01142016082656</v>
      </c>
    </row>
    <row r="38" spans="1:57" ht="15.75">
      <c r="A38" s="135"/>
      <c r="B38" s="136"/>
      <c r="C38" s="135"/>
      <c r="D38" s="135" t="s">
        <v>116</v>
      </c>
      <c r="E38" s="135"/>
      <c r="F38" s="135" t="s">
        <v>55</v>
      </c>
      <c r="G38" s="135"/>
      <c r="H38" s="135"/>
      <c r="I38" s="135"/>
      <c r="J38" s="135"/>
      <c r="K38" s="135"/>
      <c r="L38" s="135" t="s">
        <v>130</v>
      </c>
      <c r="M38" s="137">
        <v>1</v>
      </c>
      <c r="N38"/>
      <c r="O38"/>
      <c r="P38"/>
      <c r="Q38" s="108">
        <v>10</v>
      </c>
      <c r="R38" s="53">
        <v>8</v>
      </c>
      <c r="S38" s="53">
        <f t="shared" si="15"/>
        <v>2</v>
      </c>
      <c r="T38" s="82">
        <v>143</v>
      </c>
      <c r="U38" s="82" t="s">
        <v>223</v>
      </c>
      <c r="V38" s="83">
        <v>3.2180032500000002</v>
      </c>
      <c r="W38" s="83">
        <v>-6.6163209701302765</v>
      </c>
      <c r="X38" s="83">
        <v>2.4361445000000002</v>
      </c>
      <c r="Y38" s="83">
        <v>-26.012201334975966</v>
      </c>
      <c r="Z38" s="69">
        <v>1.2769999999999999</v>
      </c>
      <c r="AA38" s="73">
        <v>5.5661983611111108</v>
      </c>
      <c r="AB38" s="73">
        <v>3.0248816727959098</v>
      </c>
      <c r="AC38" s="73">
        <v>3.9982883888888887</v>
      </c>
      <c r="AD38" s="73">
        <v>-25.508901929003891</v>
      </c>
      <c r="AE38" s="73">
        <v>2.2461111111111109</v>
      </c>
      <c r="AF38" s="73">
        <v>2.2461111111111109</v>
      </c>
      <c r="AG38" s="32">
        <f t="shared" si="16"/>
        <v>1.1379460310984945E-2</v>
      </c>
      <c r="AH38" s="32">
        <f t="shared" si="17"/>
        <v>0.25846953038557846</v>
      </c>
      <c r="AI38" s="33">
        <f t="shared" si="18"/>
        <v>3.661914026399557E-2</v>
      </c>
      <c r="AJ38" s="34">
        <f t="shared" si="19"/>
        <v>0.62966912486640991</v>
      </c>
      <c r="AK38" s="16" t="e">
        <f t="shared" si="20"/>
        <v>#DIV/0!</v>
      </c>
      <c r="AL38" s="16" t="e">
        <f t="shared" si="21"/>
        <v>#DIV/0!</v>
      </c>
      <c r="AM38" s="27" t="e">
        <f t="shared" si="22"/>
        <v>#DIV/0!</v>
      </c>
      <c r="AN38" s="27" t="e">
        <f t="shared" si="23"/>
        <v>#DIV/0!</v>
      </c>
      <c r="AO38" s="29">
        <f t="shared" si="24"/>
        <v>2.8675912501171164</v>
      </c>
      <c r="AP38" s="29">
        <f t="shared" si="25"/>
        <v>49.308467099953795</v>
      </c>
      <c r="AQ38" s="27">
        <f t="shared" si="26"/>
        <v>17.195082143572581</v>
      </c>
      <c r="AR38" s="14">
        <f t="shared" si="27"/>
        <v>-7.6612026429261864</v>
      </c>
      <c r="AS38" s="25">
        <v>0.36620000000000003</v>
      </c>
      <c r="AT38" s="22">
        <f t="shared" si="28"/>
        <v>0.36345790655666077</v>
      </c>
      <c r="AU38" s="22">
        <f t="shared" si="29"/>
        <v>-2.7420934433392552E-3</v>
      </c>
      <c r="AV38" s="15"/>
      <c r="AW38" s="22"/>
      <c r="AX38" s="34">
        <f t="shared" si="30"/>
        <v>-27.420934433392553</v>
      </c>
      <c r="AY38" s="14">
        <f t="shared" si="31"/>
        <v>-26.533299405972077</v>
      </c>
      <c r="AZ38" s="25">
        <v>1.0819000000000001</v>
      </c>
      <c r="BA38" s="22">
        <f t="shared" si="32"/>
        <v>1.0820481738607284</v>
      </c>
      <c r="BB38" s="38">
        <f t="shared" si="33"/>
        <v>1.4817386072829564E-4</v>
      </c>
      <c r="BC38" s="15"/>
      <c r="BD38" s="38"/>
      <c r="BE38" s="38">
        <f t="shared" si="34"/>
        <v>1.4817386072829564</v>
      </c>
    </row>
    <row r="39" spans="1:57" ht="15.75">
      <c r="A39" s="67">
        <v>34</v>
      </c>
      <c r="B39" s="66">
        <v>5</v>
      </c>
      <c r="C39" s="66" t="s">
        <v>413</v>
      </c>
      <c r="D39" s="66" t="s">
        <v>424</v>
      </c>
      <c r="E39" s="66" t="s">
        <v>410</v>
      </c>
      <c r="F39" s="66" t="s">
        <v>411</v>
      </c>
      <c r="G39" s="66">
        <v>5</v>
      </c>
      <c r="H39" s="66" t="s">
        <v>431</v>
      </c>
      <c r="I39" s="66">
        <v>100</v>
      </c>
      <c r="J39" s="66">
        <v>7.67</v>
      </c>
      <c r="K39" s="66">
        <v>30</v>
      </c>
      <c r="L39" s="66" t="s">
        <v>95</v>
      </c>
      <c r="M39" s="66">
        <v>1</v>
      </c>
      <c r="N39"/>
      <c r="O39"/>
      <c r="P39"/>
      <c r="Q39" s="108">
        <v>10</v>
      </c>
      <c r="R39" s="53">
        <v>8</v>
      </c>
      <c r="S39" s="53">
        <f t="shared" si="15"/>
        <v>2</v>
      </c>
      <c r="T39" s="80">
        <v>144</v>
      </c>
      <c r="U39" s="80" t="s">
        <v>224</v>
      </c>
      <c r="V39" s="81">
        <v>3.3431782499999998</v>
      </c>
      <c r="W39" s="81">
        <v>844.01496902663655</v>
      </c>
      <c r="X39" s="81">
        <v>3.7119752500000001</v>
      </c>
      <c r="Y39" s="81">
        <v>-10.077325820703734</v>
      </c>
      <c r="Z39" s="69" t="s">
        <v>54</v>
      </c>
      <c r="AA39" s="73">
        <v>5.5661983611111108</v>
      </c>
      <c r="AB39" s="73">
        <v>3.0248816727959098</v>
      </c>
      <c r="AC39" s="73">
        <v>3.9982883888888887</v>
      </c>
      <c r="AD39" s="73">
        <v>-25.508901929003891</v>
      </c>
      <c r="AE39" s="73">
        <v>2.2461111111111109</v>
      </c>
      <c r="AF39" s="73">
        <v>2.2461111111111109</v>
      </c>
      <c r="AG39" s="32">
        <f t="shared" si="16"/>
        <v>1.1379460310984945E-2</v>
      </c>
      <c r="AH39" s="32">
        <f t="shared" si="17"/>
        <v>0.25846953038557846</v>
      </c>
      <c r="AI39" s="33">
        <f t="shared" si="18"/>
        <v>3.80435642084231E-2</v>
      </c>
      <c r="AJ39" s="34">
        <f t="shared" si="19"/>
        <v>0.95943249967039024</v>
      </c>
      <c r="AK39" s="16">
        <f t="shared" si="20"/>
        <v>1.6168514788579818E-2</v>
      </c>
      <c r="AL39" s="16">
        <f t="shared" si="21"/>
        <v>0.4077588123599159</v>
      </c>
      <c r="AM39" s="27">
        <f t="shared" si="22"/>
        <v>16.168514788579817</v>
      </c>
      <c r="AN39" s="27">
        <f t="shared" si="23"/>
        <v>407.75881235991591</v>
      </c>
      <c r="AO39" s="29" t="e">
        <f t="shared" si="24"/>
        <v>#VALUE!</v>
      </c>
      <c r="AP39" s="29" t="e">
        <f t="shared" si="25"/>
        <v>#VALUE!</v>
      </c>
      <c r="AQ39" s="27">
        <f t="shared" si="26"/>
        <v>25.219311587476483</v>
      </c>
      <c r="AR39" s="14">
        <f t="shared" si="27"/>
        <v>842.97008735384065</v>
      </c>
      <c r="AS39" s="25">
        <v>0.36620000000000003</v>
      </c>
      <c r="AT39" s="22">
        <f t="shared" si="28"/>
        <v>0.67291695456234935</v>
      </c>
      <c r="AU39" s="22">
        <f t="shared" si="29"/>
        <v>0.30671695456234932</v>
      </c>
      <c r="AV39" s="15"/>
      <c r="AW39" s="22"/>
      <c r="AX39" s="34">
        <f t="shared" si="30"/>
        <v>3067.1695456234934</v>
      </c>
      <c r="AY39" s="14">
        <f t="shared" si="31"/>
        <v>-10.598423891699845</v>
      </c>
      <c r="AZ39" s="25">
        <v>1.0819000000000001</v>
      </c>
      <c r="BA39" s="22">
        <f t="shared" si="32"/>
        <v>1.0995656836986949</v>
      </c>
      <c r="BB39" s="38">
        <f t="shared" si="33"/>
        <v>1.7665683698694812E-2</v>
      </c>
      <c r="BC39" s="15"/>
      <c r="BD39" s="38"/>
      <c r="BE39" s="38">
        <f t="shared" si="34"/>
        <v>176.65683698694812</v>
      </c>
    </row>
    <row r="40" spans="1:57" ht="15.75">
      <c r="A40" s="67">
        <v>35</v>
      </c>
      <c r="B40" s="66">
        <v>5</v>
      </c>
      <c r="C40" s="66" t="s">
        <v>415</v>
      </c>
      <c r="D40" s="66" t="s">
        <v>409</v>
      </c>
      <c r="E40" s="66" t="s">
        <v>410</v>
      </c>
      <c r="F40" s="66" t="s">
        <v>411</v>
      </c>
      <c r="G40" s="66">
        <v>5</v>
      </c>
      <c r="H40" s="66" t="s">
        <v>431</v>
      </c>
      <c r="I40" s="66">
        <v>100</v>
      </c>
      <c r="J40" s="66">
        <v>7.93</v>
      </c>
      <c r="K40" s="66">
        <v>30</v>
      </c>
      <c r="L40" s="66" t="s">
        <v>96</v>
      </c>
      <c r="M40" s="66">
        <v>1</v>
      </c>
      <c r="N40"/>
      <c r="O40"/>
      <c r="P40"/>
      <c r="Q40" s="108">
        <v>10</v>
      </c>
      <c r="R40" s="53">
        <v>8</v>
      </c>
      <c r="S40" s="53">
        <f t="shared" si="15"/>
        <v>2</v>
      </c>
      <c r="T40" s="82">
        <v>145</v>
      </c>
      <c r="U40" s="82" t="s">
        <v>225</v>
      </c>
      <c r="V40" s="83">
        <v>2.3385864999999999</v>
      </c>
      <c r="W40" s="83">
        <v>488.00607306142768</v>
      </c>
      <c r="X40" s="83">
        <v>2.1636652500000002</v>
      </c>
      <c r="Y40" s="83">
        <v>-17.809496331901883</v>
      </c>
      <c r="Z40" s="69" t="s">
        <v>54</v>
      </c>
      <c r="AA40" s="73">
        <v>5.5661983611111108</v>
      </c>
      <c r="AB40" s="73">
        <v>3.0248816727959098</v>
      </c>
      <c r="AC40" s="73">
        <v>3.9982883888888887</v>
      </c>
      <c r="AD40" s="73">
        <v>-25.508901929003891</v>
      </c>
      <c r="AE40" s="73">
        <v>2.2461111111111109</v>
      </c>
      <c r="AF40" s="73">
        <v>2.2461111111111109</v>
      </c>
      <c r="AG40" s="32">
        <f t="shared" si="16"/>
        <v>1.1379460310984945E-2</v>
      </c>
      <c r="AH40" s="32">
        <f t="shared" si="17"/>
        <v>0.25846953038557846</v>
      </c>
      <c r="AI40" s="33">
        <f t="shared" si="18"/>
        <v>2.6611852260555194E-2</v>
      </c>
      <c r="AJ40" s="34">
        <f t="shared" si="19"/>
        <v>0.55924154107909529</v>
      </c>
      <c r="AK40" s="16">
        <f t="shared" si="20"/>
        <v>1.1310037210735958E-2</v>
      </c>
      <c r="AL40" s="16">
        <f t="shared" si="21"/>
        <v>0.23767765495861548</v>
      </c>
      <c r="AM40" s="27">
        <f t="shared" si="22"/>
        <v>11.310037210735958</v>
      </c>
      <c r="AN40" s="27">
        <f t="shared" si="23"/>
        <v>237.67765495861548</v>
      </c>
      <c r="AO40" s="29" t="e">
        <f t="shared" si="24"/>
        <v>#VALUE!</v>
      </c>
      <c r="AP40" s="29" t="e">
        <f t="shared" si="25"/>
        <v>#VALUE!</v>
      </c>
      <c r="AQ40" s="27">
        <f t="shared" si="26"/>
        <v>21.014754463672496</v>
      </c>
      <c r="AR40" s="14">
        <f t="shared" si="27"/>
        <v>486.96119138863179</v>
      </c>
      <c r="AS40" s="25">
        <v>0.36620000000000003</v>
      </c>
      <c r="AT40" s="22">
        <f t="shared" si="28"/>
        <v>0.54363538524329125</v>
      </c>
      <c r="AU40" s="22">
        <f t="shared" si="29"/>
        <v>0.17743538524329122</v>
      </c>
      <c r="AV40" s="15"/>
      <c r="AW40" s="22"/>
      <c r="AX40" s="34">
        <f t="shared" si="30"/>
        <v>1774.3538524329124</v>
      </c>
      <c r="AY40" s="14">
        <f t="shared" si="31"/>
        <v>-18.330594402897994</v>
      </c>
      <c r="AZ40" s="25">
        <v>1.0819000000000001</v>
      </c>
      <c r="BA40" s="22">
        <f t="shared" si="32"/>
        <v>1.0910663374500171</v>
      </c>
      <c r="BB40" s="38">
        <f t="shared" si="33"/>
        <v>9.166337450017048E-3</v>
      </c>
      <c r="BC40" s="15"/>
      <c r="BD40" s="38"/>
      <c r="BE40" s="38">
        <f t="shared" si="34"/>
        <v>91.663374500170477</v>
      </c>
    </row>
    <row r="41" spans="1:57" ht="15.75">
      <c r="A41" s="67">
        <v>36</v>
      </c>
      <c r="B41" s="66">
        <v>5</v>
      </c>
      <c r="C41" s="66" t="s">
        <v>417</v>
      </c>
      <c r="D41" s="66" t="s">
        <v>426</v>
      </c>
      <c r="E41" s="66" t="s">
        <v>410</v>
      </c>
      <c r="F41" s="66" t="s">
        <v>411</v>
      </c>
      <c r="G41" s="66">
        <v>5</v>
      </c>
      <c r="H41" s="66" t="s">
        <v>431</v>
      </c>
      <c r="I41" s="66">
        <v>100</v>
      </c>
      <c r="J41" s="66">
        <v>7.41</v>
      </c>
      <c r="K41" s="66">
        <v>30</v>
      </c>
      <c r="L41" s="66" t="s">
        <v>97</v>
      </c>
      <c r="M41" s="66">
        <v>1</v>
      </c>
      <c r="N41"/>
      <c r="O41"/>
      <c r="P41"/>
      <c r="Q41" s="108">
        <v>10</v>
      </c>
      <c r="R41" s="53">
        <v>8</v>
      </c>
      <c r="S41" s="53">
        <f t="shared" si="15"/>
        <v>2</v>
      </c>
      <c r="T41" s="80">
        <v>146</v>
      </c>
      <c r="U41" s="80" t="s">
        <v>226</v>
      </c>
      <c r="V41" s="81">
        <v>3.8821034999999999</v>
      </c>
      <c r="W41" s="81">
        <v>899.2092567766914</v>
      </c>
      <c r="X41" s="81">
        <v>2.76701825</v>
      </c>
      <c r="Y41" s="81">
        <v>-8.8152251738005187</v>
      </c>
      <c r="Z41" s="69" t="s">
        <v>54</v>
      </c>
      <c r="AA41" s="73">
        <v>5.5661983611111108</v>
      </c>
      <c r="AB41" s="73">
        <v>3.0248816727959098</v>
      </c>
      <c r="AC41" s="73">
        <v>3.9982883888888887</v>
      </c>
      <c r="AD41" s="73">
        <v>-25.508901929003891</v>
      </c>
      <c r="AE41" s="73">
        <v>2.2461111111111109</v>
      </c>
      <c r="AF41" s="73">
        <v>2.2461111111111109</v>
      </c>
      <c r="AG41" s="32">
        <f t="shared" si="16"/>
        <v>1.1379460310984945E-2</v>
      </c>
      <c r="AH41" s="32">
        <f t="shared" si="17"/>
        <v>0.25846953038557846</v>
      </c>
      <c r="AI41" s="33">
        <f t="shared" si="18"/>
        <v>4.4176242701385746E-2</v>
      </c>
      <c r="AJ41" s="34">
        <f t="shared" si="19"/>
        <v>0.71518990764582513</v>
      </c>
      <c r="AK41" s="16">
        <f t="shared" si="20"/>
        <v>1.8774903148088939E-2</v>
      </c>
      <c r="AL41" s="16">
        <f t="shared" si="21"/>
        <v>0.30395571074947569</v>
      </c>
      <c r="AM41" s="27">
        <f t="shared" si="22"/>
        <v>18.774903148088939</v>
      </c>
      <c r="AN41" s="27">
        <f t="shared" si="23"/>
        <v>303.95571074947571</v>
      </c>
      <c r="AO41" s="29" t="e">
        <f t="shared" si="24"/>
        <v>#VALUE!</v>
      </c>
      <c r="AP41" s="29" t="e">
        <f t="shared" si="25"/>
        <v>#VALUE!</v>
      </c>
      <c r="AQ41" s="27">
        <f t="shared" si="26"/>
        <v>16.189468907082734</v>
      </c>
      <c r="AR41" s="14">
        <f t="shared" si="27"/>
        <v>898.16437510389551</v>
      </c>
      <c r="AS41" s="25">
        <v>0.36620000000000003</v>
      </c>
      <c r="AT41" s="22">
        <f t="shared" si="28"/>
        <v>0.69293019833561487</v>
      </c>
      <c r="AU41" s="22">
        <f t="shared" si="29"/>
        <v>0.32673019833561484</v>
      </c>
      <c r="AV41" s="15"/>
      <c r="AW41" s="22"/>
      <c r="AX41" s="34">
        <f t="shared" si="30"/>
        <v>3267.3019833561484</v>
      </c>
      <c r="AY41" s="14">
        <f t="shared" si="31"/>
        <v>-9.3363232447966293</v>
      </c>
      <c r="AZ41" s="25">
        <v>1.0819000000000001</v>
      </c>
      <c r="BA41" s="22">
        <f t="shared" si="32"/>
        <v>1.1009528696322077</v>
      </c>
      <c r="BB41" s="38">
        <f t="shared" si="33"/>
        <v>1.9052869632207647E-2</v>
      </c>
      <c r="BC41" s="15"/>
      <c r="BD41" s="38"/>
      <c r="BE41" s="38">
        <f t="shared" si="34"/>
        <v>190.52869632207648</v>
      </c>
    </row>
    <row r="42" spans="1:57" ht="15.75">
      <c r="A42" s="67">
        <v>37</v>
      </c>
      <c r="B42" s="66">
        <v>5</v>
      </c>
      <c r="C42" s="66" t="s">
        <v>419</v>
      </c>
      <c r="D42" s="66" t="s">
        <v>418</v>
      </c>
      <c r="E42" s="66" t="s">
        <v>410</v>
      </c>
      <c r="F42" s="66" t="s">
        <v>411</v>
      </c>
      <c r="G42" s="66">
        <v>5</v>
      </c>
      <c r="H42" s="66" t="s">
        <v>431</v>
      </c>
      <c r="I42" s="66">
        <v>100</v>
      </c>
      <c r="J42" s="66">
        <v>2.4500000000000002</v>
      </c>
      <c r="K42" s="66">
        <v>30</v>
      </c>
      <c r="L42" s="66" t="s">
        <v>98</v>
      </c>
      <c r="M42" s="66">
        <v>1</v>
      </c>
      <c r="N42"/>
      <c r="O42"/>
      <c r="P42"/>
      <c r="Q42" s="108">
        <v>10</v>
      </c>
      <c r="R42" s="53">
        <v>8</v>
      </c>
      <c r="S42" s="53">
        <f t="shared" si="15"/>
        <v>2</v>
      </c>
      <c r="T42" s="82">
        <v>147</v>
      </c>
      <c r="U42" s="82" t="s">
        <v>227</v>
      </c>
      <c r="V42" s="83">
        <v>2.2015630000000002</v>
      </c>
      <c r="W42" s="83">
        <v>87.193436761395489</v>
      </c>
      <c r="X42" s="83">
        <v>2.9478825</v>
      </c>
      <c r="Y42" s="83">
        <v>-26.276828838355421</v>
      </c>
      <c r="Z42" s="69" t="s">
        <v>54</v>
      </c>
      <c r="AA42" s="73">
        <v>5.5661983611111108</v>
      </c>
      <c r="AB42" s="73">
        <v>3.0248816727959098</v>
      </c>
      <c r="AC42" s="73">
        <v>3.9982883888888887</v>
      </c>
      <c r="AD42" s="73">
        <v>-25.508901929003891</v>
      </c>
      <c r="AE42" s="73">
        <v>2.2461111111111109</v>
      </c>
      <c r="AF42" s="73">
        <v>2.2461111111111109</v>
      </c>
      <c r="AG42" s="32">
        <f t="shared" si="16"/>
        <v>1.1379460310984945E-2</v>
      </c>
      <c r="AH42" s="32">
        <f t="shared" si="17"/>
        <v>0.25846953038557846</v>
      </c>
      <c r="AI42" s="33">
        <f t="shared" si="18"/>
        <v>2.5052598780632949E-2</v>
      </c>
      <c r="AJ42" s="34">
        <f t="shared" si="19"/>
        <v>0.76193780540686495</v>
      </c>
      <c r="AK42" s="16">
        <f t="shared" si="20"/>
        <v>1.0647354481769004E-2</v>
      </c>
      <c r="AL42" s="16">
        <f t="shared" si="21"/>
        <v>0.32382356729791761</v>
      </c>
      <c r="AM42" s="27">
        <f t="shared" si="22"/>
        <v>10.647354481769005</v>
      </c>
      <c r="AN42" s="27">
        <f t="shared" si="23"/>
        <v>323.82356729791763</v>
      </c>
      <c r="AO42" s="29" t="e">
        <f t="shared" si="24"/>
        <v>#VALUE!</v>
      </c>
      <c r="AP42" s="29" t="e">
        <f t="shared" si="25"/>
        <v>#VALUE!</v>
      </c>
      <c r="AQ42" s="27">
        <f t="shared" si="26"/>
        <v>30.413523645933498</v>
      </c>
      <c r="AR42" s="14">
        <f t="shared" si="27"/>
        <v>86.148555088599579</v>
      </c>
      <c r="AS42" s="25">
        <v>0.36620000000000003</v>
      </c>
      <c r="AT42" s="22">
        <f t="shared" si="28"/>
        <v>0.39768039745071787</v>
      </c>
      <c r="AU42" s="22">
        <f t="shared" si="29"/>
        <v>3.1480397450717845E-2</v>
      </c>
      <c r="AV42" s="15"/>
      <c r="AW42" s="22"/>
      <c r="AX42" s="34">
        <f t="shared" si="30"/>
        <v>314.80397450717845</v>
      </c>
      <c r="AY42" s="14">
        <f t="shared" si="31"/>
        <v>-26.797926909351531</v>
      </c>
      <c r="AZ42" s="25">
        <v>1.0819000000000001</v>
      </c>
      <c r="BA42" s="22">
        <f t="shared" si="32"/>
        <v>1.0817572114619276</v>
      </c>
      <c r="BB42" s="38">
        <f t="shared" si="33"/>
        <v>-1.4278853807248026E-4</v>
      </c>
      <c r="BC42" s="15"/>
      <c r="BD42" s="38"/>
      <c r="BE42" s="38">
        <f t="shared" si="34"/>
        <v>-1.4278853807248024</v>
      </c>
    </row>
    <row r="43" spans="1:57" ht="15.75">
      <c r="A43" s="67">
        <v>38</v>
      </c>
      <c r="B43" s="66">
        <v>5</v>
      </c>
      <c r="C43" s="66" t="s">
        <v>421</v>
      </c>
      <c r="D43" s="66" t="s">
        <v>416</v>
      </c>
      <c r="E43" s="66" t="s">
        <v>410</v>
      </c>
      <c r="F43" s="66" t="s">
        <v>411</v>
      </c>
      <c r="G43" s="66">
        <v>5</v>
      </c>
      <c r="H43" s="66" t="s">
        <v>431</v>
      </c>
      <c r="I43" s="66">
        <v>100</v>
      </c>
      <c r="J43" s="66">
        <v>4.43</v>
      </c>
      <c r="K43" s="66">
        <v>30</v>
      </c>
      <c r="L43" s="66" t="s">
        <v>99</v>
      </c>
      <c r="M43" s="66">
        <v>1</v>
      </c>
      <c r="N43"/>
      <c r="O43"/>
      <c r="P43"/>
      <c r="Q43" s="108">
        <v>10</v>
      </c>
      <c r="R43" s="53">
        <v>8</v>
      </c>
      <c r="S43" s="53">
        <f t="shared" si="15"/>
        <v>2</v>
      </c>
      <c r="T43" s="80">
        <v>148</v>
      </c>
      <c r="U43" s="80" t="s">
        <v>228</v>
      </c>
      <c r="V43" s="81">
        <v>1.7487051250000001</v>
      </c>
      <c r="W43" s="81">
        <v>643.48543083379684</v>
      </c>
      <c r="X43" s="81">
        <v>1.5263655</v>
      </c>
      <c r="Y43" s="81">
        <v>-16.03644042721951</v>
      </c>
      <c r="Z43" s="69" t="s">
        <v>54</v>
      </c>
      <c r="AA43" s="73">
        <v>5.5661983611111108</v>
      </c>
      <c r="AB43" s="73">
        <v>3.0248816727959098</v>
      </c>
      <c r="AC43" s="73">
        <v>3.9982883888888887</v>
      </c>
      <c r="AD43" s="73">
        <v>-25.508901929003891</v>
      </c>
      <c r="AE43" s="73">
        <v>2.2461111111111109</v>
      </c>
      <c r="AF43" s="73">
        <v>2.2461111111111109</v>
      </c>
      <c r="AG43" s="32">
        <f t="shared" si="16"/>
        <v>1.1379460310984945E-2</v>
      </c>
      <c r="AH43" s="32">
        <f t="shared" si="17"/>
        <v>0.25846953038557846</v>
      </c>
      <c r="AI43" s="33">
        <f t="shared" si="18"/>
        <v>1.989932056555347E-2</v>
      </c>
      <c r="AJ43" s="34">
        <f t="shared" si="19"/>
        <v>0.39451897398174868</v>
      </c>
      <c r="AK43" s="16">
        <f t="shared" ref="AK43:AK55" si="35">((AI43/K43)*(100+S43))/(R43)</f>
        <v>8.4572112403602257E-3</v>
      </c>
      <c r="AL43" s="16">
        <f t="shared" ref="AL43:AL55" si="36">((AJ43/K43)*(100+S43))/(R43)</f>
        <v>0.16767056394224319</v>
      </c>
      <c r="AM43" s="27">
        <f t="shared" ref="AM43:AM55" si="37">AK43*1000</f>
        <v>8.4572112403602251</v>
      </c>
      <c r="AN43" s="27">
        <f t="shared" ref="AN43:AN55" si="38">AL43*1000</f>
        <v>167.67056394224321</v>
      </c>
      <c r="AO43" s="29" t="e">
        <f t="shared" ref="AO43:AO55" si="39">AI43*100/Z43</f>
        <v>#VALUE!</v>
      </c>
      <c r="AP43" s="29" t="e">
        <f t="shared" ref="AP43:AP55" si="40">AJ43*100/Z43</f>
        <v>#VALUE!</v>
      </c>
      <c r="AQ43" s="27">
        <f t="shared" ref="AQ43:AQ55" si="41">AJ43/AI43</f>
        <v>19.825750968838452</v>
      </c>
      <c r="AR43" s="14">
        <f t="shared" ref="AR43:AR55" si="42">W43+(1.98-AB43)</f>
        <v>642.44054916100094</v>
      </c>
      <c r="AS43" s="25">
        <v>0.36620000000000003</v>
      </c>
      <c r="AT43" s="22">
        <f t="shared" ref="AT43:AT55" si="43">100*0.003676*(AR43/1000+1)/(1+0.003676*(AR43/1000+1))</f>
        <v>0.6001377473314875</v>
      </c>
      <c r="AU43" s="22">
        <f t="shared" ref="AU43:AU55" si="44">AT43-AS43</f>
        <v>0.23393774733148748</v>
      </c>
      <c r="AV43" s="15"/>
      <c r="AW43" s="22"/>
      <c r="AX43" s="34">
        <f t="shared" ref="AX43:AX55" si="45">(((AI43*(AU43%))/AI43)*1000)*1000</f>
        <v>2339.3774733148748</v>
      </c>
      <c r="AY43" s="14">
        <f t="shared" ref="AY43:AY55" si="46">Y43+(-26.03-AD43)</f>
        <v>-16.557538498215621</v>
      </c>
      <c r="AZ43" s="25">
        <v>1.0819000000000001</v>
      </c>
      <c r="BA43" s="22">
        <f t="shared" ref="BA43:BA55" si="47">100*0.011237*(AY43/1000+1)/(1+0.011237*(AY43/1000+1))</f>
        <v>1.0930154426998544</v>
      </c>
      <c r="BB43" s="38">
        <f t="shared" ref="BB43:BB55" si="48">BA43-AZ43</f>
        <v>1.1115442699854317E-2</v>
      </c>
      <c r="BC43" s="15"/>
      <c r="BD43" s="38"/>
      <c r="BE43" s="38">
        <f t="shared" ref="BE43:BE55" si="49">(((AJ43*(BB43%))/AJ43)*1000)*1000</f>
        <v>111.15442699854316</v>
      </c>
    </row>
    <row r="44" spans="1:57" ht="15.75">
      <c r="A44" s="67">
        <v>39</v>
      </c>
      <c r="B44" s="66">
        <v>5</v>
      </c>
      <c r="C44" s="66" t="s">
        <v>423</v>
      </c>
      <c r="D44" s="66" t="s">
        <v>422</v>
      </c>
      <c r="E44" s="66" t="s">
        <v>410</v>
      </c>
      <c r="F44" s="66" t="s">
        <v>411</v>
      </c>
      <c r="G44" s="66">
        <v>5</v>
      </c>
      <c r="H44" s="66" t="s">
        <v>431</v>
      </c>
      <c r="I44" s="66">
        <v>100</v>
      </c>
      <c r="J44" s="66">
        <v>6.06</v>
      </c>
      <c r="K44" s="66">
        <v>30</v>
      </c>
      <c r="L44" s="66" t="s">
        <v>100</v>
      </c>
      <c r="M44" s="66">
        <v>1</v>
      </c>
      <c r="N44"/>
      <c r="O44"/>
      <c r="P44"/>
      <c r="Q44" s="108">
        <v>10</v>
      </c>
      <c r="R44" s="53">
        <v>8</v>
      </c>
      <c r="S44" s="53">
        <f t="shared" si="15"/>
        <v>2</v>
      </c>
      <c r="T44" s="82">
        <v>149</v>
      </c>
      <c r="U44" s="82" t="s">
        <v>229</v>
      </c>
      <c r="V44" s="83">
        <v>6.4736235000000004</v>
      </c>
      <c r="W44" s="83">
        <v>1240.7116253844927</v>
      </c>
      <c r="X44" s="83">
        <v>7.058573</v>
      </c>
      <c r="Y44" s="83">
        <v>-5.3424633112747841</v>
      </c>
      <c r="Z44" s="69" t="s">
        <v>54</v>
      </c>
      <c r="AA44" s="73">
        <v>5.5661983611111108</v>
      </c>
      <c r="AB44" s="73">
        <v>3.0248816727959098</v>
      </c>
      <c r="AC44" s="73">
        <v>3.9982883888888887</v>
      </c>
      <c r="AD44" s="73">
        <v>-25.508901929003891</v>
      </c>
      <c r="AE44" s="73">
        <v>2.2461111111111109</v>
      </c>
      <c r="AF44" s="73">
        <v>2.2461111111111109</v>
      </c>
      <c r="AG44" s="32">
        <f t="shared" si="16"/>
        <v>1.1379460310984945E-2</v>
      </c>
      <c r="AH44" s="32">
        <f t="shared" si="17"/>
        <v>0.25846953038557846</v>
      </c>
      <c r="AI44" s="33">
        <f t="shared" si="18"/>
        <v>7.3666341686509457E-2</v>
      </c>
      <c r="AJ44" s="34">
        <f t="shared" si="19"/>
        <v>1.8244260485023238</v>
      </c>
      <c r="AK44" s="16">
        <f t="shared" si="35"/>
        <v>3.1308195216766518E-2</v>
      </c>
      <c r="AL44" s="16">
        <f t="shared" si="36"/>
        <v>0.7753810706134876</v>
      </c>
      <c r="AM44" s="27">
        <f t="shared" si="37"/>
        <v>31.308195216766517</v>
      </c>
      <c r="AN44" s="27">
        <f t="shared" si="38"/>
        <v>775.38107061348762</v>
      </c>
      <c r="AO44" s="29" t="e">
        <f t="shared" si="39"/>
        <v>#VALUE!</v>
      </c>
      <c r="AP44" s="29" t="e">
        <f t="shared" si="40"/>
        <v>#VALUE!</v>
      </c>
      <c r="AQ44" s="27">
        <f t="shared" si="41"/>
        <v>24.766073714726513</v>
      </c>
      <c r="AR44" s="14">
        <f t="shared" si="42"/>
        <v>1239.6667437116967</v>
      </c>
      <c r="AS44" s="25">
        <v>0.36620000000000003</v>
      </c>
      <c r="AT44" s="22">
        <f t="shared" si="43"/>
        <v>0.81657859123899357</v>
      </c>
      <c r="AU44" s="22">
        <f t="shared" si="44"/>
        <v>0.45037859123899354</v>
      </c>
      <c r="AV44" s="15"/>
      <c r="AW44" s="22"/>
      <c r="AX44" s="34">
        <f t="shared" si="45"/>
        <v>4503.7859123899352</v>
      </c>
      <c r="AY44" s="14">
        <f t="shared" si="46"/>
        <v>-5.8635613822708947</v>
      </c>
      <c r="AZ44" s="25">
        <v>1.0819000000000001</v>
      </c>
      <c r="BA44" s="22">
        <f t="shared" si="47"/>
        <v>1.1047696119328252</v>
      </c>
      <c r="BB44" s="38">
        <f t="shared" si="48"/>
        <v>2.2869611932825107E-2</v>
      </c>
      <c r="BC44" s="15"/>
      <c r="BD44" s="38"/>
      <c r="BE44" s="38">
        <f t="shared" si="49"/>
        <v>228.69611932825106</v>
      </c>
    </row>
    <row r="45" spans="1:57" ht="15.75">
      <c r="A45" s="67">
        <v>40</v>
      </c>
      <c r="B45" s="66">
        <v>5</v>
      </c>
      <c r="C45" s="66" t="s">
        <v>425</v>
      </c>
      <c r="D45" s="66" t="s">
        <v>414</v>
      </c>
      <c r="E45" s="66" t="s">
        <v>410</v>
      </c>
      <c r="F45" s="66" t="s">
        <v>411</v>
      </c>
      <c r="G45" s="66">
        <v>5</v>
      </c>
      <c r="H45" s="66" t="s">
        <v>431</v>
      </c>
      <c r="I45" s="66">
        <v>100</v>
      </c>
      <c r="J45" s="66">
        <v>9.0299999999999994</v>
      </c>
      <c r="K45" s="66">
        <v>30</v>
      </c>
      <c r="L45" s="66" t="s">
        <v>101</v>
      </c>
      <c r="M45" s="66">
        <v>1</v>
      </c>
      <c r="N45"/>
      <c r="O45"/>
      <c r="P45"/>
      <c r="Q45" s="108">
        <v>10</v>
      </c>
      <c r="R45" s="53">
        <v>8</v>
      </c>
      <c r="S45" s="53">
        <f t="shared" si="15"/>
        <v>2</v>
      </c>
      <c r="T45" s="80">
        <v>150</v>
      </c>
      <c r="U45" s="80" t="s">
        <v>230</v>
      </c>
      <c r="V45" s="81">
        <v>0.57499068750000004</v>
      </c>
      <c r="W45" s="81">
        <v>145.94464961842473</v>
      </c>
      <c r="X45" s="81">
        <v>0.40933781250000001</v>
      </c>
      <c r="Y45" s="81">
        <v>-30.387247718947929</v>
      </c>
      <c r="Z45" s="69" t="s">
        <v>54</v>
      </c>
      <c r="AA45" s="73">
        <v>5.5661983611111108</v>
      </c>
      <c r="AB45" s="73">
        <v>3.0248816727959098</v>
      </c>
      <c r="AC45" s="73">
        <v>3.9982883888888887</v>
      </c>
      <c r="AD45" s="73">
        <v>-25.508901929003891</v>
      </c>
      <c r="AE45" s="73">
        <v>2.2461111111111109</v>
      </c>
      <c r="AF45" s="73">
        <v>2.2461111111111109</v>
      </c>
      <c r="AG45" s="32">
        <f t="shared" si="16"/>
        <v>1.1379460310984945E-2</v>
      </c>
      <c r="AH45" s="32">
        <f t="shared" si="17"/>
        <v>0.25846953038557846</v>
      </c>
      <c r="AI45" s="33">
        <f t="shared" si="18"/>
        <v>6.5430837075921983E-3</v>
      </c>
      <c r="AJ45" s="34">
        <f t="shared" si="19"/>
        <v>0.10580135216593498</v>
      </c>
      <c r="AK45" s="16">
        <f t="shared" si="35"/>
        <v>2.7808105757266845E-3</v>
      </c>
      <c r="AL45" s="16">
        <f t="shared" si="36"/>
        <v>4.4965574670522368E-2</v>
      </c>
      <c r="AM45" s="27">
        <f t="shared" si="37"/>
        <v>2.7808105757266843</v>
      </c>
      <c r="AN45" s="27">
        <f t="shared" si="38"/>
        <v>44.965574670522365</v>
      </c>
      <c r="AO45" s="29" t="e">
        <f t="shared" si="39"/>
        <v>#VALUE!</v>
      </c>
      <c r="AP45" s="29" t="e">
        <f t="shared" si="40"/>
        <v>#VALUE!</v>
      </c>
      <c r="AQ45" s="27">
        <f t="shared" si="41"/>
        <v>16.169952409927063</v>
      </c>
      <c r="AR45" s="14">
        <f t="shared" si="42"/>
        <v>144.89976794562881</v>
      </c>
      <c r="AS45" s="25">
        <v>0.36620000000000003</v>
      </c>
      <c r="AT45" s="22">
        <f t="shared" si="43"/>
        <v>0.41910130334814061</v>
      </c>
      <c r="AU45" s="22">
        <f t="shared" si="44"/>
        <v>5.2901303348140583E-2</v>
      </c>
      <c r="AV45" s="15"/>
      <c r="AW45" s="22"/>
      <c r="AX45" s="34">
        <f t="shared" si="45"/>
        <v>529.01303348140584</v>
      </c>
      <c r="AY45" s="14">
        <f t="shared" si="46"/>
        <v>-30.90834578994404</v>
      </c>
      <c r="AZ45" s="25">
        <v>1.0819000000000001</v>
      </c>
      <c r="BA45" s="22">
        <f t="shared" si="47"/>
        <v>1.0772375168495882</v>
      </c>
      <c r="BB45" s="38">
        <f t="shared" si="48"/>
        <v>-4.6624831504118447E-3</v>
      </c>
      <c r="BC45" s="15"/>
      <c r="BD45" s="38"/>
      <c r="BE45" s="38">
        <f t="shared" si="49"/>
        <v>-46.624831504118447</v>
      </c>
    </row>
    <row r="46" spans="1:57" ht="15.75">
      <c r="A46" s="67">
        <v>41</v>
      </c>
      <c r="B46" s="66">
        <v>6</v>
      </c>
      <c r="C46" s="66" t="s">
        <v>408</v>
      </c>
      <c r="D46" s="66" t="s">
        <v>422</v>
      </c>
      <c r="E46" s="66" t="s">
        <v>410</v>
      </c>
      <c r="F46" s="66" t="s">
        <v>411</v>
      </c>
      <c r="G46" s="66">
        <v>6</v>
      </c>
      <c r="H46" s="66" t="s">
        <v>432</v>
      </c>
      <c r="I46" s="66">
        <v>100</v>
      </c>
      <c r="J46" s="66">
        <v>6.04</v>
      </c>
      <c r="K46" s="66">
        <v>30</v>
      </c>
      <c r="L46" s="66" t="s">
        <v>102</v>
      </c>
      <c r="M46" s="66">
        <v>1</v>
      </c>
      <c r="N46"/>
      <c r="O46"/>
      <c r="P46"/>
      <c r="Q46" s="108">
        <v>10</v>
      </c>
      <c r="R46" s="53">
        <v>8</v>
      </c>
      <c r="S46" s="53">
        <f t="shared" si="15"/>
        <v>2</v>
      </c>
      <c r="T46" s="82">
        <v>151</v>
      </c>
      <c r="U46" s="82" t="s">
        <v>231</v>
      </c>
      <c r="V46" s="83">
        <v>9.3584420000000001</v>
      </c>
      <c r="W46" s="83">
        <v>1010.8631779827876</v>
      </c>
      <c r="X46" s="83">
        <v>8.8492639999999998</v>
      </c>
      <c r="Y46" s="83">
        <v>-10.236046165607096</v>
      </c>
      <c r="Z46" s="69" t="s">
        <v>54</v>
      </c>
      <c r="AA46" s="73">
        <v>5.5661983611111108</v>
      </c>
      <c r="AB46" s="73">
        <v>3.0248816727959098</v>
      </c>
      <c r="AC46" s="73">
        <v>3.9982883888888887</v>
      </c>
      <c r="AD46" s="73">
        <v>-25.508901929003891</v>
      </c>
      <c r="AE46" s="73">
        <v>2.2461111111111109</v>
      </c>
      <c r="AF46" s="73">
        <v>2.2461111111111109</v>
      </c>
      <c r="AG46" s="32">
        <f t="shared" si="16"/>
        <v>1.1379460310984945E-2</v>
      </c>
      <c r="AH46" s="32">
        <f t="shared" si="17"/>
        <v>0.25846953038557846</v>
      </c>
      <c r="AI46" s="33">
        <f t="shared" si="18"/>
        <v>0.10649401931165457</v>
      </c>
      <c r="AJ46" s="34">
        <f t="shared" si="19"/>
        <v>2.2872651103380055</v>
      </c>
      <c r="AK46" s="16">
        <f t="shared" si="35"/>
        <v>4.5259958207453189E-2</v>
      </c>
      <c r="AL46" s="16">
        <f t="shared" si="36"/>
        <v>0.97208767189365231</v>
      </c>
      <c r="AM46" s="27">
        <f t="shared" si="37"/>
        <v>45.259958207453188</v>
      </c>
      <c r="AN46" s="27">
        <f t="shared" si="38"/>
        <v>972.08767189365233</v>
      </c>
      <c r="AO46" s="29" t="e">
        <f t="shared" si="39"/>
        <v>#VALUE!</v>
      </c>
      <c r="AP46" s="29" t="e">
        <f t="shared" si="40"/>
        <v>#VALUE!</v>
      </c>
      <c r="AQ46" s="27">
        <f t="shared" si="41"/>
        <v>21.477873829180282</v>
      </c>
      <c r="AR46" s="14">
        <f t="shared" si="42"/>
        <v>1009.8182963099918</v>
      </c>
      <c r="AS46" s="25">
        <v>0.36620000000000003</v>
      </c>
      <c r="AT46" s="22">
        <f t="shared" si="43"/>
        <v>0.7333908466346819</v>
      </c>
      <c r="AU46" s="22">
        <f t="shared" si="44"/>
        <v>0.36719084663468188</v>
      </c>
      <c r="AV46" s="15"/>
      <c r="AW46" s="22"/>
      <c r="AX46" s="34">
        <f t="shared" si="45"/>
        <v>3671.9084663468188</v>
      </c>
      <c r="AY46" s="14">
        <f t="shared" si="46"/>
        <v>-10.757144236603207</v>
      </c>
      <c r="AZ46" s="25">
        <v>1.0819000000000001</v>
      </c>
      <c r="BA46" s="22">
        <f t="shared" si="47"/>
        <v>1.099391230015494</v>
      </c>
      <c r="BB46" s="38">
        <f t="shared" si="48"/>
        <v>1.7491230015493908E-2</v>
      </c>
      <c r="BC46" s="15"/>
      <c r="BD46" s="38"/>
      <c r="BE46" s="38">
        <f t="shared" si="49"/>
        <v>174.91230015493909</v>
      </c>
    </row>
    <row r="47" spans="1:57" ht="15.75">
      <c r="A47" s="67">
        <v>42</v>
      </c>
      <c r="B47" s="66">
        <v>6</v>
      </c>
      <c r="C47" s="66" t="s">
        <v>413</v>
      </c>
      <c r="D47" s="66" t="s">
        <v>426</v>
      </c>
      <c r="E47" s="66" t="s">
        <v>410</v>
      </c>
      <c r="F47" s="66" t="s">
        <v>411</v>
      </c>
      <c r="G47" s="66">
        <v>6</v>
      </c>
      <c r="H47" s="66" t="s">
        <v>432</v>
      </c>
      <c r="I47" s="66">
        <v>100</v>
      </c>
      <c r="J47" s="66">
        <v>5.61</v>
      </c>
      <c r="K47" s="66">
        <v>30</v>
      </c>
      <c r="L47" s="66" t="s">
        <v>103</v>
      </c>
      <c r="M47" s="66">
        <v>1</v>
      </c>
      <c r="N47"/>
      <c r="O47"/>
      <c r="P47"/>
      <c r="Q47" s="108">
        <v>10</v>
      </c>
      <c r="R47" s="53">
        <v>8</v>
      </c>
      <c r="S47" s="53">
        <f t="shared" si="15"/>
        <v>2</v>
      </c>
      <c r="T47" s="80">
        <v>152</v>
      </c>
      <c r="U47" s="80" t="s">
        <v>232</v>
      </c>
      <c r="V47" s="81">
        <v>1.8265271249999999</v>
      </c>
      <c r="W47" s="81">
        <v>98.052499382423022</v>
      </c>
      <c r="X47" s="81">
        <v>1.2374536249999999</v>
      </c>
      <c r="Y47" s="81">
        <v>-25.637604219821377</v>
      </c>
      <c r="Z47" s="69" t="s">
        <v>54</v>
      </c>
      <c r="AA47" s="73">
        <v>5.5661983611111108</v>
      </c>
      <c r="AB47" s="73">
        <v>3.0248816727959098</v>
      </c>
      <c r="AC47" s="73">
        <v>3.9982883888888887</v>
      </c>
      <c r="AD47" s="73">
        <v>-25.508901929003891</v>
      </c>
      <c r="AE47" s="73">
        <v>2.2461111111111109</v>
      </c>
      <c r="AF47" s="73">
        <v>2.2461111111111109</v>
      </c>
      <c r="AG47" s="32">
        <f t="shared" si="16"/>
        <v>1.1379460310984945E-2</v>
      </c>
      <c r="AH47" s="32">
        <f t="shared" si="17"/>
        <v>0.25846953038557846</v>
      </c>
      <c r="AI47" s="33">
        <f t="shared" si="18"/>
        <v>2.0784892925874938E-2</v>
      </c>
      <c r="AJ47" s="34">
        <f t="shared" si="19"/>
        <v>0.31984405732768167</v>
      </c>
      <c r="AK47" s="16">
        <f t="shared" si="35"/>
        <v>8.8335794934968487E-3</v>
      </c>
      <c r="AL47" s="16">
        <f t="shared" si="36"/>
        <v>0.13593372436426471</v>
      </c>
      <c r="AM47" s="27">
        <f t="shared" si="37"/>
        <v>8.833579493496849</v>
      </c>
      <c r="AN47" s="27">
        <f t="shared" si="38"/>
        <v>135.93372436426472</v>
      </c>
      <c r="AO47" s="29" t="e">
        <f t="shared" si="39"/>
        <v>#VALUE!</v>
      </c>
      <c r="AP47" s="29" t="e">
        <f t="shared" si="40"/>
        <v>#VALUE!</v>
      </c>
      <c r="AQ47" s="27">
        <f t="shared" si="41"/>
        <v>15.388294684429695</v>
      </c>
      <c r="AR47" s="14">
        <f t="shared" si="42"/>
        <v>97.007617709627112</v>
      </c>
      <c r="AS47" s="25">
        <v>0.36620000000000003</v>
      </c>
      <c r="AT47" s="22">
        <f t="shared" si="43"/>
        <v>0.4016403454120655</v>
      </c>
      <c r="AU47" s="22">
        <f t="shared" si="44"/>
        <v>3.5440345412065477E-2</v>
      </c>
      <c r="AV47" s="15"/>
      <c r="AW47" s="22"/>
      <c r="AX47" s="34">
        <f t="shared" si="45"/>
        <v>354.40345412065477</v>
      </c>
      <c r="AY47" s="14">
        <f t="shared" si="46"/>
        <v>-26.158702290817487</v>
      </c>
      <c r="AZ47" s="25">
        <v>1.0819000000000001</v>
      </c>
      <c r="BA47" s="22">
        <f t="shared" si="47"/>
        <v>1.0824600467741403</v>
      </c>
      <c r="BB47" s="38">
        <f t="shared" si="48"/>
        <v>5.6004677414023263E-4</v>
      </c>
      <c r="BC47" s="15"/>
      <c r="BD47" s="38"/>
      <c r="BE47" s="38">
        <f t="shared" si="49"/>
        <v>5.6004677414023263</v>
      </c>
    </row>
    <row r="48" spans="1:57" ht="15.75">
      <c r="A48" s="67">
        <v>43</v>
      </c>
      <c r="B48" s="66">
        <v>6</v>
      </c>
      <c r="C48" s="66" t="s">
        <v>415</v>
      </c>
      <c r="D48" s="66" t="s">
        <v>424</v>
      </c>
      <c r="E48" s="66" t="s">
        <v>410</v>
      </c>
      <c r="F48" s="66" t="s">
        <v>411</v>
      </c>
      <c r="G48" s="66">
        <v>6</v>
      </c>
      <c r="H48" s="66" t="s">
        <v>432</v>
      </c>
      <c r="I48" s="66">
        <v>100</v>
      </c>
      <c r="J48" s="66">
        <v>5.67</v>
      </c>
      <c r="K48" s="66">
        <v>30</v>
      </c>
      <c r="L48" s="66" t="s">
        <v>104</v>
      </c>
      <c r="M48" s="66">
        <v>1</v>
      </c>
      <c r="N48"/>
      <c r="O48"/>
      <c r="P48"/>
      <c r="Q48" s="108">
        <v>10</v>
      </c>
      <c r="R48" s="53">
        <v>8</v>
      </c>
      <c r="S48" s="53">
        <f t="shared" si="15"/>
        <v>2</v>
      </c>
      <c r="T48" s="82">
        <v>153</v>
      </c>
      <c r="U48" s="82" t="s">
        <v>233</v>
      </c>
      <c r="V48" s="83">
        <v>10.547076000000001</v>
      </c>
      <c r="W48" s="83">
        <v>142.98151058122454</v>
      </c>
      <c r="X48" s="83">
        <v>6.7246439999999996</v>
      </c>
      <c r="Y48" s="83">
        <v>-25.025649028134424</v>
      </c>
      <c r="Z48" s="69" t="s">
        <v>54</v>
      </c>
      <c r="AA48" s="73">
        <v>5.5661983611111108</v>
      </c>
      <c r="AB48" s="73">
        <v>3.0248816727959098</v>
      </c>
      <c r="AC48" s="73">
        <v>3.9982883888888887</v>
      </c>
      <c r="AD48" s="73">
        <v>-25.508901929003891</v>
      </c>
      <c r="AE48" s="73">
        <v>2.2461111111111109</v>
      </c>
      <c r="AF48" s="73">
        <v>2.2461111111111109</v>
      </c>
      <c r="AG48" s="32">
        <f t="shared" si="16"/>
        <v>1.1379460310984945E-2</v>
      </c>
      <c r="AH48" s="32">
        <f t="shared" si="17"/>
        <v>0.25846953038557846</v>
      </c>
      <c r="AI48" s="33">
        <f t="shared" si="18"/>
        <v>0.12002003273894186</v>
      </c>
      <c r="AJ48" s="34">
        <f t="shared" si="19"/>
        <v>1.7381155766901979</v>
      </c>
      <c r="AK48" s="16">
        <f t="shared" si="35"/>
        <v>5.1008513914050292E-2</v>
      </c>
      <c r="AL48" s="16">
        <f t="shared" si="36"/>
        <v>0.73869912009333405</v>
      </c>
      <c r="AM48" s="27">
        <f t="shared" si="37"/>
        <v>51.00851391405029</v>
      </c>
      <c r="AN48" s="27">
        <f t="shared" si="38"/>
        <v>738.69912009333405</v>
      </c>
      <c r="AO48" s="29" t="e">
        <f t="shared" si="39"/>
        <v>#VALUE!</v>
      </c>
      <c r="AP48" s="29" t="e">
        <f t="shared" si="40"/>
        <v>#VALUE!</v>
      </c>
      <c r="AQ48" s="27">
        <f t="shared" si="41"/>
        <v>14.481878874927572</v>
      </c>
      <c r="AR48" s="14">
        <f t="shared" si="42"/>
        <v>141.93662890842864</v>
      </c>
      <c r="AS48" s="25">
        <v>0.36620000000000003</v>
      </c>
      <c r="AT48" s="22">
        <f t="shared" si="43"/>
        <v>0.41802115271074686</v>
      </c>
      <c r="AU48" s="22">
        <f t="shared" si="44"/>
        <v>5.1821152710746832E-2</v>
      </c>
      <c r="AV48" s="15"/>
      <c r="AW48" s="22"/>
      <c r="AX48" s="34">
        <f t="shared" si="45"/>
        <v>518.21152710746833</v>
      </c>
      <c r="AY48" s="14">
        <f t="shared" si="46"/>
        <v>-25.546747099130535</v>
      </c>
      <c r="AZ48" s="25">
        <v>1.0819000000000001</v>
      </c>
      <c r="BA48" s="22">
        <f t="shared" si="47"/>
        <v>1.0831328896593957</v>
      </c>
      <c r="BB48" s="38">
        <f t="shared" si="48"/>
        <v>1.2328896593956085E-3</v>
      </c>
      <c r="BC48" s="15"/>
      <c r="BD48" s="38"/>
      <c r="BE48" s="38">
        <f t="shared" si="49"/>
        <v>12.328896593956085</v>
      </c>
    </row>
    <row r="49" spans="1:57" s="24" customFormat="1" ht="15.75">
      <c r="A49" s="67">
        <v>44</v>
      </c>
      <c r="B49" s="66">
        <v>6</v>
      </c>
      <c r="C49" s="66" t="s">
        <v>417</v>
      </c>
      <c r="D49" s="66" t="s">
        <v>409</v>
      </c>
      <c r="E49" s="66" t="s">
        <v>410</v>
      </c>
      <c r="F49" s="66" t="s">
        <v>411</v>
      </c>
      <c r="G49" s="66">
        <v>6</v>
      </c>
      <c r="H49" s="66" t="s">
        <v>432</v>
      </c>
      <c r="I49" s="66">
        <v>100</v>
      </c>
      <c r="J49" s="66">
        <v>6.1</v>
      </c>
      <c r="K49" s="66">
        <v>30</v>
      </c>
      <c r="L49" s="66" t="s">
        <v>105</v>
      </c>
      <c r="M49" s="66">
        <v>1</v>
      </c>
      <c r="N49"/>
      <c r="O49"/>
      <c r="P49"/>
      <c r="Q49" s="108">
        <v>10</v>
      </c>
      <c r="R49" s="53">
        <v>8</v>
      </c>
      <c r="S49" s="53">
        <f t="shared" si="15"/>
        <v>2</v>
      </c>
      <c r="T49" s="80">
        <v>154</v>
      </c>
      <c r="U49" s="80" t="s">
        <v>234</v>
      </c>
      <c r="V49" s="81">
        <v>2.7772785</v>
      </c>
      <c r="W49" s="81">
        <v>1122.5633208259637</v>
      </c>
      <c r="X49" s="81">
        <v>2.6510229999999999</v>
      </c>
      <c r="Y49" s="81">
        <v>-3.9764548558250978</v>
      </c>
      <c r="Z49" s="69" t="s">
        <v>54</v>
      </c>
      <c r="AA49" s="73">
        <v>5.5661983611111108</v>
      </c>
      <c r="AB49" s="73">
        <v>3.0248816727959098</v>
      </c>
      <c r="AC49" s="73">
        <v>3.9982883888888887</v>
      </c>
      <c r="AD49" s="73">
        <v>-25.508901929003891</v>
      </c>
      <c r="AE49" s="73">
        <v>2.2461111111111109</v>
      </c>
      <c r="AF49" s="73">
        <v>2.2461111111111109</v>
      </c>
      <c r="AG49" s="32">
        <f t="shared" si="16"/>
        <v>1.1379460310984945E-2</v>
      </c>
      <c r="AH49" s="32">
        <f t="shared" si="17"/>
        <v>0.25846953038557846</v>
      </c>
      <c r="AI49" s="33">
        <f t="shared" si="18"/>
        <v>3.1603930463301802E-2</v>
      </c>
      <c r="AJ49" s="34">
        <f t="shared" si="19"/>
        <v>0.6852086698513673</v>
      </c>
      <c r="AK49" s="16">
        <f t="shared" si="35"/>
        <v>1.3431670446903266E-2</v>
      </c>
      <c r="AL49" s="16">
        <f t="shared" si="36"/>
        <v>0.29121368468683112</v>
      </c>
      <c r="AM49" s="27">
        <f t="shared" si="37"/>
        <v>13.431670446903265</v>
      </c>
      <c r="AN49" s="27">
        <f t="shared" si="38"/>
        <v>291.21368468683113</v>
      </c>
      <c r="AO49" s="29" t="e">
        <f t="shared" si="39"/>
        <v>#VALUE!</v>
      </c>
      <c r="AP49" s="29" t="e">
        <f t="shared" si="40"/>
        <v>#VALUE!</v>
      </c>
      <c r="AQ49" s="27">
        <f t="shared" si="41"/>
        <v>21.681121930293621</v>
      </c>
      <c r="AR49" s="14">
        <f t="shared" si="42"/>
        <v>1121.5184391531677</v>
      </c>
      <c r="AS49" s="25">
        <v>0.36620000000000003</v>
      </c>
      <c r="AT49" s="22">
        <f t="shared" si="43"/>
        <v>0.77383526775086819</v>
      </c>
      <c r="AU49" s="22">
        <f t="shared" si="44"/>
        <v>0.40763526775086817</v>
      </c>
      <c r="AV49" s="15"/>
      <c r="AW49" s="22"/>
      <c r="AX49" s="34">
        <f t="shared" si="45"/>
        <v>4076.3526775086821</v>
      </c>
      <c r="AY49" s="14">
        <f t="shared" si="46"/>
        <v>-4.4975529268212089</v>
      </c>
      <c r="AZ49" s="25">
        <v>1.0819000000000001</v>
      </c>
      <c r="BA49" s="22">
        <f t="shared" si="47"/>
        <v>1.1062708441253624</v>
      </c>
      <c r="BB49" s="38">
        <f t="shared" si="48"/>
        <v>2.4370844125362279E-2</v>
      </c>
      <c r="BC49" s="15"/>
      <c r="BD49" s="38"/>
      <c r="BE49" s="38">
        <f t="shared" si="49"/>
        <v>243.70844125362279</v>
      </c>
    </row>
    <row r="50" spans="1:57" s="24" customFormat="1" ht="15.75">
      <c r="A50" s="135"/>
      <c r="B50" s="136"/>
      <c r="C50" s="135"/>
      <c r="D50" s="135" t="s">
        <v>116</v>
      </c>
      <c r="E50" s="135"/>
      <c r="F50" s="135" t="s">
        <v>55</v>
      </c>
      <c r="G50" s="135"/>
      <c r="H50" s="135"/>
      <c r="I50" s="135"/>
      <c r="J50" s="135"/>
      <c r="K50" s="135"/>
      <c r="L50" s="135" t="s">
        <v>131</v>
      </c>
      <c r="M50" s="137">
        <v>1</v>
      </c>
      <c r="N50"/>
      <c r="O50"/>
      <c r="P50"/>
      <c r="Q50" s="108">
        <v>10</v>
      </c>
      <c r="R50" s="53">
        <v>8</v>
      </c>
      <c r="S50" s="53">
        <f t="shared" si="15"/>
        <v>2</v>
      </c>
      <c r="T50" s="82">
        <v>155</v>
      </c>
      <c r="U50" s="82" t="s">
        <v>235</v>
      </c>
      <c r="V50" s="83">
        <v>6.3683839999999998</v>
      </c>
      <c r="W50" s="83">
        <v>2.7606930959957863</v>
      </c>
      <c r="X50" s="83">
        <v>4.4458500000000001</v>
      </c>
      <c r="Y50" s="83">
        <v>-25.819751132385349</v>
      </c>
      <c r="Z50" s="69">
        <v>2.5569999999999999</v>
      </c>
      <c r="AA50" s="73">
        <v>5.5661983611111108</v>
      </c>
      <c r="AB50" s="73">
        <v>3.0248816727959098</v>
      </c>
      <c r="AC50" s="73">
        <v>3.9982883888888887</v>
      </c>
      <c r="AD50" s="73">
        <v>-25.508901929003891</v>
      </c>
      <c r="AE50" s="73">
        <v>2.2461111111111109</v>
      </c>
      <c r="AF50" s="73">
        <v>2.2461111111111109</v>
      </c>
      <c r="AG50" s="32">
        <f t="shared" si="16"/>
        <v>1.1379460310984945E-2</v>
      </c>
      <c r="AH50" s="32">
        <f t="shared" si="17"/>
        <v>0.25846953038557846</v>
      </c>
      <c r="AI50" s="33">
        <f t="shared" si="18"/>
        <v>7.246877297311155E-2</v>
      </c>
      <c r="AJ50" s="34">
        <f t="shared" si="19"/>
        <v>1.149116761664724</v>
      </c>
      <c r="AK50" s="16" t="e">
        <f t="shared" si="35"/>
        <v>#DIV/0!</v>
      </c>
      <c r="AL50" s="16" t="e">
        <f t="shared" si="36"/>
        <v>#DIV/0!</v>
      </c>
      <c r="AM50" s="27" t="e">
        <f t="shared" si="37"/>
        <v>#DIV/0!</v>
      </c>
      <c r="AN50" s="27" t="e">
        <f t="shared" si="38"/>
        <v>#DIV/0!</v>
      </c>
      <c r="AO50" s="29">
        <f t="shared" si="39"/>
        <v>2.8341326935123798</v>
      </c>
      <c r="AP50" s="29">
        <f t="shared" si="40"/>
        <v>44.940037609101452</v>
      </c>
      <c r="AQ50" s="27">
        <f t="shared" si="41"/>
        <v>15.856716134701031</v>
      </c>
      <c r="AR50" s="14">
        <f t="shared" si="42"/>
        <v>1.7158114231998765</v>
      </c>
      <c r="AS50" s="25">
        <v>0.36620000000000003</v>
      </c>
      <c r="AT50" s="22">
        <f t="shared" si="43"/>
        <v>0.36687976822206009</v>
      </c>
      <c r="AU50" s="22">
        <f t="shared" si="44"/>
        <v>6.7976822206006204E-4</v>
      </c>
      <c r="AV50" s="15"/>
      <c r="AW50" s="22"/>
      <c r="AX50" s="34">
        <f t="shared" si="45"/>
        <v>6.7976822206006196</v>
      </c>
      <c r="AY50" s="14">
        <f t="shared" si="46"/>
        <v>-26.34084920338146</v>
      </c>
      <c r="AZ50" s="25">
        <v>1.0819000000000001</v>
      </c>
      <c r="BA50" s="22">
        <f t="shared" si="47"/>
        <v>1.0822597750260969</v>
      </c>
      <c r="BB50" s="38">
        <f t="shared" si="48"/>
        <v>3.5977502609685352E-4</v>
      </c>
      <c r="BC50" s="15"/>
      <c r="BD50" s="38"/>
      <c r="BE50" s="38">
        <f t="shared" si="49"/>
        <v>3.5977502609685352</v>
      </c>
    </row>
    <row r="51" spans="1:57" s="24" customFormat="1" ht="15.75">
      <c r="A51" s="67">
        <v>45</v>
      </c>
      <c r="B51" s="66">
        <v>6</v>
      </c>
      <c r="C51" s="66" t="s">
        <v>419</v>
      </c>
      <c r="D51" s="66" t="s">
        <v>416</v>
      </c>
      <c r="E51" s="66" t="s">
        <v>410</v>
      </c>
      <c r="F51" s="66" t="s">
        <v>411</v>
      </c>
      <c r="G51" s="66">
        <v>6</v>
      </c>
      <c r="H51" s="66" t="s">
        <v>432</v>
      </c>
      <c r="I51" s="66">
        <v>100</v>
      </c>
      <c r="J51" s="66">
        <v>8.4499999999999993</v>
      </c>
      <c r="K51" s="66">
        <v>30</v>
      </c>
      <c r="L51" s="66" t="s">
        <v>433</v>
      </c>
      <c r="M51" s="66">
        <v>1</v>
      </c>
      <c r="N51"/>
      <c r="O51"/>
      <c r="P51"/>
      <c r="Q51" s="108">
        <v>10</v>
      </c>
      <c r="R51" s="53">
        <v>8</v>
      </c>
      <c r="S51" s="53">
        <f t="shared" si="15"/>
        <v>2</v>
      </c>
      <c r="T51" s="80">
        <v>156</v>
      </c>
      <c r="U51" s="80" t="s">
        <v>236</v>
      </c>
      <c r="V51" s="81">
        <v>2.0423464999999998</v>
      </c>
      <c r="W51" s="81">
        <v>553.10537659981321</v>
      </c>
      <c r="X51" s="81">
        <v>1.3697103749999999</v>
      </c>
      <c r="Y51" s="81">
        <v>-15.713237400513844</v>
      </c>
      <c r="Z51" s="69" t="s">
        <v>54</v>
      </c>
      <c r="AA51" s="73">
        <v>5.5661983611111108</v>
      </c>
      <c r="AB51" s="73">
        <v>3.0248816727959098</v>
      </c>
      <c r="AC51" s="73">
        <v>3.9982883888888887</v>
      </c>
      <c r="AD51" s="73">
        <v>-25.508901929003891</v>
      </c>
      <c r="AE51" s="73">
        <v>2.2461111111111109</v>
      </c>
      <c r="AF51" s="73">
        <v>2.2461111111111109</v>
      </c>
      <c r="AG51" s="32">
        <f t="shared" si="16"/>
        <v>1.1379460310984945E-2</v>
      </c>
      <c r="AH51" s="32">
        <f t="shared" si="17"/>
        <v>0.25846953038557846</v>
      </c>
      <c r="AI51" s="33">
        <f t="shared" si="18"/>
        <v>2.3240800938029015E-2</v>
      </c>
      <c r="AJ51" s="34">
        <f t="shared" si="19"/>
        <v>0.35402839739050457</v>
      </c>
      <c r="AK51" s="16">
        <f t="shared" si="35"/>
        <v>9.8773403986623307E-3</v>
      </c>
      <c r="AL51" s="16">
        <f t="shared" si="36"/>
        <v>0.15046206889096445</v>
      </c>
      <c r="AM51" s="27">
        <f t="shared" si="37"/>
        <v>9.87734039866233</v>
      </c>
      <c r="AN51" s="27">
        <f t="shared" si="38"/>
        <v>150.46206889096445</v>
      </c>
      <c r="AO51" s="29" t="e">
        <f t="shared" si="39"/>
        <v>#VALUE!</v>
      </c>
      <c r="AP51" s="29" t="e">
        <f t="shared" si="40"/>
        <v>#VALUE!</v>
      </c>
      <c r="AQ51" s="27">
        <f t="shared" si="41"/>
        <v>15.233054933627804</v>
      </c>
      <c r="AR51" s="14">
        <f t="shared" si="42"/>
        <v>552.06049492701732</v>
      </c>
      <c r="AS51" s="25">
        <v>0.36620000000000003</v>
      </c>
      <c r="AT51" s="22">
        <f t="shared" si="43"/>
        <v>0.56730077463020989</v>
      </c>
      <c r="AU51" s="22">
        <f t="shared" si="44"/>
        <v>0.20110077463020987</v>
      </c>
      <c r="AV51" s="15"/>
      <c r="AW51" s="22"/>
      <c r="AX51" s="34">
        <f t="shared" si="45"/>
        <v>2011.0077463020984</v>
      </c>
      <c r="AY51" s="14">
        <f t="shared" si="46"/>
        <v>-16.234335471509954</v>
      </c>
      <c r="AZ51" s="25">
        <v>1.0819000000000001</v>
      </c>
      <c r="BA51" s="22">
        <f t="shared" si="47"/>
        <v>1.0933707287557823</v>
      </c>
      <c r="BB51" s="38">
        <f t="shared" si="48"/>
        <v>1.1470728755782256E-2</v>
      </c>
      <c r="BC51" s="15"/>
      <c r="BD51" s="38"/>
      <c r="BE51" s="38">
        <f t="shared" si="49"/>
        <v>114.70728755782255</v>
      </c>
    </row>
    <row r="52" spans="1:57" s="24" customFormat="1" ht="15.75">
      <c r="A52" s="67">
        <v>46</v>
      </c>
      <c r="B52" s="66">
        <v>6</v>
      </c>
      <c r="C52" s="66" t="s">
        <v>421</v>
      </c>
      <c r="D52" s="66" t="s">
        <v>414</v>
      </c>
      <c r="E52" s="66" t="s">
        <v>410</v>
      </c>
      <c r="F52" s="66" t="s">
        <v>411</v>
      </c>
      <c r="G52" s="66">
        <v>6</v>
      </c>
      <c r="H52" s="66" t="s">
        <v>432</v>
      </c>
      <c r="I52" s="66">
        <v>100</v>
      </c>
      <c r="J52" s="66">
        <v>3.85</v>
      </c>
      <c r="K52" s="66">
        <v>30</v>
      </c>
      <c r="L52" s="66" t="s">
        <v>434</v>
      </c>
      <c r="M52" s="66">
        <v>1</v>
      </c>
      <c r="N52"/>
      <c r="O52"/>
      <c r="P52"/>
      <c r="Q52" s="108">
        <v>10</v>
      </c>
      <c r="R52" s="53">
        <v>8</v>
      </c>
      <c r="S52" s="53">
        <f t="shared" si="15"/>
        <v>2</v>
      </c>
      <c r="T52" s="82">
        <v>157</v>
      </c>
      <c r="U52" s="82" t="s">
        <v>237</v>
      </c>
      <c r="V52" s="83">
        <v>0.8426273125</v>
      </c>
      <c r="W52" s="83">
        <v>273.72693771806121</v>
      </c>
      <c r="X52" s="83">
        <v>0.66150006250000004</v>
      </c>
      <c r="Y52" s="83">
        <v>-18.843044580995027</v>
      </c>
      <c r="Z52" s="69" t="s">
        <v>54</v>
      </c>
      <c r="AA52" s="73">
        <v>5.5661983611111108</v>
      </c>
      <c r="AB52" s="73">
        <v>3.0248816727959098</v>
      </c>
      <c r="AC52" s="73">
        <v>3.9982883888888887</v>
      </c>
      <c r="AD52" s="73">
        <v>-25.508901929003891</v>
      </c>
      <c r="AE52" s="73">
        <v>2.2461111111111109</v>
      </c>
      <c r="AF52" s="73">
        <v>2.2461111111111109</v>
      </c>
      <c r="AG52" s="32">
        <f t="shared" si="16"/>
        <v>1.1379460310984945E-2</v>
      </c>
      <c r="AH52" s="32">
        <f t="shared" si="17"/>
        <v>0.25846953038557846</v>
      </c>
      <c r="AI52" s="33">
        <f t="shared" si="18"/>
        <v>9.5886440595456587E-3</v>
      </c>
      <c r="AJ52" s="34">
        <f t="shared" si="19"/>
        <v>0.17097761050440582</v>
      </c>
      <c r="AK52" s="16">
        <f t="shared" si="35"/>
        <v>4.0751737253069053E-3</v>
      </c>
      <c r="AL52" s="16">
        <f t="shared" si="36"/>
        <v>7.2665484464372473E-2</v>
      </c>
      <c r="AM52" s="27">
        <f t="shared" si="37"/>
        <v>4.0751737253069056</v>
      </c>
      <c r="AN52" s="27">
        <f t="shared" si="38"/>
        <v>72.665484464372469</v>
      </c>
      <c r="AO52" s="29" t="e">
        <f t="shared" si="39"/>
        <v>#VALUE!</v>
      </c>
      <c r="AP52" s="29" t="e">
        <f t="shared" si="40"/>
        <v>#VALUE!</v>
      </c>
      <c r="AQ52" s="27">
        <f t="shared" si="41"/>
        <v>17.831260545561154</v>
      </c>
      <c r="AR52" s="14">
        <f t="shared" si="42"/>
        <v>272.68205604526531</v>
      </c>
      <c r="AS52" s="25">
        <v>0.36620000000000003</v>
      </c>
      <c r="AT52" s="22">
        <f t="shared" si="43"/>
        <v>0.46565939256805894</v>
      </c>
      <c r="AU52" s="22">
        <f t="shared" si="44"/>
        <v>9.9459392568058913E-2</v>
      </c>
      <c r="AV52" s="15"/>
      <c r="AW52" s="22"/>
      <c r="AX52" s="34">
        <f t="shared" si="45"/>
        <v>994.593925680589</v>
      </c>
      <c r="AY52" s="14">
        <f t="shared" si="46"/>
        <v>-19.364142651991138</v>
      </c>
      <c r="AZ52" s="25">
        <v>1.0819000000000001</v>
      </c>
      <c r="BA52" s="22">
        <f t="shared" si="47"/>
        <v>1.0899301312236787</v>
      </c>
      <c r="BB52" s="38">
        <f t="shared" si="48"/>
        <v>8.0301312236785716E-3</v>
      </c>
      <c r="BC52" s="15"/>
      <c r="BD52" s="38"/>
      <c r="BE52" s="38">
        <f t="shared" si="49"/>
        <v>80.301312236785719</v>
      </c>
    </row>
    <row r="53" spans="1:57" s="24" customFormat="1" ht="15.75">
      <c r="A53" s="67">
        <v>47</v>
      </c>
      <c r="B53" s="66">
        <v>6</v>
      </c>
      <c r="C53" s="66" t="s">
        <v>423</v>
      </c>
      <c r="D53" s="66" t="s">
        <v>420</v>
      </c>
      <c r="E53" s="66" t="s">
        <v>410</v>
      </c>
      <c r="F53" s="66" t="s">
        <v>411</v>
      </c>
      <c r="G53" s="66">
        <v>6</v>
      </c>
      <c r="H53" s="66" t="s">
        <v>432</v>
      </c>
      <c r="I53" s="66">
        <v>100</v>
      </c>
      <c r="J53" s="66">
        <v>8.7200000000000006</v>
      </c>
      <c r="K53" s="66">
        <v>30</v>
      </c>
      <c r="L53" s="66" t="s">
        <v>435</v>
      </c>
      <c r="M53" s="66">
        <v>1</v>
      </c>
      <c r="N53"/>
      <c r="O53"/>
      <c r="P53"/>
      <c r="Q53" s="108">
        <v>10</v>
      </c>
      <c r="R53" s="53">
        <v>8</v>
      </c>
      <c r="S53" s="53">
        <f t="shared" si="15"/>
        <v>2</v>
      </c>
      <c r="T53" s="80">
        <v>158</v>
      </c>
      <c r="U53" s="80" t="s">
        <v>238</v>
      </c>
      <c r="V53" s="81">
        <v>5.6066735000000003</v>
      </c>
      <c r="W53" s="81">
        <v>1707.2372603605079</v>
      </c>
      <c r="X53" s="81">
        <v>4.7268765000000004</v>
      </c>
      <c r="Y53" s="81">
        <v>8.9906775561036518</v>
      </c>
      <c r="Z53" s="69" t="s">
        <v>54</v>
      </c>
      <c r="AA53" s="73">
        <v>5.5661983611111108</v>
      </c>
      <c r="AB53" s="73">
        <v>3.0248816727959098</v>
      </c>
      <c r="AC53" s="73">
        <v>3.9982883888888887</v>
      </c>
      <c r="AD53" s="73">
        <v>-25.508901929003891</v>
      </c>
      <c r="AE53" s="73">
        <v>2.2461111111111109</v>
      </c>
      <c r="AF53" s="73">
        <v>2.2461111111111109</v>
      </c>
      <c r="AG53" s="32">
        <f t="shared" si="16"/>
        <v>1.1379460310984945E-2</v>
      </c>
      <c r="AH53" s="32">
        <f t="shared" si="17"/>
        <v>0.25846953038557846</v>
      </c>
      <c r="AI53" s="33">
        <f t="shared" si="18"/>
        <v>6.3800918569901055E-2</v>
      </c>
      <c r="AJ53" s="34">
        <f t="shared" si="19"/>
        <v>1.2217535491456268</v>
      </c>
      <c r="AK53" s="16">
        <f t="shared" si="35"/>
        <v>2.711539039220795E-2</v>
      </c>
      <c r="AL53" s="16">
        <f t="shared" si="36"/>
        <v>0.5192452583868914</v>
      </c>
      <c r="AM53" s="27">
        <f t="shared" si="37"/>
        <v>27.115390392207949</v>
      </c>
      <c r="AN53" s="27">
        <f t="shared" si="38"/>
        <v>519.24525838689135</v>
      </c>
      <c r="AO53" s="29" t="e">
        <f t="shared" si="39"/>
        <v>#VALUE!</v>
      </c>
      <c r="AP53" s="29" t="e">
        <f t="shared" si="40"/>
        <v>#VALUE!</v>
      </c>
      <c r="AQ53" s="27">
        <f t="shared" si="41"/>
        <v>19.149466442353159</v>
      </c>
      <c r="AR53" s="14">
        <f t="shared" si="42"/>
        <v>1706.1923786877119</v>
      </c>
      <c r="AS53" s="25">
        <v>0.36620000000000003</v>
      </c>
      <c r="AT53" s="22">
        <f t="shared" si="43"/>
        <v>0.98499759855875679</v>
      </c>
      <c r="AU53" s="22">
        <f t="shared" si="44"/>
        <v>0.61879759855875682</v>
      </c>
      <c r="AV53" s="15"/>
      <c r="AW53" s="22"/>
      <c r="AX53" s="34">
        <f t="shared" si="45"/>
        <v>6187.9759855875691</v>
      </c>
      <c r="AY53" s="14">
        <f t="shared" si="46"/>
        <v>8.4695794851075412</v>
      </c>
      <c r="AZ53" s="25">
        <v>1.0819000000000001</v>
      </c>
      <c r="BA53" s="22">
        <f t="shared" si="47"/>
        <v>1.1205193477446647</v>
      </c>
      <c r="BB53" s="38">
        <f t="shared" si="48"/>
        <v>3.8619347744664578E-2</v>
      </c>
      <c r="BC53" s="15"/>
      <c r="BD53" s="38"/>
      <c r="BE53" s="38">
        <f t="shared" si="49"/>
        <v>386.19347744664577</v>
      </c>
    </row>
    <row r="54" spans="1:57" s="24" customFormat="1" ht="15.75">
      <c r="A54" s="67">
        <v>48</v>
      </c>
      <c r="B54" s="66">
        <v>6</v>
      </c>
      <c r="C54" s="66" t="s">
        <v>425</v>
      </c>
      <c r="D54" s="66" t="s">
        <v>418</v>
      </c>
      <c r="E54" s="66" t="s">
        <v>410</v>
      </c>
      <c r="F54" s="66" t="s">
        <v>411</v>
      </c>
      <c r="G54" s="66">
        <v>6</v>
      </c>
      <c r="H54" s="66" t="s">
        <v>432</v>
      </c>
      <c r="I54" s="66">
        <v>100</v>
      </c>
      <c r="J54" s="66">
        <v>2.46</v>
      </c>
      <c r="K54" s="66">
        <v>30</v>
      </c>
      <c r="L54" s="66" t="s">
        <v>436</v>
      </c>
      <c r="M54" s="66">
        <v>1</v>
      </c>
      <c r="N54"/>
      <c r="O54"/>
      <c r="P54"/>
      <c r="Q54" s="108">
        <v>10</v>
      </c>
      <c r="R54" s="53">
        <v>8</v>
      </c>
      <c r="S54" s="53">
        <f t="shared" si="15"/>
        <v>2</v>
      </c>
      <c r="T54" s="82">
        <v>159</v>
      </c>
      <c r="U54" s="82" t="s">
        <v>239</v>
      </c>
      <c r="V54" s="83">
        <v>2.83105575</v>
      </c>
      <c r="W54" s="83">
        <v>63.57266960403939</v>
      </c>
      <c r="X54" s="83">
        <v>2.0572813750000001</v>
      </c>
      <c r="Y54" s="83">
        <v>-27.40047573788825</v>
      </c>
      <c r="Z54" s="69" t="s">
        <v>54</v>
      </c>
      <c r="AA54" s="73">
        <v>5.5661983611111108</v>
      </c>
      <c r="AB54" s="73">
        <v>3.0248816727959098</v>
      </c>
      <c r="AC54" s="73">
        <v>3.9982883888888887</v>
      </c>
      <c r="AD54" s="73">
        <v>-25.508901929003891</v>
      </c>
      <c r="AE54" s="73">
        <v>2.2461111111111109</v>
      </c>
      <c r="AF54" s="73">
        <v>2.2461111111111109</v>
      </c>
      <c r="AG54" s="32">
        <f t="shared" si="16"/>
        <v>1.1379460310984945E-2</v>
      </c>
      <c r="AH54" s="32">
        <f t="shared" si="17"/>
        <v>0.25846953038557846</v>
      </c>
      <c r="AI54" s="33">
        <f t="shared" si="18"/>
        <v>3.2215886545310719E-2</v>
      </c>
      <c r="AJ54" s="34">
        <f t="shared" si="19"/>
        <v>0.53174455086724715</v>
      </c>
      <c r="AK54" s="16">
        <f t="shared" si="35"/>
        <v>1.3691751781757055E-2</v>
      </c>
      <c r="AL54" s="16">
        <f t="shared" si="36"/>
        <v>0.22599143411858003</v>
      </c>
      <c r="AM54" s="27">
        <f t="shared" si="37"/>
        <v>13.691751781757056</v>
      </c>
      <c r="AN54" s="27">
        <f t="shared" si="38"/>
        <v>225.99143411858003</v>
      </c>
      <c r="AO54" s="29" t="e">
        <f t="shared" si="39"/>
        <v>#VALUE!</v>
      </c>
      <c r="AP54" s="29" t="e">
        <f t="shared" si="40"/>
        <v>#VALUE!</v>
      </c>
      <c r="AQ54" s="27">
        <f t="shared" si="41"/>
        <v>16.505662512790504</v>
      </c>
      <c r="AR54" s="14">
        <f t="shared" si="42"/>
        <v>62.527787931243481</v>
      </c>
      <c r="AS54" s="25">
        <v>0.36620000000000003</v>
      </c>
      <c r="AT54" s="22">
        <f t="shared" si="43"/>
        <v>0.38906558220339377</v>
      </c>
      <c r="AU54" s="22">
        <f t="shared" si="44"/>
        <v>2.2865582203393742E-2</v>
      </c>
      <c r="AV54" s="15"/>
      <c r="AW54" s="22"/>
      <c r="AX54" s="34">
        <f t="shared" si="45"/>
        <v>228.65582203393743</v>
      </c>
      <c r="AY54" s="14">
        <f t="shared" si="46"/>
        <v>-27.921573808884361</v>
      </c>
      <c r="AZ54" s="25">
        <v>1.0819000000000001</v>
      </c>
      <c r="BA54" s="22">
        <f t="shared" si="47"/>
        <v>1.0805217236979201</v>
      </c>
      <c r="BB54" s="38">
        <f t="shared" si="48"/>
        <v>-1.3782763020799838E-3</v>
      </c>
      <c r="BC54" s="15"/>
      <c r="BD54" s="38"/>
      <c r="BE54" s="38">
        <f t="shared" si="49"/>
        <v>-13.782763020799838</v>
      </c>
    </row>
    <row r="55" spans="1:57" ht="15.75">
      <c r="A55" s="67">
        <v>97</v>
      </c>
      <c r="B55" s="134">
        <v>1</v>
      </c>
      <c r="C55" s="66" t="s">
        <v>408</v>
      </c>
      <c r="D55" s="66" t="s">
        <v>409</v>
      </c>
      <c r="E55" s="66" t="s">
        <v>437</v>
      </c>
      <c r="F55" s="66" t="s">
        <v>411</v>
      </c>
      <c r="G55" s="66"/>
      <c r="H55" s="66" t="s">
        <v>412</v>
      </c>
      <c r="I55" s="66">
        <v>100</v>
      </c>
      <c r="J55" s="66">
        <v>20</v>
      </c>
      <c r="K55" s="66">
        <v>30</v>
      </c>
      <c r="L55" s="66" t="s">
        <v>438</v>
      </c>
      <c r="M55" s="66">
        <v>1</v>
      </c>
      <c r="N55"/>
      <c r="O55"/>
      <c r="P55"/>
      <c r="Q55" s="108">
        <v>10</v>
      </c>
      <c r="R55" s="53">
        <v>8</v>
      </c>
      <c r="S55" s="53">
        <f t="shared" si="15"/>
        <v>2</v>
      </c>
      <c r="T55" s="80">
        <v>160</v>
      </c>
      <c r="U55" s="80" t="s">
        <v>240</v>
      </c>
      <c r="V55" s="81">
        <v>3.8668165000000001</v>
      </c>
      <c r="W55" s="81">
        <v>5.1649327847169531</v>
      </c>
      <c r="X55" s="81">
        <v>1.9382018750000001</v>
      </c>
      <c r="Y55" s="81">
        <v>-25.131462752950821</v>
      </c>
      <c r="Z55" s="69" t="s">
        <v>54</v>
      </c>
      <c r="AA55" s="73">
        <v>5.5661983611111108</v>
      </c>
      <c r="AB55" s="73">
        <v>3.0248816727959098</v>
      </c>
      <c r="AC55" s="73">
        <v>3.9982883888888887</v>
      </c>
      <c r="AD55" s="73">
        <v>-25.508901929003891</v>
      </c>
      <c r="AE55" s="73">
        <v>2.2461111111111109</v>
      </c>
      <c r="AF55" s="73">
        <v>2.2461111111111109</v>
      </c>
      <c r="AG55" s="32">
        <f t="shared" si="16"/>
        <v>1.1379460310984945E-2</v>
      </c>
      <c r="AH55" s="32">
        <f t="shared" si="17"/>
        <v>0.25846953038557846</v>
      </c>
      <c r="AI55" s="33">
        <f t="shared" si="18"/>
        <v>4.4002284891611718E-2</v>
      </c>
      <c r="AJ55" s="34">
        <f t="shared" si="19"/>
        <v>0.5009661284236977</v>
      </c>
      <c r="AK55" s="16">
        <f t="shared" si="35"/>
        <v>1.870097107893498E-2</v>
      </c>
      <c r="AL55" s="16">
        <f t="shared" si="36"/>
        <v>0.21291060458007152</v>
      </c>
      <c r="AM55" s="27">
        <f t="shared" si="37"/>
        <v>18.70097107893498</v>
      </c>
      <c r="AN55" s="27">
        <f t="shared" si="38"/>
        <v>212.91060458007152</v>
      </c>
      <c r="AO55" s="29" t="e">
        <f t="shared" si="39"/>
        <v>#VALUE!</v>
      </c>
      <c r="AP55" s="29" t="e">
        <f t="shared" si="40"/>
        <v>#VALUE!</v>
      </c>
      <c r="AQ55" s="27">
        <f t="shared" si="41"/>
        <v>11.385002611971142</v>
      </c>
      <c r="AR55" s="14">
        <f t="shared" si="42"/>
        <v>4.1200511119210432</v>
      </c>
      <c r="AS55" s="25">
        <v>0.36620000000000003</v>
      </c>
      <c r="AT55" s="22">
        <f t="shared" si="43"/>
        <v>0.36775708594650841</v>
      </c>
      <c r="AU55" s="22">
        <f t="shared" si="44"/>
        <v>1.5570859465083853E-3</v>
      </c>
      <c r="AV55" s="15"/>
      <c r="AW55" s="22"/>
      <c r="AX55" s="34">
        <f t="shared" si="45"/>
        <v>15.570859465083851</v>
      </c>
      <c r="AY55" s="14">
        <f t="shared" si="46"/>
        <v>-25.652560823946931</v>
      </c>
      <c r="AZ55" s="25">
        <v>1.0819000000000001</v>
      </c>
      <c r="BA55" s="22">
        <f t="shared" si="47"/>
        <v>1.0830165484430296</v>
      </c>
      <c r="BB55" s="38">
        <f t="shared" si="48"/>
        <v>1.1165484430295525E-3</v>
      </c>
      <c r="BC55" s="15"/>
      <c r="BD55" s="38"/>
      <c r="BE55" s="38">
        <f t="shared" si="49"/>
        <v>11.165484430295525</v>
      </c>
    </row>
    <row r="56" spans="1:57" ht="15.75">
      <c r="A56" s="67">
        <v>98</v>
      </c>
      <c r="B56" s="134">
        <v>1</v>
      </c>
      <c r="C56" s="66" t="s">
        <v>413</v>
      </c>
      <c r="D56" s="66" t="s">
        <v>414</v>
      </c>
      <c r="E56" s="66" t="s">
        <v>437</v>
      </c>
      <c r="F56" s="66" t="s">
        <v>411</v>
      </c>
      <c r="G56" s="66"/>
      <c r="H56" s="66" t="s">
        <v>412</v>
      </c>
      <c r="I56" s="66">
        <v>100</v>
      </c>
      <c r="J56" s="66">
        <v>20</v>
      </c>
      <c r="K56" s="66">
        <v>30</v>
      </c>
      <c r="L56" s="66" t="s">
        <v>439</v>
      </c>
      <c r="M56" s="66">
        <v>1</v>
      </c>
      <c r="N56"/>
      <c r="O56"/>
      <c r="P56"/>
      <c r="Q56" s="108">
        <v>10</v>
      </c>
      <c r="R56" s="53">
        <v>8</v>
      </c>
      <c r="S56" s="53">
        <f t="shared" si="15"/>
        <v>2</v>
      </c>
      <c r="T56" s="82">
        <v>161</v>
      </c>
      <c r="U56" s="82" t="s">
        <v>241</v>
      </c>
      <c r="V56" s="83">
        <v>2.1102432499999999</v>
      </c>
      <c r="W56" s="83">
        <v>5.6213274122568668</v>
      </c>
      <c r="X56" s="83">
        <v>1.155590125</v>
      </c>
      <c r="Y56" s="83">
        <v>-25.054456350552226</v>
      </c>
      <c r="Z56" s="69" t="s">
        <v>54</v>
      </c>
      <c r="AA56" s="73">
        <v>5.5661983611111108</v>
      </c>
      <c r="AB56" s="73">
        <v>3.0248816727959098</v>
      </c>
      <c r="AC56" s="73">
        <v>3.9982883888888887</v>
      </c>
      <c r="AD56" s="73">
        <v>-25.508901929003891</v>
      </c>
      <c r="AE56" s="73">
        <v>2.2461111111111109</v>
      </c>
      <c r="AF56" s="73">
        <v>2.2461111111111109</v>
      </c>
      <c r="AG56" s="32">
        <f t="shared" si="16"/>
        <v>1.1379460310984945E-2</v>
      </c>
      <c r="AH56" s="32">
        <f t="shared" si="17"/>
        <v>0.25846953038557846</v>
      </c>
      <c r="AI56" s="33">
        <f t="shared" si="18"/>
        <v>2.401342930989888E-2</v>
      </c>
      <c r="AJ56" s="34">
        <f t="shared" si="19"/>
        <v>0.29868483692696191</v>
      </c>
      <c r="AK56" s="16">
        <f t="shared" si="20"/>
        <v>1.0205707456707024E-2</v>
      </c>
      <c r="AL56" s="16">
        <f t="shared" si="21"/>
        <v>0.1269410556939588</v>
      </c>
      <c r="AM56" s="27">
        <f t="shared" si="22"/>
        <v>10.205707456707025</v>
      </c>
      <c r="AN56" s="27">
        <f t="shared" si="23"/>
        <v>126.9410556939588</v>
      </c>
      <c r="AO56" s="29" t="e">
        <f t="shared" si="24"/>
        <v>#VALUE!</v>
      </c>
      <c r="AP56" s="29" t="e">
        <f t="shared" si="25"/>
        <v>#VALUE!</v>
      </c>
      <c r="AQ56" s="27">
        <f t="shared" si="26"/>
        <v>12.438241663544375</v>
      </c>
      <c r="AR56" s="14">
        <f t="shared" si="27"/>
        <v>4.576445739460957</v>
      </c>
      <c r="AS56" s="25">
        <v>0.36620000000000003</v>
      </c>
      <c r="AT56" s="22">
        <f t="shared" si="28"/>
        <v>0.36792362462521749</v>
      </c>
      <c r="AU56" s="22">
        <f t="shared" si="29"/>
        <v>1.7236246252174681E-3</v>
      </c>
      <c r="AV56" s="15"/>
      <c r="AW56" s="22"/>
      <c r="AX56" s="34">
        <f t="shared" si="30"/>
        <v>17.236246252174681</v>
      </c>
      <c r="AY56" s="14">
        <f t="shared" si="31"/>
        <v>-25.575554421548336</v>
      </c>
      <c r="AZ56" s="25">
        <v>1.0819000000000001</v>
      </c>
      <c r="BA56" s="22">
        <f t="shared" si="32"/>
        <v>1.0831012163006946</v>
      </c>
      <c r="BB56" s="38">
        <f t="shared" si="33"/>
        <v>1.2012163006944743E-3</v>
      </c>
      <c r="BC56" s="15"/>
      <c r="BD56" s="38"/>
      <c r="BE56" s="38">
        <f t="shared" si="34"/>
        <v>12.012163006944743</v>
      </c>
    </row>
    <row r="57" spans="1:57" ht="15.75">
      <c r="A57" s="67">
        <v>99</v>
      </c>
      <c r="B57" s="134">
        <v>1</v>
      </c>
      <c r="C57" s="66" t="s">
        <v>415</v>
      </c>
      <c r="D57" s="66" t="s">
        <v>416</v>
      </c>
      <c r="E57" s="66" t="s">
        <v>437</v>
      </c>
      <c r="F57" s="66" t="s">
        <v>411</v>
      </c>
      <c r="G57" s="66"/>
      <c r="H57" s="66" t="s">
        <v>412</v>
      </c>
      <c r="I57" s="66">
        <v>100</v>
      </c>
      <c r="J57" s="66">
        <v>20</v>
      </c>
      <c r="K57" s="66">
        <v>30</v>
      </c>
      <c r="L57" s="66" t="s">
        <v>440</v>
      </c>
      <c r="M57" s="66">
        <v>1</v>
      </c>
      <c r="N57"/>
      <c r="O57"/>
      <c r="P57"/>
      <c r="Q57" s="108">
        <v>10</v>
      </c>
      <c r="R57" s="53">
        <v>8</v>
      </c>
      <c r="S57" s="53">
        <f t="shared" si="15"/>
        <v>2</v>
      </c>
      <c r="T57" s="80">
        <v>162</v>
      </c>
      <c r="U57" s="80" t="s">
        <v>242</v>
      </c>
      <c r="V57" s="81">
        <v>0.78092693749999997</v>
      </c>
      <c r="W57" s="81">
        <v>12.607146717471057</v>
      </c>
      <c r="X57" s="81">
        <v>0.44268412499999998</v>
      </c>
      <c r="Y57" s="81">
        <v>-24.712317418423922</v>
      </c>
      <c r="Z57" s="69" t="s">
        <v>54</v>
      </c>
      <c r="AA57" s="73">
        <v>5.5661983611111108</v>
      </c>
      <c r="AB57" s="73">
        <v>3.0248816727959098</v>
      </c>
      <c r="AC57" s="73">
        <v>3.9982883888888887</v>
      </c>
      <c r="AD57" s="73">
        <v>-25.508901929003891</v>
      </c>
      <c r="AE57" s="73">
        <v>2.2461111111111109</v>
      </c>
      <c r="AF57" s="73">
        <v>2.2461111111111109</v>
      </c>
      <c r="AG57" s="32">
        <f t="shared" ref="AG57:AG93" si="50">((2.82/100)*AE57)/AA57</f>
        <v>1.1379460310984945E-2</v>
      </c>
      <c r="AH57" s="32">
        <f t="shared" ref="AH57:AH93" si="51">((46.01/100)*AF57)/AC57</f>
        <v>0.25846953038557846</v>
      </c>
      <c r="AI57" s="33">
        <f t="shared" ref="AI57:AI93" si="52">V57*AG57</f>
        <v>8.8865270910602704E-3</v>
      </c>
      <c r="AJ57" s="34">
        <f t="shared" ref="AJ57:AJ93" si="53">X57*AH57</f>
        <v>0.11442035789790071</v>
      </c>
      <c r="AK57" s="16">
        <f t="shared" ref="AK57:AK93" si="54">((AI57/K57)*(100+S57))/(R57)</f>
        <v>3.776774013700615E-3</v>
      </c>
      <c r="AL57" s="16">
        <f t="shared" ref="AL57:AL93" si="55">((AJ57/K57)*(100+S57))/(R57)</f>
        <v>4.86286521066078E-2</v>
      </c>
      <c r="AM57" s="27">
        <f t="shared" ref="AM57:AM93" si="56">AK57*1000</f>
        <v>3.7767740137006149</v>
      </c>
      <c r="AN57" s="27">
        <f t="shared" ref="AN57:AN93" si="57">AL57*1000</f>
        <v>48.628652106607802</v>
      </c>
      <c r="AO57" s="29" t="e">
        <f t="shared" ref="AO57:AO93" si="58">AI57*100/Z57</f>
        <v>#VALUE!</v>
      </c>
      <c r="AP57" s="29" t="e">
        <f t="shared" ref="AP57:AP93" si="59">AJ57*100/Z57</f>
        <v>#VALUE!</v>
      </c>
      <c r="AQ57" s="27">
        <f t="shared" ref="AQ57:AQ93" si="60">AJ57/AI57</f>
        <v>12.875711369068586</v>
      </c>
      <c r="AR57" s="14">
        <f t="shared" ref="AR57:AR93" si="61">W57+(1.98-AB57)</f>
        <v>11.562265044675147</v>
      </c>
      <c r="AS57" s="25">
        <v>0.36620000000000003</v>
      </c>
      <c r="AT57" s="22">
        <f t="shared" ref="AT57:AT93" si="62">100*0.003676*(AR57/1000+1)/(1+0.003676*(AR57/1000+1))</f>
        <v>0.37047268488239049</v>
      </c>
      <c r="AU57" s="22">
        <f t="shared" ref="AU57:AU93" si="63">AT57-AS57</f>
        <v>4.2726848823904651E-3</v>
      </c>
      <c r="AV57" s="15"/>
      <c r="AW57" s="22"/>
      <c r="AX57" s="34">
        <f t="shared" ref="AX57:AX93" si="64">(((AI57*(AU57%))/AI57)*1000)*1000</f>
        <v>42.726848823904653</v>
      </c>
      <c r="AY57" s="14">
        <f t="shared" ref="AY57:AY93" si="65">Y57+(-26.03-AD57)</f>
        <v>-25.233415489420032</v>
      </c>
      <c r="AZ57" s="25">
        <v>1.0819000000000001</v>
      </c>
      <c r="BA57" s="22">
        <f t="shared" ref="BA57:BA93" si="66">100*0.011237*(AY57/1000+1)/(1+0.011237*(AY57/1000+1))</f>
        <v>1.0834773932748774</v>
      </c>
      <c r="BB57" s="38">
        <f t="shared" ref="BB57:BB93" si="67">BA57-AZ57</f>
        <v>1.5773932748772701E-3</v>
      </c>
      <c r="BC57" s="15"/>
      <c r="BD57" s="38"/>
      <c r="BE57" s="38">
        <f t="shared" ref="BE57:BE93" si="68">(((AJ57*(BB57%))/AJ57)*1000)*1000</f>
        <v>15.773932748772701</v>
      </c>
    </row>
    <row r="58" spans="1:57" ht="15.75">
      <c r="A58" s="67">
        <v>100</v>
      </c>
      <c r="B58" s="134">
        <v>1</v>
      </c>
      <c r="C58" s="66" t="s">
        <v>417</v>
      </c>
      <c r="D58" s="66" t="s">
        <v>418</v>
      </c>
      <c r="E58" s="66" t="s">
        <v>437</v>
      </c>
      <c r="F58" s="66" t="s">
        <v>411</v>
      </c>
      <c r="G58" s="66"/>
      <c r="H58" s="66" t="s">
        <v>412</v>
      </c>
      <c r="I58" s="66">
        <v>100</v>
      </c>
      <c r="J58" s="66">
        <v>20</v>
      </c>
      <c r="K58" s="66">
        <v>30</v>
      </c>
      <c r="L58" s="66" t="s">
        <v>441</v>
      </c>
      <c r="M58" s="66">
        <v>1</v>
      </c>
      <c r="N58"/>
      <c r="O58"/>
      <c r="P58"/>
      <c r="Q58" s="108">
        <v>10</v>
      </c>
      <c r="R58" s="53">
        <v>8</v>
      </c>
      <c r="S58" s="53">
        <f t="shared" si="15"/>
        <v>2</v>
      </c>
      <c r="T58" s="82">
        <v>163</v>
      </c>
      <c r="U58" s="82" t="s">
        <v>243</v>
      </c>
      <c r="V58" s="83">
        <v>2.3578134999999998</v>
      </c>
      <c r="W58" s="83">
        <v>11.611784760442129</v>
      </c>
      <c r="X58" s="83">
        <v>1.2448655</v>
      </c>
      <c r="Y58" s="83">
        <v>-25.406460464638865</v>
      </c>
      <c r="Z58" s="69" t="s">
        <v>54</v>
      </c>
      <c r="AA58" s="73">
        <v>5.5661983611111108</v>
      </c>
      <c r="AB58" s="73">
        <v>3.0248816727959098</v>
      </c>
      <c r="AC58" s="73">
        <v>3.9982883888888887</v>
      </c>
      <c r="AD58" s="73">
        <v>-25.508901929003891</v>
      </c>
      <c r="AE58" s="73">
        <v>2.2461111111111109</v>
      </c>
      <c r="AF58" s="73">
        <v>2.2461111111111109</v>
      </c>
      <c r="AG58" s="32">
        <f t="shared" si="50"/>
        <v>1.1379460310984945E-2</v>
      </c>
      <c r="AH58" s="32">
        <f t="shared" si="51"/>
        <v>0.25846953038557846</v>
      </c>
      <c r="AI58" s="33">
        <f t="shared" si="52"/>
        <v>2.6830645143954501E-2</v>
      </c>
      <c r="AJ58" s="34">
        <f t="shared" si="53"/>
        <v>0.32175980117820829</v>
      </c>
      <c r="AK58" s="16">
        <f t="shared" si="54"/>
        <v>1.1403024186180664E-2</v>
      </c>
      <c r="AL58" s="16">
        <f t="shared" si="55"/>
        <v>0.13674791550073853</v>
      </c>
      <c r="AM58" s="27">
        <f t="shared" si="56"/>
        <v>11.403024186180664</v>
      </c>
      <c r="AN58" s="27">
        <f t="shared" si="57"/>
        <v>136.74791550073854</v>
      </c>
      <c r="AO58" s="29" t="e">
        <f t="shared" si="58"/>
        <v>#VALUE!</v>
      </c>
      <c r="AP58" s="29" t="e">
        <f t="shared" si="59"/>
        <v>#VALUE!</v>
      </c>
      <c r="AQ58" s="27">
        <f t="shared" si="60"/>
        <v>11.992249886347121</v>
      </c>
      <c r="AR58" s="14">
        <f t="shared" si="61"/>
        <v>10.566903087646219</v>
      </c>
      <c r="AS58" s="25">
        <v>0.36620000000000003</v>
      </c>
      <c r="AT58" s="22">
        <f t="shared" si="62"/>
        <v>0.37010949456357572</v>
      </c>
      <c r="AU58" s="22">
        <f t="shared" si="63"/>
        <v>3.9094945635756995E-3</v>
      </c>
      <c r="AV58" s="15"/>
      <c r="AW58" s="22"/>
      <c r="AX58" s="34">
        <f t="shared" si="64"/>
        <v>39.094945635756993</v>
      </c>
      <c r="AY58" s="14">
        <f t="shared" si="65"/>
        <v>-25.927558535634976</v>
      </c>
      <c r="AZ58" s="25">
        <v>1.0819000000000001</v>
      </c>
      <c r="BA58" s="22">
        <f t="shared" si="66"/>
        <v>1.0827141897106909</v>
      </c>
      <c r="BB58" s="38">
        <f t="shared" si="67"/>
        <v>8.141897106908047E-4</v>
      </c>
      <c r="BC58" s="15"/>
      <c r="BD58" s="38"/>
      <c r="BE58" s="38">
        <f t="shared" si="68"/>
        <v>8.141897106908047</v>
      </c>
    </row>
    <row r="59" spans="1:57" ht="15.75">
      <c r="A59" s="67">
        <v>101</v>
      </c>
      <c r="B59" s="134">
        <v>1</v>
      </c>
      <c r="C59" s="66" t="s">
        <v>419</v>
      </c>
      <c r="D59" s="66" t="s">
        <v>420</v>
      </c>
      <c r="E59" s="66" t="s">
        <v>437</v>
      </c>
      <c r="F59" s="66" t="s">
        <v>411</v>
      </c>
      <c r="G59" s="66"/>
      <c r="H59" s="66" t="s">
        <v>412</v>
      </c>
      <c r="I59" s="66">
        <v>100</v>
      </c>
      <c r="J59" s="66">
        <v>20</v>
      </c>
      <c r="K59" s="66">
        <v>30</v>
      </c>
      <c r="L59" s="66" t="s">
        <v>442</v>
      </c>
      <c r="M59" s="66">
        <v>1</v>
      </c>
      <c r="N59"/>
      <c r="O59"/>
      <c r="P59"/>
      <c r="Q59" s="108">
        <v>10</v>
      </c>
      <c r="R59" s="53">
        <v>8</v>
      </c>
      <c r="S59" s="53">
        <f t="shared" si="15"/>
        <v>2</v>
      </c>
      <c r="T59" s="80">
        <v>164</v>
      </c>
      <c r="U59" s="80" t="s">
        <v>244</v>
      </c>
      <c r="V59" s="81">
        <v>0.94754812499999996</v>
      </c>
      <c r="W59" s="81">
        <v>17.91440600947702</v>
      </c>
      <c r="X59" s="81">
        <v>0.50386915624999995</v>
      </c>
      <c r="Y59" s="81">
        <v>-23.539305577291511</v>
      </c>
      <c r="Z59" s="69" t="s">
        <v>54</v>
      </c>
      <c r="AA59" s="73">
        <v>5.5661983611111108</v>
      </c>
      <c r="AB59" s="73">
        <v>3.0248816727959098</v>
      </c>
      <c r="AC59" s="73">
        <v>3.9982883888888887</v>
      </c>
      <c r="AD59" s="73">
        <v>-25.508901929003891</v>
      </c>
      <c r="AE59" s="73">
        <v>2.2461111111111109</v>
      </c>
      <c r="AF59" s="73">
        <v>2.2461111111111109</v>
      </c>
      <c r="AG59" s="32">
        <f t="shared" si="50"/>
        <v>1.1379460310984945E-2</v>
      </c>
      <c r="AH59" s="32">
        <f t="shared" si="51"/>
        <v>0.25846953038557846</v>
      </c>
      <c r="AI59" s="33">
        <f t="shared" si="52"/>
        <v>1.0782586281185702E-2</v>
      </c>
      <c r="AJ59" s="34">
        <f t="shared" si="53"/>
        <v>0.13023482419171514</v>
      </c>
      <c r="AK59" s="16">
        <f t="shared" si="54"/>
        <v>4.5825991695039236E-3</v>
      </c>
      <c r="AL59" s="16">
        <f t="shared" si="55"/>
        <v>5.5349800281478935E-2</v>
      </c>
      <c r="AM59" s="27">
        <f t="shared" si="56"/>
        <v>4.5825991695039239</v>
      </c>
      <c r="AN59" s="27">
        <f t="shared" si="57"/>
        <v>55.349800281478934</v>
      </c>
      <c r="AO59" s="29" t="e">
        <f t="shared" si="58"/>
        <v>#VALUE!</v>
      </c>
      <c r="AP59" s="29" t="e">
        <f t="shared" si="59"/>
        <v>#VALUE!</v>
      </c>
      <c r="AQ59" s="27">
        <f t="shared" si="60"/>
        <v>12.078254770746332</v>
      </c>
      <c r="AR59" s="14">
        <f t="shared" si="61"/>
        <v>16.86952433668111</v>
      </c>
      <c r="AS59" s="25">
        <v>0.36620000000000003</v>
      </c>
      <c r="AT59" s="22">
        <f t="shared" si="62"/>
        <v>0.37240916707240163</v>
      </c>
      <c r="AU59" s="22">
        <f t="shared" si="63"/>
        <v>6.2091670724016002E-3</v>
      </c>
      <c r="AV59" s="15"/>
      <c r="AW59" s="22"/>
      <c r="AX59" s="34">
        <f t="shared" si="64"/>
        <v>62.091670724015998</v>
      </c>
      <c r="AY59" s="14">
        <f t="shared" si="65"/>
        <v>-24.060403648287622</v>
      </c>
      <c r="AZ59" s="25">
        <v>1.0819000000000001</v>
      </c>
      <c r="BA59" s="22">
        <f t="shared" si="66"/>
        <v>1.0847670816802464</v>
      </c>
      <c r="BB59" s="38">
        <f t="shared" si="67"/>
        <v>2.8670816802462973E-3</v>
      </c>
      <c r="BC59" s="15"/>
      <c r="BD59" s="38"/>
      <c r="BE59" s="38">
        <f t="shared" si="68"/>
        <v>28.670816802462973</v>
      </c>
    </row>
    <row r="60" spans="1:57" ht="15.75">
      <c r="A60" s="67">
        <v>102</v>
      </c>
      <c r="B60" s="134">
        <v>1</v>
      </c>
      <c r="C60" s="66" t="s">
        <v>421</v>
      </c>
      <c r="D60" s="66" t="s">
        <v>422</v>
      </c>
      <c r="E60" s="66" t="s">
        <v>437</v>
      </c>
      <c r="F60" s="66" t="s">
        <v>411</v>
      </c>
      <c r="G60" s="66"/>
      <c r="H60" s="66" t="s">
        <v>412</v>
      </c>
      <c r="I60" s="66">
        <v>100</v>
      </c>
      <c r="J60" s="66">
        <v>20</v>
      </c>
      <c r="K60" s="66">
        <v>30</v>
      </c>
      <c r="L60" s="66" t="s">
        <v>443</v>
      </c>
      <c r="M60" s="66">
        <v>1</v>
      </c>
      <c r="N60"/>
      <c r="O60"/>
      <c r="P60"/>
      <c r="Q60" s="108">
        <v>10</v>
      </c>
      <c r="R60" s="53">
        <v>8</v>
      </c>
      <c r="S60" s="53">
        <f t="shared" si="15"/>
        <v>2</v>
      </c>
      <c r="T60" s="82">
        <v>165</v>
      </c>
      <c r="U60" s="82" t="s">
        <v>245</v>
      </c>
      <c r="V60" s="83">
        <v>1.286574375</v>
      </c>
      <c r="W60" s="83">
        <v>3.731511985599989</v>
      </c>
      <c r="X60" s="83">
        <v>0.8109849375</v>
      </c>
      <c r="Y60" s="83">
        <v>-25.217476802802114</v>
      </c>
      <c r="Z60" s="69" t="s">
        <v>54</v>
      </c>
      <c r="AA60" s="73">
        <v>5.5661983611111108</v>
      </c>
      <c r="AB60" s="73">
        <v>3.0248816727959098</v>
      </c>
      <c r="AC60" s="73">
        <v>3.9982883888888887</v>
      </c>
      <c r="AD60" s="73">
        <v>-25.508901929003891</v>
      </c>
      <c r="AE60" s="73">
        <v>2.2461111111111109</v>
      </c>
      <c r="AF60" s="73">
        <v>2.2461111111111109</v>
      </c>
      <c r="AG60" s="32">
        <f t="shared" si="50"/>
        <v>1.1379460310984945E-2</v>
      </c>
      <c r="AH60" s="32">
        <f t="shared" si="51"/>
        <v>0.25846953038557846</v>
      </c>
      <c r="AI60" s="33">
        <f t="shared" si="52"/>
        <v>1.4640522037442762E-2</v>
      </c>
      <c r="AJ60" s="34">
        <f t="shared" si="53"/>
        <v>0.2096148959454027</v>
      </c>
      <c r="AK60" s="16">
        <f t="shared" si="54"/>
        <v>6.2222218659131745E-3</v>
      </c>
      <c r="AL60" s="16">
        <f t="shared" si="55"/>
        <v>8.9086330776796147E-2</v>
      </c>
      <c r="AM60" s="27">
        <f t="shared" si="56"/>
        <v>6.2222218659131743</v>
      </c>
      <c r="AN60" s="27">
        <f t="shared" si="57"/>
        <v>89.086330776796146</v>
      </c>
      <c r="AO60" s="29" t="e">
        <f t="shared" si="58"/>
        <v>#VALUE!</v>
      </c>
      <c r="AP60" s="29" t="e">
        <f t="shared" si="59"/>
        <v>#VALUE!</v>
      </c>
      <c r="AQ60" s="27">
        <f t="shared" si="60"/>
        <v>14.317446837573</v>
      </c>
      <c r="AR60" s="14">
        <f t="shared" si="61"/>
        <v>2.6866303128040792</v>
      </c>
      <c r="AS60" s="25">
        <v>0.36620000000000003</v>
      </c>
      <c r="AT60" s="22">
        <f t="shared" si="62"/>
        <v>0.36723402619995865</v>
      </c>
      <c r="AU60" s="22">
        <f t="shared" si="63"/>
        <v>1.0340261999586264E-3</v>
      </c>
      <c r="AV60" s="15"/>
      <c r="AW60" s="22"/>
      <c r="AX60" s="34">
        <f t="shared" si="64"/>
        <v>10.340261999586264</v>
      </c>
      <c r="AY60" s="14">
        <f t="shared" si="65"/>
        <v>-25.738574873798225</v>
      </c>
      <c r="AZ60" s="25">
        <v>1.0819000000000001</v>
      </c>
      <c r="BA60" s="22">
        <f t="shared" si="66"/>
        <v>1.0829219765853735</v>
      </c>
      <c r="BB60" s="38">
        <f t="shared" si="67"/>
        <v>1.0219765853733964E-3</v>
      </c>
      <c r="BC60" s="15"/>
      <c r="BD60" s="38"/>
      <c r="BE60" s="38">
        <f t="shared" si="68"/>
        <v>10.219765853733964</v>
      </c>
    </row>
    <row r="61" spans="1:57" ht="15.75">
      <c r="A61" s="67">
        <v>103</v>
      </c>
      <c r="B61" s="134">
        <v>1</v>
      </c>
      <c r="C61" s="66" t="s">
        <v>423</v>
      </c>
      <c r="D61" s="66" t="s">
        <v>424</v>
      </c>
      <c r="E61" s="66" t="s">
        <v>437</v>
      </c>
      <c r="F61" s="66" t="s">
        <v>411</v>
      </c>
      <c r="G61" s="66"/>
      <c r="H61" s="66" t="s">
        <v>412</v>
      </c>
      <c r="I61" s="66">
        <v>100</v>
      </c>
      <c r="J61" s="66">
        <v>20</v>
      </c>
      <c r="K61" s="66">
        <v>30</v>
      </c>
      <c r="L61" s="66" t="s">
        <v>444</v>
      </c>
      <c r="M61" s="66">
        <v>1</v>
      </c>
      <c r="N61"/>
      <c r="O61"/>
      <c r="P61"/>
      <c r="Q61" s="108">
        <v>10</v>
      </c>
      <c r="R61" s="53">
        <v>8</v>
      </c>
      <c r="S61" s="53">
        <f t="shared" si="15"/>
        <v>2</v>
      </c>
      <c r="T61" s="80">
        <v>166</v>
      </c>
      <c r="U61" s="80" t="s">
        <v>246</v>
      </c>
      <c r="V61" s="81">
        <v>0.74767887499999997</v>
      </c>
      <c r="W61" s="81">
        <v>7.0795261138088765</v>
      </c>
      <c r="X61" s="81">
        <v>0.43949143750000003</v>
      </c>
      <c r="Y61" s="81">
        <v>-23.99777318711498</v>
      </c>
      <c r="Z61" s="69" t="s">
        <v>54</v>
      </c>
      <c r="AA61" s="73">
        <v>5.5661983611111108</v>
      </c>
      <c r="AB61" s="73">
        <v>3.0248816727959098</v>
      </c>
      <c r="AC61" s="73">
        <v>3.9982883888888887</v>
      </c>
      <c r="AD61" s="73">
        <v>-25.508901929003891</v>
      </c>
      <c r="AE61" s="73">
        <v>2.2461111111111109</v>
      </c>
      <c r="AF61" s="73">
        <v>2.2461111111111109</v>
      </c>
      <c r="AG61" s="32">
        <f t="shared" si="50"/>
        <v>1.1379460310984945E-2</v>
      </c>
      <c r="AH61" s="32">
        <f t="shared" si="51"/>
        <v>0.25846953038557846</v>
      </c>
      <c r="AI61" s="33">
        <f t="shared" si="52"/>
        <v>8.5081820834243729E-3</v>
      </c>
      <c r="AJ61" s="34">
        <f t="shared" si="53"/>
        <v>0.11359514545910782</v>
      </c>
      <c r="AK61" s="16">
        <f t="shared" si="54"/>
        <v>3.6159773854553589E-3</v>
      </c>
      <c r="AL61" s="16">
        <f t="shared" si="55"/>
        <v>4.8277936820120819E-2</v>
      </c>
      <c r="AM61" s="27">
        <f t="shared" si="56"/>
        <v>3.6159773854553587</v>
      </c>
      <c r="AN61" s="27">
        <f t="shared" si="57"/>
        <v>48.277936820120821</v>
      </c>
      <c r="AO61" s="29" t="e">
        <f t="shared" si="58"/>
        <v>#VALUE!</v>
      </c>
      <c r="AP61" s="29" t="e">
        <f t="shared" si="59"/>
        <v>#VALUE!</v>
      </c>
      <c r="AQ61" s="27">
        <f t="shared" si="60"/>
        <v>13.351282841068212</v>
      </c>
      <c r="AR61" s="14">
        <f t="shared" si="61"/>
        <v>6.0346444410129667</v>
      </c>
      <c r="AS61" s="25">
        <v>0.36620000000000003</v>
      </c>
      <c r="AT61" s="22">
        <f t="shared" si="62"/>
        <v>0.36845571849208403</v>
      </c>
      <c r="AU61" s="22">
        <f t="shared" si="63"/>
        <v>2.2557184920840023E-3</v>
      </c>
      <c r="AV61" s="15"/>
      <c r="AW61" s="22"/>
      <c r="AX61" s="34">
        <f t="shared" si="64"/>
        <v>22.557184920840022</v>
      </c>
      <c r="AY61" s="14">
        <f t="shared" si="65"/>
        <v>-24.518871258111091</v>
      </c>
      <c r="AZ61" s="25">
        <v>1.0819000000000001</v>
      </c>
      <c r="BA61" s="22">
        <f t="shared" si="66"/>
        <v>1.0842630154434172</v>
      </c>
      <c r="BB61" s="38">
        <f t="shared" si="67"/>
        <v>2.3630154434171047E-3</v>
      </c>
      <c r="BC61" s="15"/>
      <c r="BD61" s="38"/>
      <c r="BE61" s="38">
        <f t="shared" si="68"/>
        <v>23.630154434171047</v>
      </c>
    </row>
    <row r="62" spans="1:57" ht="15.75">
      <c r="A62" s="135"/>
      <c r="B62" s="136"/>
      <c r="C62" s="135"/>
      <c r="D62" s="135" t="s">
        <v>116</v>
      </c>
      <c r="E62" s="135"/>
      <c r="F62" s="135" t="s">
        <v>55</v>
      </c>
      <c r="G62" s="135"/>
      <c r="H62" s="135"/>
      <c r="I62" s="135"/>
      <c r="J62" s="135"/>
      <c r="K62" s="135"/>
      <c r="L62" s="135" t="s">
        <v>132</v>
      </c>
      <c r="M62" s="137">
        <v>1</v>
      </c>
      <c r="N62"/>
      <c r="O62"/>
      <c r="P62"/>
      <c r="Q62" s="108">
        <v>10</v>
      </c>
      <c r="R62" s="53">
        <v>8</v>
      </c>
      <c r="S62" s="53">
        <f t="shared" si="15"/>
        <v>2</v>
      </c>
      <c r="T62" s="82">
        <v>167</v>
      </c>
      <c r="U62" s="82" t="s">
        <v>247</v>
      </c>
      <c r="V62" s="83">
        <v>4.6013570000000001</v>
      </c>
      <c r="W62" s="83">
        <v>2.9375922271753536</v>
      </c>
      <c r="X62" s="83">
        <v>3.4343884999999998</v>
      </c>
      <c r="Y62" s="83">
        <v>-25.174772388572705</v>
      </c>
      <c r="Z62" s="69">
        <v>1.8759999999999999</v>
      </c>
      <c r="AA62" s="73">
        <v>5.5661983611111108</v>
      </c>
      <c r="AB62" s="73">
        <v>3.0248816727959098</v>
      </c>
      <c r="AC62" s="73">
        <v>3.9982883888888887</v>
      </c>
      <c r="AD62" s="73">
        <v>-25.508901929003891</v>
      </c>
      <c r="AE62" s="73">
        <v>2.2461111111111109</v>
      </c>
      <c r="AF62" s="73">
        <v>2.2461111111111109</v>
      </c>
      <c r="AG62" s="32">
        <f t="shared" si="50"/>
        <v>1.1379460310984945E-2</v>
      </c>
      <c r="AH62" s="32">
        <f t="shared" si="51"/>
        <v>0.25846953038557846</v>
      </c>
      <c r="AI62" s="33">
        <f t="shared" si="52"/>
        <v>5.2360959358172754E-2</v>
      </c>
      <c r="AJ62" s="34">
        <f t="shared" si="53"/>
        <v>0.88768478275663121</v>
      </c>
      <c r="AK62" s="16" t="e">
        <f t="shared" si="54"/>
        <v>#DIV/0!</v>
      </c>
      <c r="AL62" s="16" t="e">
        <f t="shared" si="55"/>
        <v>#DIV/0!</v>
      </c>
      <c r="AM62" s="27" t="e">
        <f t="shared" si="56"/>
        <v>#DIV/0!</v>
      </c>
      <c r="AN62" s="27" t="e">
        <f t="shared" si="57"/>
        <v>#DIV/0!</v>
      </c>
      <c r="AO62" s="29">
        <f t="shared" si="58"/>
        <v>2.7910959146147523</v>
      </c>
      <c r="AP62" s="29">
        <f t="shared" si="59"/>
        <v>47.317952172528315</v>
      </c>
      <c r="AQ62" s="27">
        <f t="shared" si="60"/>
        <v>16.95318026326569</v>
      </c>
      <c r="AR62" s="14">
        <f t="shared" si="61"/>
        <v>1.8927105543794438</v>
      </c>
      <c r="AS62" s="25">
        <v>0.36620000000000003</v>
      </c>
      <c r="AT62" s="22">
        <f t="shared" si="62"/>
        <v>0.36694432002610589</v>
      </c>
      <c r="AU62" s="22">
        <f t="shared" si="63"/>
        <v>7.4432002610586023E-4</v>
      </c>
      <c r="AV62" s="15"/>
      <c r="AW62" s="22"/>
      <c r="AX62" s="34">
        <f t="shared" si="64"/>
        <v>7.4432002610586023</v>
      </c>
      <c r="AY62" s="14">
        <f t="shared" si="65"/>
        <v>-25.695870459568816</v>
      </c>
      <c r="AZ62" s="25">
        <v>1.0819000000000001</v>
      </c>
      <c r="BA62" s="22">
        <f t="shared" si="66"/>
        <v>1.0829689298184209</v>
      </c>
      <c r="BB62" s="38">
        <f t="shared" si="67"/>
        <v>1.0689298184207718E-3</v>
      </c>
      <c r="BC62" s="15"/>
      <c r="BD62" s="38"/>
      <c r="BE62" s="38">
        <f t="shared" si="68"/>
        <v>10.689298184207718</v>
      </c>
    </row>
    <row r="63" spans="1:57" ht="15.75">
      <c r="A63" s="67">
        <v>104</v>
      </c>
      <c r="B63" s="134">
        <v>1</v>
      </c>
      <c r="C63" s="66" t="s">
        <v>425</v>
      </c>
      <c r="D63" s="66" t="s">
        <v>426</v>
      </c>
      <c r="E63" s="66" t="s">
        <v>437</v>
      </c>
      <c r="F63" s="66" t="s">
        <v>411</v>
      </c>
      <c r="G63" s="66"/>
      <c r="H63" s="66" t="s">
        <v>412</v>
      </c>
      <c r="I63" s="66">
        <v>100</v>
      </c>
      <c r="J63" s="66">
        <v>20</v>
      </c>
      <c r="K63" s="66">
        <v>30</v>
      </c>
      <c r="L63" s="66" t="s">
        <v>445</v>
      </c>
      <c r="M63" s="66">
        <v>1</v>
      </c>
      <c r="N63"/>
      <c r="O63"/>
      <c r="P63"/>
      <c r="Q63" s="108">
        <v>10</v>
      </c>
      <c r="R63" s="53">
        <v>8</v>
      </c>
      <c r="S63" s="53">
        <f t="shared" si="15"/>
        <v>2</v>
      </c>
      <c r="T63" s="80">
        <v>168</v>
      </c>
      <c r="U63" s="80" t="s">
        <v>248</v>
      </c>
      <c r="V63" s="81">
        <v>1.431502375</v>
      </c>
      <c r="W63" s="81">
        <v>6.3069616266216659</v>
      </c>
      <c r="X63" s="81">
        <v>0.89882568750000003</v>
      </c>
      <c r="Y63" s="81">
        <v>-24.651699527147521</v>
      </c>
      <c r="Z63" s="69" t="s">
        <v>54</v>
      </c>
      <c r="AA63" s="73">
        <v>5.5661983611111108</v>
      </c>
      <c r="AB63" s="73">
        <v>3.0248816727959098</v>
      </c>
      <c r="AC63" s="73">
        <v>3.9982883888888887</v>
      </c>
      <c r="AD63" s="73">
        <v>-25.508901929003891</v>
      </c>
      <c r="AE63" s="73">
        <v>2.2461111111111109</v>
      </c>
      <c r="AF63" s="73">
        <v>2.2461111111111109</v>
      </c>
      <c r="AG63" s="32">
        <f t="shared" si="50"/>
        <v>1.1379460310984945E-2</v>
      </c>
      <c r="AH63" s="32">
        <f t="shared" si="51"/>
        <v>0.25846953038557846</v>
      </c>
      <c r="AI63" s="33">
        <f t="shared" si="52"/>
        <v>1.6289724461393189E-2</v>
      </c>
      <c r="AJ63" s="34">
        <f t="shared" si="53"/>
        <v>0.2323190533466197</v>
      </c>
      <c r="AK63" s="16">
        <f t="shared" si="54"/>
        <v>6.9231328960921053E-3</v>
      </c>
      <c r="AL63" s="16">
        <f t="shared" si="55"/>
        <v>9.873559767231338E-2</v>
      </c>
      <c r="AM63" s="27">
        <f t="shared" si="56"/>
        <v>6.9231328960921052</v>
      </c>
      <c r="AN63" s="27">
        <f t="shared" si="57"/>
        <v>98.735597672313375</v>
      </c>
      <c r="AO63" s="29" t="e">
        <f t="shared" si="58"/>
        <v>#VALUE!</v>
      </c>
      <c r="AP63" s="29" t="e">
        <f t="shared" si="59"/>
        <v>#VALUE!</v>
      </c>
      <c r="AQ63" s="27">
        <f t="shared" si="60"/>
        <v>14.261693247004771</v>
      </c>
      <c r="AR63" s="14">
        <f t="shared" si="61"/>
        <v>5.2620799538257561</v>
      </c>
      <c r="AS63" s="25">
        <v>0.36620000000000003</v>
      </c>
      <c r="AT63" s="22">
        <f t="shared" si="62"/>
        <v>0.36817381192290816</v>
      </c>
      <c r="AU63" s="22">
        <f t="shared" si="63"/>
        <v>1.9738119229081308E-3</v>
      </c>
      <c r="AV63" s="15"/>
      <c r="AW63" s="22"/>
      <c r="AX63" s="34">
        <f t="shared" si="64"/>
        <v>19.738119229081306</v>
      </c>
      <c r="AY63" s="14">
        <f t="shared" si="65"/>
        <v>-25.172797598143632</v>
      </c>
      <c r="AZ63" s="25">
        <v>1.0819000000000001</v>
      </c>
      <c r="BA63" s="22">
        <f t="shared" si="66"/>
        <v>1.0835440415007795</v>
      </c>
      <c r="BB63" s="38">
        <f t="shared" si="67"/>
        <v>1.6440415007794584E-3</v>
      </c>
      <c r="BC63" s="15"/>
      <c r="BD63" s="38"/>
      <c r="BE63" s="38">
        <f t="shared" si="68"/>
        <v>16.440415007794584</v>
      </c>
    </row>
    <row r="64" spans="1:57" ht="15.75">
      <c r="A64" s="67">
        <v>105</v>
      </c>
      <c r="B64" s="134">
        <v>2</v>
      </c>
      <c r="C64" s="66" t="s">
        <v>408</v>
      </c>
      <c r="D64" s="66" t="s">
        <v>426</v>
      </c>
      <c r="E64" s="66" t="s">
        <v>437</v>
      </c>
      <c r="F64" s="66" t="s">
        <v>411</v>
      </c>
      <c r="G64" s="66"/>
      <c r="H64" s="66" t="s">
        <v>427</v>
      </c>
      <c r="I64" s="66">
        <v>100</v>
      </c>
      <c r="J64" s="66">
        <v>20</v>
      </c>
      <c r="K64" s="66">
        <v>30</v>
      </c>
      <c r="L64" s="66" t="s">
        <v>446</v>
      </c>
      <c r="M64" s="66">
        <v>1</v>
      </c>
      <c r="N64"/>
      <c r="O64"/>
      <c r="P64"/>
      <c r="Q64" s="108">
        <v>10</v>
      </c>
      <c r="R64" s="53">
        <v>8</v>
      </c>
      <c r="S64" s="53">
        <f t="shared" si="15"/>
        <v>2</v>
      </c>
      <c r="T64" s="82">
        <v>169</v>
      </c>
      <c r="U64" s="82" t="s">
        <v>249</v>
      </c>
      <c r="V64" s="83">
        <v>2.3557837500000001</v>
      </c>
      <c r="W64" s="83">
        <v>3510.206628869515</v>
      </c>
      <c r="X64" s="83">
        <v>1.248930125</v>
      </c>
      <c r="Y64" s="83">
        <v>20.280177788139294</v>
      </c>
      <c r="Z64" s="69" t="s">
        <v>54</v>
      </c>
      <c r="AA64" s="73">
        <v>5.5661983611111108</v>
      </c>
      <c r="AB64" s="73">
        <v>3.0248816727959098</v>
      </c>
      <c r="AC64" s="73">
        <v>3.9982883888888887</v>
      </c>
      <c r="AD64" s="73">
        <v>-25.508901929003891</v>
      </c>
      <c r="AE64" s="73">
        <v>2.2461111111111109</v>
      </c>
      <c r="AF64" s="73">
        <v>2.2461111111111109</v>
      </c>
      <c r="AG64" s="32">
        <f t="shared" si="50"/>
        <v>1.1379460310984945E-2</v>
      </c>
      <c r="AH64" s="32">
        <f t="shared" si="51"/>
        <v>0.25846953038557846</v>
      </c>
      <c r="AI64" s="33">
        <f t="shared" si="52"/>
        <v>2.6807547684388283E-2</v>
      </c>
      <c r="AJ64" s="34">
        <f t="shared" si="53"/>
        <v>0.32281038289315178</v>
      </c>
      <c r="AK64" s="16">
        <f t="shared" si="54"/>
        <v>1.1393207765865021E-2</v>
      </c>
      <c r="AL64" s="16">
        <f t="shared" si="55"/>
        <v>0.13719441272958952</v>
      </c>
      <c r="AM64" s="27">
        <f t="shared" si="56"/>
        <v>11.393207765865021</v>
      </c>
      <c r="AN64" s="27">
        <f t="shared" si="57"/>
        <v>137.19441272958952</v>
      </c>
      <c r="AO64" s="29" t="e">
        <f t="shared" si="58"/>
        <v>#VALUE!</v>
      </c>
      <c r="AP64" s="29" t="e">
        <f t="shared" si="59"/>
        <v>#VALUE!</v>
      </c>
      <c r="AQ64" s="27">
        <f t="shared" si="60"/>
        <v>12.041772216305505</v>
      </c>
      <c r="AR64" s="14">
        <f t="shared" si="61"/>
        <v>3509.1617471967193</v>
      </c>
      <c r="AS64" s="25">
        <v>0.36620000000000003</v>
      </c>
      <c r="AT64" s="22">
        <f t="shared" si="62"/>
        <v>1.6305405423238994</v>
      </c>
      <c r="AU64" s="22">
        <f t="shared" si="63"/>
        <v>1.2643405423238994</v>
      </c>
      <c r="AV64" s="15"/>
      <c r="AW64" s="22"/>
      <c r="AX64" s="34">
        <f t="shared" si="64"/>
        <v>12643.405423238994</v>
      </c>
      <c r="AY64" s="14">
        <f t="shared" si="65"/>
        <v>19.759079717143184</v>
      </c>
      <c r="AZ64" s="25">
        <v>1.0819000000000001</v>
      </c>
      <c r="BA64" s="22">
        <f t="shared" si="66"/>
        <v>1.1329210978817537</v>
      </c>
      <c r="BB64" s="38">
        <f t="shared" si="67"/>
        <v>5.1021097881753574E-2</v>
      </c>
      <c r="BC64" s="15"/>
      <c r="BD64" s="38"/>
      <c r="BE64" s="38">
        <f t="shared" si="68"/>
        <v>510.21097881753576</v>
      </c>
    </row>
    <row r="65" spans="1:57" ht="15.75">
      <c r="A65" s="67">
        <v>106</v>
      </c>
      <c r="B65" s="134">
        <v>2</v>
      </c>
      <c r="C65" s="66" t="s">
        <v>413</v>
      </c>
      <c r="D65" s="66" t="s">
        <v>418</v>
      </c>
      <c r="E65" s="66" t="s">
        <v>437</v>
      </c>
      <c r="F65" s="66" t="s">
        <v>411</v>
      </c>
      <c r="G65" s="66"/>
      <c r="H65" s="66" t="s">
        <v>427</v>
      </c>
      <c r="I65" s="66">
        <v>100</v>
      </c>
      <c r="J65" s="66">
        <v>20</v>
      </c>
      <c r="K65" s="66">
        <v>30</v>
      </c>
      <c r="L65" s="66" t="s">
        <v>447</v>
      </c>
      <c r="M65" s="66">
        <v>1</v>
      </c>
      <c r="N65"/>
      <c r="O65"/>
      <c r="P65"/>
      <c r="Q65" s="108">
        <v>10</v>
      </c>
      <c r="R65" s="53">
        <v>8</v>
      </c>
      <c r="S65" s="53">
        <f t="shared" si="15"/>
        <v>2</v>
      </c>
      <c r="T65" s="80">
        <v>170</v>
      </c>
      <c r="U65" s="80" t="s">
        <v>250</v>
      </c>
      <c r="V65" s="81">
        <v>1.0420119999999999</v>
      </c>
      <c r="W65" s="81">
        <v>1437.845490324408</v>
      </c>
      <c r="X65" s="81">
        <v>0.54496693750000003</v>
      </c>
      <c r="Y65" s="81">
        <v>-17.311182180600088</v>
      </c>
      <c r="Z65" s="69" t="s">
        <v>54</v>
      </c>
      <c r="AA65" s="73">
        <v>5.5661983611111108</v>
      </c>
      <c r="AB65" s="73">
        <v>3.0248816727959098</v>
      </c>
      <c r="AC65" s="73">
        <v>3.9982883888888887</v>
      </c>
      <c r="AD65" s="73">
        <v>-25.508901929003891</v>
      </c>
      <c r="AE65" s="73">
        <v>2.2461111111111109</v>
      </c>
      <c r="AF65" s="73">
        <v>2.2461111111111109</v>
      </c>
      <c r="AG65" s="32">
        <f t="shared" si="50"/>
        <v>1.1379460310984945E-2</v>
      </c>
      <c r="AH65" s="32">
        <f t="shared" si="51"/>
        <v>0.25846953038557846</v>
      </c>
      <c r="AI65" s="33">
        <f t="shared" si="52"/>
        <v>1.1857534197570045E-2</v>
      </c>
      <c r="AJ65" s="34">
        <f t="shared" si="53"/>
        <v>0.14085734841129188</v>
      </c>
      <c r="AK65" s="16">
        <f t="shared" si="54"/>
        <v>5.0394520339672689E-3</v>
      </c>
      <c r="AL65" s="16">
        <f t="shared" si="55"/>
        <v>5.9864373074799047E-2</v>
      </c>
      <c r="AM65" s="27">
        <f t="shared" si="56"/>
        <v>5.0394520339672688</v>
      </c>
      <c r="AN65" s="27">
        <f t="shared" si="57"/>
        <v>59.864373074799047</v>
      </c>
      <c r="AO65" s="29" t="e">
        <f t="shared" si="58"/>
        <v>#VALUE!</v>
      </c>
      <c r="AP65" s="29" t="e">
        <f t="shared" si="59"/>
        <v>#VALUE!</v>
      </c>
      <c r="AQ65" s="27">
        <f t="shared" si="60"/>
        <v>11.879143341636549</v>
      </c>
      <c r="AR65" s="14">
        <f t="shared" si="61"/>
        <v>1436.800608651612</v>
      </c>
      <c r="AS65" s="25">
        <v>0.36620000000000003</v>
      </c>
      <c r="AT65" s="22">
        <f t="shared" si="62"/>
        <v>0.88781514066570211</v>
      </c>
      <c r="AU65" s="22">
        <f t="shared" si="63"/>
        <v>0.52161514066570214</v>
      </c>
      <c r="AV65" s="15"/>
      <c r="AW65" s="22"/>
      <c r="AX65" s="34">
        <f t="shared" si="64"/>
        <v>5216.1514066570207</v>
      </c>
      <c r="AY65" s="14">
        <f t="shared" si="65"/>
        <v>-17.832280251596199</v>
      </c>
      <c r="AZ65" s="25">
        <v>1.0819000000000001</v>
      </c>
      <c r="BA65" s="22">
        <f t="shared" si="66"/>
        <v>1.0916141377120518</v>
      </c>
      <c r="BB65" s="38">
        <f t="shared" si="67"/>
        <v>9.7141377120517625E-3</v>
      </c>
      <c r="BC65" s="15"/>
      <c r="BD65" s="38"/>
      <c r="BE65" s="38">
        <f t="shared" si="68"/>
        <v>97.141377120517632</v>
      </c>
    </row>
    <row r="66" spans="1:57" s="24" customFormat="1" ht="15.75">
      <c r="A66" s="67">
        <v>107</v>
      </c>
      <c r="B66" s="134">
        <v>2</v>
      </c>
      <c r="C66" s="66" t="s">
        <v>415</v>
      </c>
      <c r="D66" s="66" t="s">
        <v>416</v>
      </c>
      <c r="E66" s="66" t="s">
        <v>437</v>
      </c>
      <c r="F66" s="66" t="s">
        <v>411</v>
      </c>
      <c r="G66" s="66"/>
      <c r="H66" s="66" t="s">
        <v>427</v>
      </c>
      <c r="I66" s="66">
        <v>100</v>
      </c>
      <c r="J66" s="66">
        <v>20</v>
      </c>
      <c r="K66" s="66">
        <v>30</v>
      </c>
      <c r="L66" s="66" t="s">
        <v>448</v>
      </c>
      <c r="M66" s="66">
        <v>1</v>
      </c>
      <c r="N66"/>
      <c r="O66"/>
      <c r="P66"/>
      <c r="Q66" s="108">
        <v>10</v>
      </c>
      <c r="R66" s="53">
        <v>8</v>
      </c>
      <c r="S66" s="53">
        <f t="shared" si="15"/>
        <v>2</v>
      </c>
      <c r="T66" s="82">
        <v>171</v>
      </c>
      <c r="U66" s="82" t="s">
        <v>251</v>
      </c>
      <c r="V66" s="83">
        <v>1.1229715</v>
      </c>
      <c r="W66" s="83">
        <v>2014.7532935884929</v>
      </c>
      <c r="X66" s="83">
        <v>0.62310906249999998</v>
      </c>
      <c r="Y66" s="83">
        <v>-19.806612009833096</v>
      </c>
      <c r="Z66" s="69" t="s">
        <v>54</v>
      </c>
      <c r="AA66" s="73">
        <v>5.5661983611111108</v>
      </c>
      <c r="AB66" s="73">
        <v>3.0248816727959098</v>
      </c>
      <c r="AC66" s="73">
        <v>3.9982883888888887</v>
      </c>
      <c r="AD66" s="73">
        <v>-25.508901929003891</v>
      </c>
      <c r="AE66" s="73">
        <v>2.2461111111111109</v>
      </c>
      <c r="AF66" s="73">
        <v>2.2461111111111109</v>
      </c>
      <c r="AG66" s="32">
        <f t="shared" si="50"/>
        <v>1.1379460310984945E-2</v>
      </c>
      <c r="AH66" s="32">
        <f t="shared" si="51"/>
        <v>0.25846953038557846</v>
      </c>
      <c r="AI66" s="33">
        <f t="shared" si="52"/>
        <v>1.2778809614617231E-2</v>
      </c>
      <c r="AJ66" s="34">
        <f t="shared" si="53"/>
        <v>0.16105470676337305</v>
      </c>
      <c r="AK66" s="16">
        <f t="shared" si="54"/>
        <v>5.4309940862123235E-3</v>
      </c>
      <c r="AL66" s="16">
        <f t="shared" si="55"/>
        <v>6.8448250374433542E-2</v>
      </c>
      <c r="AM66" s="27">
        <f t="shared" si="56"/>
        <v>5.4309940862123236</v>
      </c>
      <c r="AN66" s="27">
        <f t="shared" si="57"/>
        <v>68.448250374433542</v>
      </c>
      <c r="AO66" s="29" t="e">
        <f t="shared" si="58"/>
        <v>#VALUE!</v>
      </c>
      <c r="AP66" s="29" t="e">
        <f t="shared" si="59"/>
        <v>#VALUE!</v>
      </c>
      <c r="AQ66" s="27">
        <f t="shared" si="60"/>
        <v>12.60326365447594</v>
      </c>
      <c r="AR66" s="14">
        <f t="shared" si="61"/>
        <v>2013.7084119156968</v>
      </c>
      <c r="AS66" s="25">
        <v>0.36620000000000003</v>
      </c>
      <c r="AT66" s="22">
        <f t="shared" si="62"/>
        <v>1.0957006112007912</v>
      </c>
      <c r="AU66" s="22">
        <f t="shared" si="63"/>
        <v>0.72950061120079113</v>
      </c>
      <c r="AV66" s="15"/>
      <c r="AW66" s="22"/>
      <c r="AX66" s="34">
        <f t="shared" si="64"/>
        <v>7295.0061120079117</v>
      </c>
      <c r="AY66" s="14">
        <f t="shared" si="65"/>
        <v>-20.327710080829206</v>
      </c>
      <c r="AZ66" s="25">
        <v>1.0819000000000001</v>
      </c>
      <c r="BA66" s="22">
        <f t="shared" si="66"/>
        <v>1.0888708332035997</v>
      </c>
      <c r="BB66" s="38">
        <f t="shared" si="67"/>
        <v>6.9708332035995912E-3</v>
      </c>
      <c r="BC66" s="15"/>
      <c r="BD66" s="38"/>
      <c r="BE66" s="38">
        <f t="shared" si="68"/>
        <v>69.708332035995909</v>
      </c>
    </row>
    <row r="67" spans="1:57" ht="15.75">
      <c r="A67" s="67">
        <v>108</v>
      </c>
      <c r="B67" s="134">
        <v>2</v>
      </c>
      <c r="C67" s="66" t="s">
        <v>417</v>
      </c>
      <c r="D67" s="66" t="s">
        <v>422</v>
      </c>
      <c r="E67" s="66" t="s">
        <v>437</v>
      </c>
      <c r="F67" s="66" t="s">
        <v>411</v>
      </c>
      <c r="G67" s="66"/>
      <c r="H67" s="66" t="s">
        <v>427</v>
      </c>
      <c r="I67" s="66">
        <v>100</v>
      </c>
      <c r="J67" s="66">
        <v>20</v>
      </c>
      <c r="K67" s="66">
        <v>30</v>
      </c>
      <c r="L67" s="66" t="s">
        <v>449</v>
      </c>
      <c r="M67" s="66">
        <v>1</v>
      </c>
      <c r="N67"/>
      <c r="O67"/>
      <c r="P67"/>
      <c r="Q67" s="108">
        <v>10</v>
      </c>
      <c r="R67" s="53">
        <v>8</v>
      </c>
      <c r="S67" s="53">
        <f t="shared" si="15"/>
        <v>2</v>
      </c>
      <c r="T67" s="80">
        <v>172</v>
      </c>
      <c r="U67" s="80" t="s">
        <v>252</v>
      </c>
      <c r="V67" s="81">
        <v>3.8691585000000002</v>
      </c>
      <c r="W67" s="81">
        <v>740.23676128865327</v>
      </c>
      <c r="X67" s="81">
        <v>1.839968125</v>
      </c>
      <c r="Y67" s="81">
        <v>-12.793048746235691</v>
      </c>
      <c r="Z67" s="69" t="s">
        <v>54</v>
      </c>
      <c r="AA67" s="73">
        <v>5.5661983611111108</v>
      </c>
      <c r="AB67" s="73">
        <v>3.0248816727959098</v>
      </c>
      <c r="AC67" s="73">
        <v>3.9982883888888887</v>
      </c>
      <c r="AD67" s="73">
        <v>-25.508901929003891</v>
      </c>
      <c r="AE67" s="73">
        <v>2.2461111111111109</v>
      </c>
      <c r="AF67" s="73">
        <v>2.2461111111111109</v>
      </c>
      <c r="AG67" s="32">
        <f t="shared" si="50"/>
        <v>1.1379460310984945E-2</v>
      </c>
      <c r="AH67" s="32">
        <f t="shared" si="51"/>
        <v>0.25846953038557846</v>
      </c>
      <c r="AI67" s="33">
        <f t="shared" si="52"/>
        <v>4.4028935587660044E-2</v>
      </c>
      <c r="AJ67" s="34">
        <f t="shared" si="53"/>
        <v>0.47557569719318332</v>
      </c>
      <c r="AK67" s="16">
        <f t="shared" si="54"/>
        <v>1.8712297624755517E-2</v>
      </c>
      <c r="AL67" s="16">
        <f t="shared" si="55"/>
        <v>0.20211967130710293</v>
      </c>
      <c r="AM67" s="27">
        <f t="shared" si="56"/>
        <v>18.712297624755518</v>
      </c>
      <c r="AN67" s="27">
        <f t="shared" si="57"/>
        <v>202.11967130710292</v>
      </c>
      <c r="AO67" s="29" t="e">
        <f t="shared" si="58"/>
        <v>#VALUE!</v>
      </c>
      <c r="AP67" s="29" t="e">
        <f t="shared" si="59"/>
        <v>#VALUE!</v>
      </c>
      <c r="AQ67" s="27">
        <f t="shared" si="60"/>
        <v>10.801435257191923</v>
      </c>
      <c r="AR67" s="14">
        <f t="shared" si="61"/>
        <v>739.19187961585737</v>
      </c>
      <c r="AS67" s="25">
        <v>0.36620000000000003</v>
      </c>
      <c r="AT67" s="22">
        <f t="shared" si="62"/>
        <v>0.63526551142382914</v>
      </c>
      <c r="AU67" s="22">
        <f t="shared" si="63"/>
        <v>0.26906551142382912</v>
      </c>
      <c r="AV67" s="15"/>
      <c r="AW67" s="22"/>
      <c r="AX67" s="34">
        <f t="shared" si="64"/>
        <v>2690.6551142382914</v>
      </c>
      <c r="AY67" s="14">
        <f t="shared" si="65"/>
        <v>-13.314146817231801</v>
      </c>
      <c r="AZ67" s="25">
        <v>1.0819000000000001</v>
      </c>
      <c r="BA67" s="22">
        <f t="shared" si="66"/>
        <v>1.096580676762658</v>
      </c>
      <c r="BB67" s="38">
        <f t="shared" si="67"/>
        <v>1.468067676265794E-2</v>
      </c>
      <c r="BC67" s="15"/>
      <c r="BD67" s="38"/>
      <c r="BE67" s="38">
        <f t="shared" si="68"/>
        <v>146.80676762657941</v>
      </c>
    </row>
    <row r="68" spans="1:57" ht="15.75">
      <c r="A68" s="67">
        <v>109</v>
      </c>
      <c r="B68" s="134">
        <v>2</v>
      </c>
      <c r="C68" s="66" t="s">
        <v>419</v>
      </c>
      <c r="D68" s="66" t="s">
        <v>409</v>
      </c>
      <c r="E68" s="66" t="s">
        <v>437</v>
      </c>
      <c r="F68" s="66" t="s">
        <v>411</v>
      </c>
      <c r="G68" s="66"/>
      <c r="H68" s="66" t="s">
        <v>427</v>
      </c>
      <c r="I68" s="66">
        <v>100</v>
      </c>
      <c r="J68" s="66">
        <v>20</v>
      </c>
      <c r="K68" s="66">
        <v>30</v>
      </c>
      <c r="L68" s="66" t="s">
        <v>450</v>
      </c>
      <c r="M68" s="66">
        <v>1</v>
      </c>
      <c r="N68"/>
      <c r="O68"/>
      <c r="P68"/>
      <c r="Q68" s="108">
        <v>10</v>
      </c>
      <c r="R68" s="53">
        <v>8</v>
      </c>
      <c r="S68" s="53">
        <f t="shared" ref="S68:S131" si="69">Q68-R68</f>
        <v>2</v>
      </c>
      <c r="T68" s="82">
        <v>173</v>
      </c>
      <c r="U68" s="82" t="s">
        <v>253</v>
      </c>
      <c r="V68" s="83">
        <v>1.5074961250000001</v>
      </c>
      <c r="W68" s="83">
        <v>567.99364881775671</v>
      </c>
      <c r="X68" s="83">
        <v>0.85477674999999997</v>
      </c>
      <c r="Y68" s="83">
        <v>-17.994503568906016</v>
      </c>
      <c r="Z68" s="69" t="s">
        <v>54</v>
      </c>
      <c r="AA68" s="73">
        <v>5.5661983611111108</v>
      </c>
      <c r="AB68" s="73">
        <v>3.0248816727959098</v>
      </c>
      <c r="AC68" s="73">
        <v>3.9982883888888887</v>
      </c>
      <c r="AD68" s="73">
        <v>-25.508901929003891</v>
      </c>
      <c r="AE68" s="73">
        <v>2.2461111111111109</v>
      </c>
      <c r="AF68" s="73">
        <v>2.2461111111111109</v>
      </c>
      <c r="AG68" s="32">
        <f t="shared" si="50"/>
        <v>1.1379460310984945E-2</v>
      </c>
      <c r="AH68" s="32">
        <f t="shared" si="51"/>
        <v>0.25846953038557846</v>
      </c>
      <c r="AI68" s="33">
        <f t="shared" si="52"/>
        <v>1.7154492323401101E-2</v>
      </c>
      <c r="AJ68" s="34">
        <f t="shared" si="53"/>
        <v>0.220933745157011</v>
      </c>
      <c r="AK68" s="16">
        <f t="shared" si="54"/>
        <v>7.2906592374454675E-3</v>
      </c>
      <c r="AL68" s="16">
        <f t="shared" si="55"/>
        <v>9.3896841691729682E-2</v>
      </c>
      <c r="AM68" s="27">
        <f t="shared" si="56"/>
        <v>7.2906592374454675</v>
      </c>
      <c r="AN68" s="27">
        <f t="shared" si="57"/>
        <v>93.896841691729676</v>
      </c>
      <c r="AO68" s="29" t="e">
        <f t="shared" si="58"/>
        <v>#VALUE!</v>
      </c>
      <c r="AP68" s="29" t="e">
        <f t="shared" si="59"/>
        <v>#VALUE!</v>
      </c>
      <c r="AQ68" s="27">
        <f t="shared" si="60"/>
        <v>12.879060539473198</v>
      </c>
      <c r="AR68" s="14">
        <f t="shared" si="61"/>
        <v>566.94876714496081</v>
      </c>
      <c r="AS68" s="25">
        <v>0.36620000000000003</v>
      </c>
      <c r="AT68" s="22">
        <f t="shared" si="62"/>
        <v>0.57271148925252424</v>
      </c>
      <c r="AU68" s="22">
        <f t="shared" si="63"/>
        <v>0.20651148925252422</v>
      </c>
      <c r="AV68" s="15"/>
      <c r="AW68" s="22"/>
      <c r="AX68" s="34">
        <f t="shared" si="64"/>
        <v>2065.1148925252423</v>
      </c>
      <c r="AY68" s="14">
        <f t="shared" si="65"/>
        <v>-18.515601639902126</v>
      </c>
      <c r="AZ68" s="25">
        <v>1.0819000000000001</v>
      </c>
      <c r="BA68" s="22">
        <f t="shared" si="66"/>
        <v>1.0908629561445757</v>
      </c>
      <c r="BB68" s="38">
        <f t="shared" si="67"/>
        <v>8.9629561445756512E-3</v>
      </c>
      <c r="BC68" s="15"/>
      <c r="BD68" s="38"/>
      <c r="BE68" s="38">
        <f t="shared" si="68"/>
        <v>89.629561445756508</v>
      </c>
    </row>
    <row r="69" spans="1:57" s="24" customFormat="1" ht="15.75">
      <c r="A69" s="67">
        <v>110</v>
      </c>
      <c r="B69" s="134">
        <v>2</v>
      </c>
      <c r="C69" s="66" t="s">
        <v>421</v>
      </c>
      <c r="D69" s="66" t="s">
        <v>424</v>
      </c>
      <c r="E69" s="66" t="s">
        <v>437</v>
      </c>
      <c r="F69" s="66" t="s">
        <v>411</v>
      </c>
      <c r="G69" s="66"/>
      <c r="H69" s="66" t="s">
        <v>427</v>
      </c>
      <c r="I69" s="66">
        <v>100</v>
      </c>
      <c r="J69" s="66">
        <v>20</v>
      </c>
      <c r="K69" s="66">
        <v>30</v>
      </c>
      <c r="L69" s="66" t="s">
        <v>451</v>
      </c>
      <c r="M69" s="66">
        <v>1</v>
      </c>
      <c r="N69"/>
      <c r="O69"/>
      <c r="P69"/>
      <c r="Q69" s="108">
        <v>10</v>
      </c>
      <c r="R69" s="53">
        <v>8</v>
      </c>
      <c r="S69" s="53">
        <f t="shared" si="69"/>
        <v>2</v>
      </c>
      <c r="T69" s="80">
        <v>174</v>
      </c>
      <c r="U69" s="80" t="s">
        <v>254</v>
      </c>
      <c r="V69" s="81">
        <v>0.98080362499999996</v>
      </c>
      <c r="W69" s="81">
        <v>163.12507968216181</v>
      </c>
      <c r="X69" s="81">
        <v>0.60276331250000004</v>
      </c>
      <c r="Y69" s="81">
        <v>-19.898006289740042</v>
      </c>
      <c r="Z69" s="69" t="s">
        <v>54</v>
      </c>
      <c r="AA69" s="73">
        <v>5.5661983611111108</v>
      </c>
      <c r="AB69" s="73">
        <v>3.0248816727959098</v>
      </c>
      <c r="AC69" s="73">
        <v>3.9982883888888887</v>
      </c>
      <c r="AD69" s="73">
        <v>-25.508901929003891</v>
      </c>
      <c r="AE69" s="73">
        <v>2.2461111111111109</v>
      </c>
      <c r="AF69" s="73">
        <v>2.2461111111111109</v>
      </c>
      <c r="AG69" s="32">
        <f t="shared" si="50"/>
        <v>1.1379460310984945E-2</v>
      </c>
      <c r="AH69" s="32">
        <f t="shared" si="51"/>
        <v>0.25846953038557846</v>
      </c>
      <c r="AI69" s="33">
        <f t="shared" si="52"/>
        <v>1.1161015923557661E-2</v>
      </c>
      <c r="AJ69" s="34">
        <f t="shared" si="53"/>
        <v>0.15579595031553067</v>
      </c>
      <c r="AK69" s="16">
        <f t="shared" si="54"/>
        <v>4.7434317675120064E-3</v>
      </c>
      <c r="AL69" s="16">
        <f t="shared" si="55"/>
        <v>6.6213278884100543E-2</v>
      </c>
      <c r="AM69" s="27">
        <f t="shared" si="56"/>
        <v>4.7434317675120061</v>
      </c>
      <c r="AN69" s="27">
        <f t="shared" si="57"/>
        <v>66.213278884100546</v>
      </c>
      <c r="AO69" s="29" t="e">
        <f t="shared" si="58"/>
        <v>#VALUE!</v>
      </c>
      <c r="AP69" s="29" t="e">
        <f t="shared" si="59"/>
        <v>#VALUE!</v>
      </c>
      <c r="AQ69" s="27">
        <f t="shared" si="60"/>
        <v>13.958939883482355</v>
      </c>
      <c r="AR69" s="14">
        <f t="shared" si="61"/>
        <v>162.08019800936592</v>
      </c>
      <c r="AS69" s="25">
        <v>0.36620000000000003</v>
      </c>
      <c r="AT69" s="22">
        <f t="shared" si="62"/>
        <v>0.42536360962482206</v>
      </c>
      <c r="AU69" s="22">
        <f t="shared" si="63"/>
        <v>5.9163609624822033E-2</v>
      </c>
      <c r="AV69" s="15"/>
      <c r="AW69" s="22"/>
      <c r="AX69" s="34">
        <f t="shared" si="64"/>
        <v>591.63609624822038</v>
      </c>
      <c r="AY69" s="14">
        <f t="shared" si="65"/>
        <v>-20.419104360736153</v>
      </c>
      <c r="AZ69" s="25">
        <v>1.0819000000000001</v>
      </c>
      <c r="BA69" s="22">
        <f t="shared" si="66"/>
        <v>1.0887703577080114</v>
      </c>
      <c r="BB69" s="38">
        <f t="shared" si="67"/>
        <v>6.8703577080113654E-3</v>
      </c>
      <c r="BC69" s="15"/>
      <c r="BD69" s="38"/>
      <c r="BE69" s="38">
        <f t="shared" si="68"/>
        <v>68.703577080113661</v>
      </c>
    </row>
    <row r="70" spans="1:57" ht="15.75">
      <c r="A70" s="67">
        <v>111</v>
      </c>
      <c r="B70" s="134">
        <v>2</v>
      </c>
      <c r="C70" s="66" t="s">
        <v>423</v>
      </c>
      <c r="D70" s="66" t="s">
        <v>414</v>
      </c>
      <c r="E70" s="66" t="s">
        <v>437</v>
      </c>
      <c r="F70" s="66" t="s">
        <v>411</v>
      </c>
      <c r="G70" s="66"/>
      <c r="H70" s="66" t="s">
        <v>427</v>
      </c>
      <c r="I70" s="66">
        <v>100</v>
      </c>
      <c r="J70" s="66">
        <v>20</v>
      </c>
      <c r="K70" s="66">
        <v>30</v>
      </c>
      <c r="L70" s="66" t="s">
        <v>452</v>
      </c>
      <c r="M70" s="66">
        <v>1</v>
      </c>
      <c r="N70"/>
      <c r="O70"/>
      <c r="P70"/>
      <c r="Q70" s="108">
        <v>10</v>
      </c>
      <c r="R70" s="53">
        <v>8</v>
      </c>
      <c r="S70" s="53">
        <f t="shared" si="69"/>
        <v>2</v>
      </c>
      <c r="T70" s="82">
        <v>175</v>
      </c>
      <c r="U70" s="82" t="s">
        <v>255</v>
      </c>
      <c r="V70" s="83">
        <v>0.79729881250000001</v>
      </c>
      <c r="W70" s="83">
        <v>659.82085113769995</v>
      </c>
      <c r="X70" s="83">
        <v>0.41005306250000001</v>
      </c>
      <c r="Y70" s="83">
        <v>-13.80115443038679</v>
      </c>
      <c r="Z70" s="69" t="s">
        <v>54</v>
      </c>
      <c r="AA70" s="73">
        <v>5.5661983611111108</v>
      </c>
      <c r="AB70" s="73">
        <v>3.0248816727959098</v>
      </c>
      <c r="AC70" s="73">
        <v>3.9982883888888887</v>
      </c>
      <c r="AD70" s="73">
        <v>-25.508901929003891</v>
      </c>
      <c r="AE70" s="73">
        <v>2.2461111111111109</v>
      </c>
      <c r="AF70" s="73">
        <v>2.2461111111111109</v>
      </c>
      <c r="AG70" s="32">
        <f t="shared" si="50"/>
        <v>1.1379460310984945E-2</v>
      </c>
      <c r="AH70" s="32">
        <f t="shared" si="51"/>
        <v>0.25846953038557846</v>
      </c>
      <c r="AI70" s="33">
        <f t="shared" si="52"/>
        <v>9.0728301928391774E-3</v>
      </c>
      <c r="AJ70" s="34">
        <f t="shared" si="53"/>
        <v>0.10598622249754326</v>
      </c>
      <c r="AK70" s="16">
        <f t="shared" si="54"/>
        <v>3.8559528319566504E-3</v>
      </c>
      <c r="AL70" s="16">
        <f t="shared" si="55"/>
        <v>4.5044144561455883E-2</v>
      </c>
      <c r="AM70" s="27">
        <f t="shared" si="56"/>
        <v>3.8559528319566505</v>
      </c>
      <c r="AN70" s="27">
        <f t="shared" si="57"/>
        <v>45.04414456145588</v>
      </c>
      <c r="AO70" s="29" t="e">
        <f t="shared" si="58"/>
        <v>#VALUE!</v>
      </c>
      <c r="AP70" s="29" t="e">
        <f t="shared" si="59"/>
        <v>#VALUE!</v>
      </c>
      <c r="AQ70" s="27">
        <f t="shared" si="60"/>
        <v>11.681715654856404</v>
      </c>
      <c r="AR70" s="14">
        <f t="shared" si="61"/>
        <v>658.77596946490405</v>
      </c>
      <c r="AS70" s="25">
        <v>0.36620000000000003</v>
      </c>
      <c r="AT70" s="22">
        <f t="shared" si="62"/>
        <v>0.60607043464769783</v>
      </c>
      <c r="AU70" s="22">
        <f t="shared" si="63"/>
        <v>0.23987043464769781</v>
      </c>
      <c r="AV70" s="15"/>
      <c r="AW70" s="22"/>
      <c r="AX70" s="34">
        <f t="shared" si="64"/>
        <v>2398.7043464769781</v>
      </c>
      <c r="AY70" s="14">
        <f t="shared" si="65"/>
        <v>-14.3222525013829</v>
      </c>
      <c r="AZ70" s="25">
        <v>1.0819000000000001</v>
      </c>
      <c r="BA70" s="22">
        <f t="shared" si="66"/>
        <v>1.0954725640863578</v>
      </c>
      <c r="BB70" s="38">
        <f t="shared" si="67"/>
        <v>1.3572564086357763E-2</v>
      </c>
      <c r="BC70" s="15"/>
      <c r="BD70" s="38"/>
      <c r="BE70" s="38">
        <f t="shared" si="68"/>
        <v>135.72564086357764</v>
      </c>
    </row>
    <row r="71" spans="1:57" ht="15.75">
      <c r="A71" s="67">
        <v>112</v>
      </c>
      <c r="B71" s="134">
        <v>2</v>
      </c>
      <c r="C71" s="66" t="s">
        <v>425</v>
      </c>
      <c r="D71" s="66" t="s">
        <v>420</v>
      </c>
      <c r="E71" s="66" t="s">
        <v>437</v>
      </c>
      <c r="F71" s="66" t="s">
        <v>411</v>
      </c>
      <c r="G71" s="66"/>
      <c r="H71" s="66" t="s">
        <v>427</v>
      </c>
      <c r="I71" s="66">
        <v>100</v>
      </c>
      <c r="J71" s="66">
        <v>20</v>
      </c>
      <c r="K71" s="66">
        <v>30</v>
      </c>
      <c r="L71" s="66" t="s">
        <v>453</v>
      </c>
      <c r="M71" s="66">
        <v>1</v>
      </c>
      <c r="N71"/>
      <c r="O71"/>
      <c r="P71"/>
      <c r="Q71" s="108">
        <v>10</v>
      </c>
      <c r="R71" s="53">
        <v>8</v>
      </c>
      <c r="S71" s="53">
        <f t="shared" si="69"/>
        <v>2</v>
      </c>
      <c r="T71" s="80">
        <v>176</v>
      </c>
      <c r="U71" s="80" t="s">
        <v>256</v>
      </c>
      <c r="V71" s="81">
        <v>1.9030588749999999</v>
      </c>
      <c r="W71" s="81">
        <v>209.34704667735562</v>
      </c>
      <c r="X71" s="81">
        <v>1.173202125</v>
      </c>
      <c r="Y71" s="81">
        <v>-19.415957379511152</v>
      </c>
      <c r="Z71" s="70" t="s">
        <v>106</v>
      </c>
      <c r="AA71" s="73">
        <v>5.5661983611111108</v>
      </c>
      <c r="AB71" s="73">
        <v>3.0248816727959098</v>
      </c>
      <c r="AC71" s="73">
        <v>3.9982883888888887</v>
      </c>
      <c r="AD71" s="73">
        <v>-25.508901929003891</v>
      </c>
      <c r="AE71" s="73">
        <v>2.2461111111111109</v>
      </c>
      <c r="AF71" s="73">
        <v>2.2461111111111109</v>
      </c>
      <c r="AG71" s="32">
        <f t="shared" si="50"/>
        <v>1.1379460310984945E-2</v>
      </c>
      <c r="AH71" s="32">
        <f t="shared" si="51"/>
        <v>0.25846953038557846</v>
      </c>
      <c r="AI71" s="33">
        <f t="shared" si="52"/>
        <v>2.165578293753016E-2</v>
      </c>
      <c r="AJ71" s="34">
        <f t="shared" si="53"/>
        <v>0.30323700229611272</v>
      </c>
      <c r="AK71" s="16">
        <f t="shared" si="54"/>
        <v>9.2037077484503176E-3</v>
      </c>
      <c r="AL71" s="16">
        <f t="shared" si="55"/>
        <v>0.1288757259758479</v>
      </c>
      <c r="AM71" s="27">
        <f t="shared" si="56"/>
        <v>9.2037077484503182</v>
      </c>
      <c r="AN71" s="27">
        <f t="shared" si="57"/>
        <v>128.8757259758479</v>
      </c>
      <c r="AO71" s="29" t="e">
        <f t="shared" si="58"/>
        <v>#VALUE!</v>
      </c>
      <c r="AP71" s="29" t="e">
        <f t="shared" si="59"/>
        <v>#VALUE!</v>
      </c>
      <c r="AQ71" s="27">
        <f t="shared" si="60"/>
        <v>14.002587815497234</v>
      </c>
      <c r="AR71" s="14">
        <f t="shared" si="61"/>
        <v>208.3021650045597</v>
      </c>
      <c r="AS71" s="25">
        <v>0.36620000000000003</v>
      </c>
      <c r="AT71" s="22">
        <f t="shared" si="62"/>
        <v>0.44220771355918181</v>
      </c>
      <c r="AU71" s="22">
        <f t="shared" si="63"/>
        <v>7.6007713559181789E-2</v>
      </c>
      <c r="AV71" s="15"/>
      <c r="AW71" s="22"/>
      <c r="AX71" s="34">
        <f t="shared" si="64"/>
        <v>760.07713559181786</v>
      </c>
      <c r="AY71" s="14">
        <f t="shared" si="65"/>
        <v>-19.937055450507263</v>
      </c>
      <c r="AZ71" s="25">
        <v>1.0819000000000001</v>
      </c>
      <c r="BA71" s="22">
        <f t="shared" si="66"/>
        <v>1.0893003021739349</v>
      </c>
      <c r="BB71" s="38">
        <f t="shared" si="67"/>
        <v>7.4003021739348362E-3</v>
      </c>
      <c r="BC71" s="15"/>
      <c r="BD71" s="38"/>
      <c r="BE71" s="38">
        <f t="shared" si="68"/>
        <v>74.003021739348355</v>
      </c>
    </row>
    <row r="72" spans="1:57" ht="15.75">
      <c r="A72" s="67">
        <v>113</v>
      </c>
      <c r="B72" s="134">
        <v>3</v>
      </c>
      <c r="C72" s="66" t="s">
        <v>408</v>
      </c>
      <c r="D72" s="66" t="s">
        <v>418</v>
      </c>
      <c r="E72" s="66" t="s">
        <v>437</v>
      </c>
      <c r="F72" s="66" t="s">
        <v>411</v>
      </c>
      <c r="G72" s="66"/>
      <c r="H72" s="66" t="s">
        <v>429</v>
      </c>
      <c r="I72" s="66">
        <v>100</v>
      </c>
      <c r="J72" s="66">
        <v>20</v>
      </c>
      <c r="K72" s="66">
        <v>30</v>
      </c>
      <c r="L72" s="66" t="s">
        <v>454</v>
      </c>
      <c r="M72" s="66">
        <v>1</v>
      </c>
      <c r="N72"/>
      <c r="O72"/>
      <c r="P72"/>
      <c r="Q72" s="108">
        <v>10</v>
      </c>
      <c r="R72" s="53">
        <v>8</v>
      </c>
      <c r="S72" s="53">
        <f t="shared" si="69"/>
        <v>2</v>
      </c>
      <c r="T72" s="82">
        <v>177</v>
      </c>
      <c r="U72" s="82" t="s">
        <v>257</v>
      </c>
      <c r="V72" s="83">
        <v>1.06129875</v>
      </c>
      <c r="W72" s="83">
        <v>428.62197375393362</v>
      </c>
      <c r="X72" s="83">
        <v>0.53748724999999997</v>
      </c>
      <c r="Y72" s="83">
        <v>-23.491166179203244</v>
      </c>
      <c r="Z72" s="71" t="s">
        <v>106</v>
      </c>
      <c r="AA72" s="73">
        <v>5.5661983611111108</v>
      </c>
      <c r="AB72" s="73">
        <v>3.0248816727959098</v>
      </c>
      <c r="AC72" s="73">
        <v>3.9982883888888887</v>
      </c>
      <c r="AD72" s="73">
        <v>-25.508901929003891</v>
      </c>
      <c r="AE72" s="73">
        <v>2.2461111111111109</v>
      </c>
      <c r="AF72" s="73">
        <v>2.2461111111111109</v>
      </c>
      <c r="AG72" s="32">
        <f t="shared" si="50"/>
        <v>1.1379460310984945E-2</v>
      </c>
      <c r="AH72" s="32">
        <f t="shared" si="51"/>
        <v>0.25846953038557846</v>
      </c>
      <c r="AI72" s="33">
        <f t="shared" si="52"/>
        <v>1.2077007003722934E-2</v>
      </c>
      <c r="AJ72" s="34">
        <f t="shared" si="53"/>
        <v>0.13892407709573601</v>
      </c>
      <c r="AK72" s="16">
        <f t="shared" si="54"/>
        <v>5.1327279765822466E-3</v>
      </c>
      <c r="AL72" s="16">
        <f t="shared" si="55"/>
        <v>5.9042732765687805E-2</v>
      </c>
      <c r="AM72" s="27">
        <f t="shared" si="56"/>
        <v>5.1327279765822462</v>
      </c>
      <c r="AN72" s="27">
        <f t="shared" si="57"/>
        <v>59.042732765687802</v>
      </c>
      <c r="AO72" s="29" t="e">
        <f t="shared" si="58"/>
        <v>#VALUE!</v>
      </c>
      <c r="AP72" s="29" t="e">
        <f t="shared" si="59"/>
        <v>#VALUE!</v>
      </c>
      <c r="AQ72" s="27">
        <f t="shared" si="60"/>
        <v>11.503187590510661</v>
      </c>
      <c r="AR72" s="14">
        <f t="shared" si="61"/>
        <v>427.57709208113772</v>
      </c>
      <c r="AS72" s="25">
        <v>0.36620000000000003</v>
      </c>
      <c r="AT72" s="22">
        <f t="shared" si="62"/>
        <v>0.52203780295783409</v>
      </c>
      <c r="AU72" s="22">
        <f t="shared" si="63"/>
        <v>0.15583780295783406</v>
      </c>
      <c r="AV72" s="15"/>
      <c r="AW72" s="22"/>
      <c r="AX72" s="34">
        <f t="shared" si="64"/>
        <v>1558.3780295783406</v>
      </c>
      <c r="AY72" s="14">
        <f t="shared" si="65"/>
        <v>-24.012264250199355</v>
      </c>
      <c r="AZ72" s="25">
        <v>1.0819000000000001</v>
      </c>
      <c r="BA72" s="22">
        <f t="shared" si="66"/>
        <v>1.0848200086658815</v>
      </c>
      <c r="BB72" s="38">
        <f t="shared" si="67"/>
        <v>2.9200086658813795E-3</v>
      </c>
      <c r="BC72" s="15"/>
      <c r="BD72" s="38"/>
      <c r="BE72" s="38">
        <f t="shared" si="68"/>
        <v>29.200086658813795</v>
      </c>
    </row>
    <row r="73" spans="1:57" ht="15.75">
      <c r="A73" s="67">
        <v>114</v>
      </c>
      <c r="B73" s="134">
        <v>3</v>
      </c>
      <c r="C73" s="66" t="s">
        <v>413</v>
      </c>
      <c r="D73" s="66" t="s">
        <v>416</v>
      </c>
      <c r="E73" s="66" t="s">
        <v>437</v>
      </c>
      <c r="F73" s="66" t="s">
        <v>411</v>
      </c>
      <c r="G73" s="66"/>
      <c r="H73" s="66" t="s">
        <v>429</v>
      </c>
      <c r="I73" s="66">
        <v>100</v>
      </c>
      <c r="J73" s="66">
        <v>20</v>
      </c>
      <c r="K73" s="66">
        <v>30</v>
      </c>
      <c r="L73" s="66" t="s">
        <v>455</v>
      </c>
      <c r="M73" s="66">
        <v>1</v>
      </c>
      <c r="N73"/>
      <c r="O73"/>
      <c r="P73"/>
      <c r="Q73" s="108">
        <v>10</v>
      </c>
      <c r="R73" s="53">
        <v>8</v>
      </c>
      <c r="S73" s="53">
        <f t="shared" si="69"/>
        <v>2</v>
      </c>
      <c r="T73" s="80">
        <v>178</v>
      </c>
      <c r="U73" s="80" t="s">
        <v>258</v>
      </c>
      <c r="V73" s="81">
        <v>0.61532443749999999</v>
      </c>
      <c r="W73" s="81">
        <v>632.50043832185349</v>
      </c>
      <c r="X73" s="81">
        <v>0.33419996875000002</v>
      </c>
      <c r="Y73" s="81">
        <v>-19.95075446983536</v>
      </c>
      <c r="Z73" s="71" t="s">
        <v>106</v>
      </c>
      <c r="AA73" s="73">
        <v>5.5661983611111108</v>
      </c>
      <c r="AB73" s="73">
        <v>3.0248816727959098</v>
      </c>
      <c r="AC73" s="73">
        <v>3.9982883888888887</v>
      </c>
      <c r="AD73" s="73">
        <v>-25.508901929003891</v>
      </c>
      <c r="AE73" s="73">
        <v>2.2461111111111109</v>
      </c>
      <c r="AF73" s="73">
        <v>2.2461111111111109</v>
      </c>
      <c r="AG73" s="32">
        <f t="shared" si="50"/>
        <v>1.1379460310984945E-2</v>
      </c>
      <c r="AH73" s="32">
        <f t="shared" si="51"/>
        <v>0.25846953038557846</v>
      </c>
      <c r="AI73" s="33">
        <f t="shared" si="52"/>
        <v>7.0020600149103863E-3</v>
      </c>
      <c r="AJ73" s="34">
        <f t="shared" si="53"/>
        <v>8.6380508977687509E-2</v>
      </c>
      <c r="AK73" s="16">
        <f t="shared" si="54"/>
        <v>2.975875506336914E-3</v>
      </c>
      <c r="AL73" s="16">
        <f t="shared" si="55"/>
        <v>3.6711716315517187E-2</v>
      </c>
      <c r="AM73" s="27">
        <f t="shared" si="56"/>
        <v>2.975875506336914</v>
      </c>
      <c r="AN73" s="27">
        <f t="shared" si="57"/>
        <v>36.711716315517187</v>
      </c>
      <c r="AO73" s="29" t="e">
        <f t="shared" si="58"/>
        <v>#VALUE!</v>
      </c>
      <c r="AP73" s="29" t="e">
        <f t="shared" si="59"/>
        <v>#VALUE!</v>
      </c>
      <c r="AQ73" s="27">
        <f t="shared" si="60"/>
        <v>12.336442246102774</v>
      </c>
      <c r="AR73" s="14">
        <f t="shared" si="61"/>
        <v>631.4555566490576</v>
      </c>
      <c r="AS73" s="25">
        <v>0.36620000000000003</v>
      </c>
      <c r="AT73" s="22">
        <f t="shared" si="62"/>
        <v>0.59614782662061683</v>
      </c>
      <c r="AU73" s="22">
        <f t="shared" si="63"/>
        <v>0.2299478266206168</v>
      </c>
      <c r="AV73" s="15"/>
      <c r="AW73" s="22"/>
      <c r="AX73" s="34">
        <f t="shared" si="64"/>
        <v>2299.478266206168</v>
      </c>
      <c r="AY73" s="14">
        <f t="shared" si="65"/>
        <v>-20.47185254083147</v>
      </c>
      <c r="AZ73" s="25">
        <v>1.0819000000000001</v>
      </c>
      <c r="BA73" s="22">
        <f t="shared" si="66"/>
        <v>1.0887123682142181</v>
      </c>
      <c r="BB73" s="38">
        <f t="shared" si="67"/>
        <v>6.8123682142180453E-3</v>
      </c>
      <c r="BC73" s="15"/>
      <c r="BD73" s="38"/>
      <c r="BE73" s="38">
        <f t="shared" si="68"/>
        <v>68.123682142180456</v>
      </c>
    </row>
    <row r="74" spans="1:57" ht="15.75">
      <c r="A74" s="135"/>
      <c r="B74" s="136"/>
      <c r="C74" s="135"/>
      <c r="D74" s="135" t="s">
        <v>116</v>
      </c>
      <c r="E74" s="135"/>
      <c r="F74" s="135" t="s">
        <v>55</v>
      </c>
      <c r="G74" s="135"/>
      <c r="H74" s="135"/>
      <c r="I74" s="135"/>
      <c r="J74" s="135"/>
      <c r="K74" s="135"/>
      <c r="L74" s="135" t="s">
        <v>133</v>
      </c>
      <c r="M74" s="137">
        <v>1</v>
      </c>
      <c r="N74"/>
      <c r="O74"/>
      <c r="P74"/>
      <c r="Q74" s="108">
        <v>10</v>
      </c>
      <c r="R74" s="53">
        <v>8</v>
      </c>
      <c r="S74" s="53">
        <f t="shared" si="69"/>
        <v>2</v>
      </c>
      <c r="T74" s="82">
        <v>179</v>
      </c>
      <c r="U74" s="82" t="s">
        <v>259</v>
      </c>
      <c r="V74" s="83">
        <v>5.4460685</v>
      </c>
      <c r="W74" s="83">
        <v>4.9548130578376215</v>
      </c>
      <c r="X74" s="83">
        <v>3.9064877500000001</v>
      </c>
      <c r="Y74" s="83">
        <v>-25.247917798265128</v>
      </c>
      <c r="Z74" s="71">
        <v>2.181</v>
      </c>
      <c r="AA74" s="73">
        <v>5.5661983611111108</v>
      </c>
      <c r="AB74" s="73">
        <v>3.0248816727959098</v>
      </c>
      <c r="AC74" s="73">
        <v>3.9982883888888887</v>
      </c>
      <c r="AD74" s="73">
        <v>-25.508901929003891</v>
      </c>
      <c r="AE74" s="73">
        <v>2.2461111111111109</v>
      </c>
      <c r="AF74" s="73">
        <v>2.2461111111111109</v>
      </c>
      <c r="AG74" s="32">
        <f t="shared" si="50"/>
        <v>1.1379460310984945E-2</v>
      </c>
      <c r="AH74" s="32">
        <f t="shared" si="51"/>
        <v>0.25846953038557846</v>
      </c>
      <c r="AI74" s="33">
        <f t="shared" si="52"/>
        <v>6.1973320346655314E-2</v>
      </c>
      <c r="AJ74" s="34">
        <f t="shared" si="53"/>
        <v>1.0097080541995151</v>
      </c>
      <c r="AK74" s="16" t="e">
        <f t="shared" si="54"/>
        <v>#DIV/0!</v>
      </c>
      <c r="AL74" s="16" t="e">
        <f t="shared" si="55"/>
        <v>#DIV/0!</v>
      </c>
      <c r="AM74" s="27" t="e">
        <f t="shared" si="56"/>
        <v>#DIV/0!</v>
      </c>
      <c r="AN74" s="27" t="e">
        <f t="shared" si="57"/>
        <v>#DIV/0!</v>
      </c>
      <c r="AO74" s="29">
        <f t="shared" si="58"/>
        <v>2.8415094152524212</v>
      </c>
      <c r="AP74" s="29">
        <f t="shared" si="59"/>
        <v>46.295646684984646</v>
      </c>
      <c r="AQ74" s="27">
        <f t="shared" si="60"/>
        <v>16.292624770652761</v>
      </c>
      <c r="AR74" s="14">
        <f t="shared" si="61"/>
        <v>3.9099313850417117</v>
      </c>
      <c r="AS74" s="25">
        <v>0.36620000000000003</v>
      </c>
      <c r="AT74" s="22">
        <f t="shared" si="62"/>
        <v>0.36768041294250009</v>
      </c>
      <c r="AU74" s="22">
        <f t="shared" si="63"/>
        <v>1.4804129425000645E-3</v>
      </c>
      <c r="AV74" s="15"/>
      <c r="AW74" s="22"/>
      <c r="AX74" s="34">
        <f t="shared" si="64"/>
        <v>14.804129425000646</v>
      </c>
      <c r="AY74" s="14">
        <f t="shared" si="65"/>
        <v>-25.769015869261239</v>
      </c>
      <c r="AZ74" s="25">
        <v>1.0819000000000001</v>
      </c>
      <c r="BA74" s="22">
        <f t="shared" si="66"/>
        <v>1.0828885068763978</v>
      </c>
      <c r="BB74" s="38">
        <f t="shared" si="67"/>
        <v>9.8850687639773227E-4</v>
      </c>
      <c r="BC74" s="15"/>
      <c r="BD74" s="38"/>
      <c r="BE74" s="38">
        <f t="shared" si="68"/>
        <v>9.8850687639773227</v>
      </c>
    </row>
    <row r="75" spans="1:57" ht="15.75">
      <c r="A75" s="67">
        <v>115</v>
      </c>
      <c r="B75" s="134">
        <v>3</v>
      </c>
      <c r="C75" s="66" t="s">
        <v>415</v>
      </c>
      <c r="D75" s="66" t="s">
        <v>426</v>
      </c>
      <c r="E75" s="66" t="s">
        <v>437</v>
      </c>
      <c r="F75" s="66" t="s">
        <v>411</v>
      </c>
      <c r="G75" s="66"/>
      <c r="H75" s="66" t="s">
        <v>429</v>
      </c>
      <c r="I75" s="66">
        <v>100</v>
      </c>
      <c r="J75" s="66">
        <v>20</v>
      </c>
      <c r="K75" s="66">
        <v>30</v>
      </c>
      <c r="L75" s="66" t="s">
        <v>456</v>
      </c>
      <c r="M75" s="66">
        <v>1</v>
      </c>
      <c r="N75"/>
      <c r="O75"/>
      <c r="P75"/>
      <c r="Q75" s="108">
        <v>10</v>
      </c>
      <c r="R75" s="53">
        <v>8</v>
      </c>
      <c r="S75" s="53">
        <f t="shared" si="69"/>
        <v>2</v>
      </c>
      <c r="T75" s="80">
        <v>180</v>
      </c>
      <c r="U75" s="80" t="s">
        <v>260</v>
      </c>
      <c r="V75" s="81">
        <v>1.078176</v>
      </c>
      <c r="W75" s="81">
        <v>190.98903274405049</v>
      </c>
      <c r="X75" s="81">
        <v>0.56705537500000003</v>
      </c>
      <c r="Y75" s="81">
        <v>-21.317332574097755</v>
      </c>
      <c r="Z75" s="71" t="s">
        <v>106</v>
      </c>
      <c r="AA75" s="73">
        <v>5.5661983611111108</v>
      </c>
      <c r="AB75" s="73">
        <v>3.0248816727959098</v>
      </c>
      <c r="AC75" s="73">
        <v>3.9982883888888887</v>
      </c>
      <c r="AD75" s="73">
        <v>-25.508901929003891</v>
      </c>
      <c r="AE75" s="73">
        <v>2.2461111111111109</v>
      </c>
      <c r="AF75" s="73">
        <v>2.2461111111111109</v>
      </c>
      <c r="AG75" s="32">
        <f t="shared" si="50"/>
        <v>1.1379460310984945E-2</v>
      </c>
      <c r="AH75" s="32">
        <f t="shared" si="51"/>
        <v>0.25846953038557846</v>
      </c>
      <c r="AI75" s="33">
        <f t="shared" si="52"/>
        <v>1.2269061000256504E-2</v>
      </c>
      <c r="AJ75" s="34">
        <f t="shared" si="53"/>
        <v>0.14656653647886811</v>
      </c>
      <c r="AK75" s="16">
        <f t="shared" si="54"/>
        <v>5.2143509251090141E-3</v>
      </c>
      <c r="AL75" s="16">
        <f t="shared" si="55"/>
        <v>6.229077800351894E-2</v>
      </c>
      <c r="AM75" s="27">
        <f t="shared" si="56"/>
        <v>5.2143509251090139</v>
      </c>
      <c r="AN75" s="27">
        <f t="shared" si="57"/>
        <v>62.290778003518938</v>
      </c>
      <c r="AO75" s="29" t="e">
        <f t="shared" si="58"/>
        <v>#VALUE!</v>
      </c>
      <c r="AP75" s="29" t="e">
        <f t="shared" si="59"/>
        <v>#VALUE!</v>
      </c>
      <c r="AQ75" s="27">
        <f t="shared" si="60"/>
        <v>11.946027204184892</v>
      </c>
      <c r="AR75" s="14">
        <f t="shared" si="61"/>
        <v>189.94415107125457</v>
      </c>
      <c r="AS75" s="25">
        <v>0.36620000000000003</v>
      </c>
      <c r="AT75" s="22">
        <f t="shared" si="62"/>
        <v>0.43551841019173204</v>
      </c>
      <c r="AU75" s="22">
        <f t="shared" si="63"/>
        <v>6.9318410191732016E-2</v>
      </c>
      <c r="AV75" s="15"/>
      <c r="AW75" s="22"/>
      <c r="AX75" s="34">
        <f t="shared" si="64"/>
        <v>693.18410191732016</v>
      </c>
      <c r="AY75" s="14">
        <f t="shared" si="65"/>
        <v>-21.838430645093865</v>
      </c>
      <c r="AZ75" s="25">
        <v>1.0819000000000001</v>
      </c>
      <c r="BA75" s="22">
        <f t="shared" si="66"/>
        <v>1.0872099766147112</v>
      </c>
      <c r="BB75" s="38">
        <f t="shared" si="67"/>
        <v>5.3099766147111094E-3</v>
      </c>
      <c r="BC75" s="15"/>
      <c r="BD75" s="38"/>
      <c r="BE75" s="38">
        <f t="shared" si="68"/>
        <v>53.099766147111097</v>
      </c>
    </row>
    <row r="76" spans="1:57" ht="15.75">
      <c r="A76" s="67">
        <v>116</v>
      </c>
      <c r="B76" s="134">
        <v>3</v>
      </c>
      <c r="C76" s="66" t="s">
        <v>417</v>
      </c>
      <c r="D76" s="66" t="s">
        <v>420</v>
      </c>
      <c r="E76" s="66" t="s">
        <v>437</v>
      </c>
      <c r="F76" s="66" t="s">
        <v>411</v>
      </c>
      <c r="G76" s="66"/>
      <c r="H76" s="66" t="s">
        <v>429</v>
      </c>
      <c r="I76" s="66">
        <v>100</v>
      </c>
      <c r="J76" s="66">
        <v>20</v>
      </c>
      <c r="K76" s="66">
        <v>30</v>
      </c>
      <c r="L76" s="66" t="s">
        <v>457</v>
      </c>
      <c r="M76" s="66">
        <v>1</v>
      </c>
      <c r="N76"/>
      <c r="O76"/>
      <c r="P76"/>
      <c r="Q76" s="108">
        <v>10</v>
      </c>
      <c r="R76" s="53">
        <v>8</v>
      </c>
      <c r="S76" s="53">
        <f t="shared" si="69"/>
        <v>2</v>
      </c>
      <c r="T76" s="82">
        <v>181</v>
      </c>
      <c r="U76" s="82" t="s">
        <v>261</v>
      </c>
      <c r="V76" s="83">
        <v>3.8778772500000001</v>
      </c>
      <c r="W76" s="83">
        <v>108.16302696545671</v>
      </c>
      <c r="X76" s="83">
        <v>1.922932125</v>
      </c>
      <c r="Y76" s="83">
        <v>-23.768999665282752</v>
      </c>
      <c r="Z76" s="71" t="s">
        <v>106</v>
      </c>
      <c r="AA76" s="73">
        <v>5.5661983611111108</v>
      </c>
      <c r="AB76" s="73">
        <v>3.0248816727959098</v>
      </c>
      <c r="AC76" s="73">
        <v>3.9982883888888887</v>
      </c>
      <c r="AD76" s="73">
        <v>-25.508901929003891</v>
      </c>
      <c r="AE76" s="73">
        <v>2.2461111111111109</v>
      </c>
      <c r="AF76" s="73">
        <v>2.2461111111111109</v>
      </c>
      <c r="AG76" s="32">
        <f t="shared" si="50"/>
        <v>1.1379460310984945E-2</v>
      </c>
      <c r="AH76" s="32">
        <f t="shared" si="51"/>
        <v>0.25846953038557846</v>
      </c>
      <c r="AI76" s="33">
        <f t="shared" si="52"/>
        <v>4.4128150257246444E-2</v>
      </c>
      <c r="AJ76" s="34">
        <f t="shared" si="53"/>
        <v>0.49701936331209245</v>
      </c>
      <c r="AK76" s="16">
        <f t="shared" si="54"/>
        <v>1.8754463859329738E-2</v>
      </c>
      <c r="AL76" s="16">
        <f t="shared" si="55"/>
        <v>0.21123322940763931</v>
      </c>
      <c r="AM76" s="27">
        <f t="shared" si="56"/>
        <v>18.754463859329739</v>
      </c>
      <c r="AN76" s="27">
        <f t="shared" si="57"/>
        <v>211.2332294076393</v>
      </c>
      <c r="AO76" s="29" t="e">
        <f t="shared" si="58"/>
        <v>#VALUE!</v>
      </c>
      <c r="AP76" s="29" t="e">
        <f t="shared" si="59"/>
        <v>#VALUE!</v>
      </c>
      <c r="AQ76" s="27">
        <f t="shared" si="60"/>
        <v>11.263090802916107</v>
      </c>
      <c r="AR76" s="14">
        <f t="shared" si="61"/>
        <v>107.1181452926608</v>
      </c>
      <c r="AS76" s="25">
        <v>0.36620000000000003</v>
      </c>
      <c r="AT76" s="22">
        <f t="shared" si="62"/>
        <v>0.40532704386513163</v>
      </c>
      <c r="AU76" s="22">
        <f t="shared" si="63"/>
        <v>3.9127043865131605E-2</v>
      </c>
      <c r="AV76" s="15"/>
      <c r="AW76" s="22"/>
      <c r="AX76" s="34">
        <f t="shared" si="64"/>
        <v>391.27043865131606</v>
      </c>
      <c r="AY76" s="14">
        <f t="shared" si="65"/>
        <v>-24.290097736278863</v>
      </c>
      <c r="AZ76" s="25">
        <v>1.0819000000000001</v>
      </c>
      <c r="BA76" s="22">
        <f t="shared" si="66"/>
        <v>1.0845145431417298</v>
      </c>
      <c r="BB76" s="38">
        <f t="shared" si="67"/>
        <v>2.6145431417297083E-3</v>
      </c>
      <c r="BC76" s="15"/>
      <c r="BD76" s="38"/>
      <c r="BE76" s="38">
        <f t="shared" si="68"/>
        <v>26.145431417297083</v>
      </c>
    </row>
    <row r="77" spans="1:57" ht="15.75">
      <c r="A77" s="67">
        <v>117</v>
      </c>
      <c r="B77" s="134">
        <v>3</v>
      </c>
      <c r="C77" s="66" t="s">
        <v>419</v>
      </c>
      <c r="D77" s="66" t="s">
        <v>422</v>
      </c>
      <c r="E77" s="66" t="s">
        <v>437</v>
      </c>
      <c r="F77" s="66" t="s">
        <v>411</v>
      </c>
      <c r="G77" s="66"/>
      <c r="H77" s="66" t="s">
        <v>429</v>
      </c>
      <c r="I77" s="66">
        <v>100</v>
      </c>
      <c r="J77" s="66">
        <v>20</v>
      </c>
      <c r="K77" s="66">
        <v>30</v>
      </c>
      <c r="L77" s="66" t="s">
        <v>458</v>
      </c>
      <c r="M77" s="66">
        <v>1</v>
      </c>
      <c r="N77"/>
      <c r="O77"/>
      <c r="P77"/>
      <c r="Q77" s="108">
        <v>10</v>
      </c>
      <c r="R77" s="53">
        <v>8</v>
      </c>
      <c r="S77" s="53">
        <f t="shared" si="69"/>
        <v>2</v>
      </c>
      <c r="T77" s="80">
        <v>182</v>
      </c>
      <c r="U77" s="80" t="s">
        <v>262</v>
      </c>
      <c r="V77" s="81">
        <v>1.2636810000000001</v>
      </c>
      <c r="W77" s="81">
        <v>133.43934990504115</v>
      </c>
      <c r="X77" s="81">
        <v>0.79336068749999999</v>
      </c>
      <c r="Y77" s="81">
        <v>-20.960908559916579</v>
      </c>
      <c r="Z77" s="71" t="s">
        <v>106</v>
      </c>
      <c r="AA77" s="73">
        <v>5.5661983611111108</v>
      </c>
      <c r="AB77" s="73">
        <v>3.0248816727959098</v>
      </c>
      <c r="AC77" s="73">
        <v>3.9982883888888887</v>
      </c>
      <c r="AD77" s="73">
        <v>-25.508901929003891</v>
      </c>
      <c r="AE77" s="73">
        <v>2.2461111111111109</v>
      </c>
      <c r="AF77" s="73">
        <v>2.2461111111111109</v>
      </c>
      <c r="AG77" s="32">
        <f t="shared" si="50"/>
        <v>1.1379460310984945E-2</v>
      </c>
      <c r="AH77" s="32">
        <f t="shared" si="51"/>
        <v>0.25846953038557846</v>
      </c>
      <c r="AI77" s="33">
        <f t="shared" si="52"/>
        <v>1.4380007785245768E-2</v>
      </c>
      <c r="AJ77" s="34">
        <f t="shared" si="53"/>
        <v>0.20505956432450467</v>
      </c>
      <c r="AK77" s="16">
        <f t="shared" si="54"/>
        <v>6.1115033087294508E-3</v>
      </c>
      <c r="AL77" s="16">
        <f t="shared" si="55"/>
        <v>8.715031483791448E-2</v>
      </c>
      <c r="AM77" s="27">
        <f t="shared" si="56"/>
        <v>6.1115033087294508</v>
      </c>
      <c r="AN77" s="27">
        <f t="shared" si="57"/>
        <v>87.150314837914479</v>
      </c>
      <c r="AO77" s="29" t="e">
        <f t="shared" si="58"/>
        <v>#VALUE!</v>
      </c>
      <c r="AP77" s="29" t="e">
        <f t="shared" si="59"/>
        <v>#VALUE!</v>
      </c>
      <c r="AQ77" s="27">
        <f t="shared" si="60"/>
        <v>14.260045431609619</v>
      </c>
      <c r="AR77" s="14">
        <f t="shared" si="61"/>
        <v>132.39446823224523</v>
      </c>
      <c r="AS77" s="25">
        <v>0.36620000000000003</v>
      </c>
      <c r="AT77" s="22">
        <f t="shared" si="62"/>
        <v>0.41454259748634653</v>
      </c>
      <c r="AU77" s="22">
        <f t="shared" si="63"/>
        <v>4.8342597486346506E-2</v>
      </c>
      <c r="AV77" s="15"/>
      <c r="AW77" s="22"/>
      <c r="AX77" s="34">
        <f t="shared" si="64"/>
        <v>483.42597486346506</v>
      </c>
      <c r="AY77" s="14">
        <f t="shared" si="65"/>
        <v>-21.482006630912689</v>
      </c>
      <c r="AZ77" s="25">
        <v>1.0819000000000001</v>
      </c>
      <c r="BA77" s="22">
        <f t="shared" si="66"/>
        <v>1.0876018272197905</v>
      </c>
      <c r="BB77" s="38">
        <f t="shared" si="67"/>
        <v>5.7018272197904007E-3</v>
      </c>
      <c r="BC77" s="15"/>
      <c r="BD77" s="38"/>
      <c r="BE77" s="38">
        <f t="shared" si="68"/>
        <v>57.018272197904011</v>
      </c>
    </row>
    <row r="78" spans="1:57" ht="15.75">
      <c r="A78" s="67">
        <v>118</v>
      </c>
      <c r="B78" s="134">
        <v>3</v>
      </c>
      <c r="C78" s="66" t="s">
        <v>421</v>
      </c>
      <c r="D78" s="66" t="s">
        <v>424</v>
      </c>
      <c r="E78" s="66" t="s">
        <v>437</v>
      </c>
      <c r="F78" s="66" t="s">
        <v>411</v>
      </c>
      <c r="G78" s="66"/>
      <c r="H78" s="66" t="s">
        <v>429</v>
      </c>
      <c r="I78" s="66">
        <v>100</v>
      </c>
      <c r="J78" s="66">
        <v>20</v>
      </c>
      <c r="K78" s="66">
        <v>30</v>
      </c>
      <c r="L78" s="66" t="s">
        <v>459</v>
      </c>
      <c r="M78" s="66">
        <v>1</v>
      </c>
      <c r="N78"/>
      <c r="O78"/>
      <c r="P78"/>
      <c r="Q78" s="108">
        <v>10</v>
      </c>
      <c r="R78" s="53">
        <v>8</v>
      </c>
      <c r="S78" s="53">
        <f t="shared" si="69"/>
        <v>2</v>
      </c>
      <c r="T78" s="82">
        <v>183</v>
      </c>
      <c r="U78" s="82" t="s">
        <v>263</v>
      </c>
      <c r="V78" s="83">
        <v>0.95738449999999997</v>
      </c>
      <c r="W78" s="83">
        <v>352.95992099036192</v>
      </c>
      <c r="X78" s="83">
        <v>0.57105131249999996</v>
      </c>
      <c r="Y78" s="83">
        <v>-16.057729069449401</v>
      </c>
      <c r="Z78" s="71" t="s">
        <v>106</v>
      </c>
      <c r="AA78" s="73">
        <v>5.5661983611111108</v>
      </c>
      <c r="AB78" s="73">
        <v>3.0248816727959098</v>
      </c>
      <c r="AC78" s="73">
        <v>3.9982883888888887</v>
      </c>
      <c r="AD78" s="73">
        <v>-25.508901929003891</v>
      </c>
      <c r="AE78" s="73">
        <v>2.2461111111111109</v>
      </c>
      <c r="AF78" s="73">
        <v>2.2461111111111109</v>
      </c>
      <c r="AG78" s="32">
        <f t="shared" si="50"/>
        <v>1.1379460310984945E-2</v>
      </c>
      <c r="AH78" s="32">
        <f t="shared" si="51"/>
        <v>0.25846953038557846</v>
      </c>
      <c r="AI78" s="33">
        <f t="shared" si="52"/>
        <v>1.0894518920102167E-2</v>
      </c>
      <c r="AJ78" s="34">
        <f t="shared" si="53"/>
        <v>0.1475993645679432</v>
      </c>
      <c r="AK78" s="16">
        <f t="shared" si="54"/>
        <v>4.6301705410434213E-3</v>
      </c>
      <c r="AL78" s="16">
        <f t="shared" si="55"/>
        <v>6.2729729941375864E-2</v>
      </c>
      <c r="AM78" s="27">
        <f t="shared" si="56"/>
        <v>4.6301705410434213</v>
      </c>
      <c r="AN78" s="27">
        <f t="shared" si="57"/>
        <v>62.729729941375865</v>
      </c>
      <c r="AO78" s="29" t="e">
        <f t="shared" si="58"/>
        <v>#VALUE!</v>
      </c>
      <c r="AP78" s="29" t="e">
        <f t="shared" si="59"/>
        <v>#VALUE!</v>
      </c>
      <c r="AQ78" s="27">
        <f t="shared" si="60"/>
        <v>13.548038756956791</v>
      </c>
      <c r="AR78" s="14">
        <f t="shared" si="61"/>
        <v>351.91503931756603</v>
      </c>
      <c r="AS78" s="25">
        <v>0.36620000000000003</v>
      </c>
      <c r="AT78" s="22">
        <f t="shared" si="62"/>
        <v>0.49450644957706241</v>
      </c>
      <c r="AU78" s="22">
        <f t="shared" si="63"/>
        <v>0.12830644957706239</v>
      </c>
      <c r="AV78" s="15"/>
      <c r="AW78" s="22"/>
      <c r="AX78" s="34">
        <f t="shared" si="64"/>
        <v>1283.0644957706238</v>
      </c>
      <c r="AY78" s="14">
        <f t="shared" si="65"/>
        <v>-16.578827140445512</v>
      </c>
      <c r="AZ78" s="25">
        <v>1.0819000000000001</v>
      </c>
      <c r="BA78" s="22">
        <f t="shared" si="66"/>
        <v>1.0929920407324598</v>
      </c>
      <c r="BB78" s="38">
        <f t="shared" si="67"/>
        <v>1.1092040732459729E-2</v>
      </c>
      <c r="BC78" s="15"/>
      <c r="BD78" s="38"/>
      <c r="BE78" s="38">
        <f t="shared" si="68"/>
        <v>110.92040732459731</v>
      </c>
    </row>
    <row r="79" spans="1:57" ht="15.75">
      <c r="A79" s="67">
        <v>119</v>
      </c>
      <c r="B79" s="134">
        <v>3</v>
      </c>
      <c r="C79" s="66" t="s">
        <v>423</v>
      </c>
      <c r="D79" s="66" t="s">
        <v>414</v>
      </c>
      <c r="E79" s="66" t="s">
        <v>437</v>
      </c>
      <c r="F79" s="66" t="s">
        <v>411</v>
      </c>
      <c r="G79" s="66"/>
      <c r="H79" s="66" t="s">
        <v>429</v>
      </c>
      <c r="I79" s="66">
        <v>100</v>
      </c>
      <c r="J79" s="66">
        <v>20</v>
      </c>
      <c r="K79" s="66">
        <v>30</v>
      </c>
      <c r="L79" s="66" t="s">
        <v>460</v>
      </c>
      <c r="M79" s="66">
        <v>1</v>
      </c>
      <c r="N79"/>
      <c r="O79"/>
      <c r="P79"/>
      <c r="Q79" s="108">
        <v>10</v>
      </c>
      <c r="R79" s="53">
        <v>8</v>
      </c>
      <c r="S79" s="53">
        <f t="shared" si="69"/>
        <v>2</v>
      </c>
      <c r="T79" s="80">
        <v>184</v>
      </c>
      <c r="U79" s="80" t="s">
        <v>264</v>
      </c>
      <c r="V79" s="81">
        <v>1.5689911249999999</v>
      </c>
      <c r="W79" s="81">
        <v>1914.2941775921681</v>
      </c>
      <c r="X79" s="81">
        <v>0.81720199999999998</v>
      </c>
      <c r="Y79" s="81">
        <v>1.4981039274559367</v>
      </c>
      <c r="Z79" s="71" t="s">
        <v>106</v>
      </c>
      <c r="AA79" s="73">
        <v>5.5661983611111108</v>
      </c>
      <c r="AB79" s="73">
        <v>3.0248816727959098</v>
      </c>
      <c r="AC79" s="73">
        <v>3.9982883888888887</v>
      </c>
      <c r="AD79" s="73">
        <v>-25.508901929003891</v>
      </c>
      <c r="AE79" s="73">
        <v>2.2461111111111109</v>
      </c>
      <c r="AF79" s="73">
        <v>2.2461111111111109</v>
      </c>
      <c r="AG79" s="32">
        <f t="shared" si="50"/>
        <v>1.1379460310984945E-2</v>
      </c>
      <c r="AH79" s="32">
        <f t="shared" si="51"/>
        <v>0.25846953038557846</v>
      </c>
      <c r="AI79" s="33">
        <f t="shared" si="52"/>
        <v>1.7854272235225118E-2</v>
      </c>
      <c r="AJ79" s="34">
        <f t="shared" si="53"/>
        <v>0.21122181717015548</v>
      </c>
      <c r="AK79" s="16">
        <f t="shared" si="54"/>
        <v>7.5880656999706749E-3</v>
      </c>
      <c r="AL79" s="16">
        <f t="shared" si="55"/>
        <v>8.9769272297316086E-2</v>
      </c>
      <c r="AM79" s="27">
        <f t="shared" si="56"/>
        <v>7.5880656999706746</v>
      </c>
      <c r="AN79" s="27">
        <f t="shared" si="57"/>
        <v>89.769272297316093</v>
      </c>
      <c r="AO79" s="29" t="e">
        <f t="shared" si="58"/>
        <v>#VALUE!</v>
      </c>
      <c r="AP79" s="29" t="e">
        <f t="shared" si="59"/>
        <v>#VALUE!</v>
      </c>
      <c r="AQ79" s="27">
        <f t="shared" si="60"/>
        <v>11.830323543147893</v>
      </c>
      <c r="AR79" s="14">
        <f t="shared" si="61"/>
        <v>1913.2492959193721</v>
      </c>
      <c r="AS79" s="25">
        <v>0.36620000000000003</v>
      </c>
      <c r="AT79" s="22">
        <f t="shared" si="62"/>
        <v>1.0595634653980848</v>
      </c>
      <c r="AU79" s="22">
        <f t="shared" si="63"/>
        <v>0.69336346539808469</v>
      </c>
      <c r="AV79" s="15"/>
      <c r="AW79" s="22"/>
      <c r="AX79" s="34">
        <f t="shared" si="64"/>
        <v>6933.6346539808465</v>
      </c>
      <c r="AY79" s="14">
        <f t="shared" si="65"/>
        <v>0.97700585645982607</v>
      </c>
      <c r="AZ79" s="25">
        <v>1.0819000000000001</v>
      </c>
      <c r="BA79" s="22">
        <f t="shared" si="66"/>
        <v>1.1122868824139791</v>
      </c>
      <c r="BB79" s="38">
        <f t="shared" si="67"/>
        <v>3.0386882413979022E-2</v>
      </c>
      <c r="BC79" s="15"/>
      <c r="BD79" s="38"/>
      <c r="BE79" s="38">
        <f t="shared" si="68"/>
        <v>303.86882413979021</v>
      </c>
    </row>
    <row r="80" spans="1:57" ht="15.75">
      <c r="A80" s="67">
        <v>120</v>
      </c>
      <c r="B80" s="134">
        <v>3</v>
      </c>
      <c r="C80" s="66" t="s">
        <v>425</v>
      </c>
      <c r="D80" s="66" t="s">
        <v>409</v>
      </c>
      <c r="E80" s="66" t="s">
        <v>437</v>
      </c>
      <c r="F80" s="66" t="s">
        <v>411</v>
      </c>
      <c r="G80" s="66"/>
      <c r="H80" s="66" t="s">
        <v>429</v>
      </c>
      <c r="I80" s="66">
        <v>100</v>
      </c>
      <c r="J80" s="66">
        <v>20</v>
      </c>
      <c r="K80" s="66">
        <v>30</v>
      </c>
      <c r="L80" s="66" t="s">
        <v>461</v>
      </c>
      <c r="M80" s="66">
        <v>1</v>
      </c>
      <c r="N80"/>
      <c r="O80"/>
      <c r="P80"/>
      <c r="Q80" s="108">
        <v>10</v>
      </c>
      <c r="R80" s="53">
        <v>8</v>
      </c>
      <c r="S80" s="53">
        <f t="shared" si="69"/>
        <v>2</v>
      </c>
      <c r="T80" s="82">
        <v>185</v>
      </c>
      <c r="U80" s="82" t="s">
        <v>265</v>
      </c>
      <c r="V80" s="83">
        <v>1.6754102500000001</v>
      </c>
      <c r="W80" s="83">
        <v>344.67095933210004</v>
      </c>
      <c r="X80" s="83">
        <v>0.93553350000000002</v>
      </c>
      <c r="Y80" s="83">
        <v>-14.582677812656749</v>
      </c>
      <c r="Z80" s="71" t="s">
        <v>106</v>
      </c>
      <c r="AA80" s="73">
        <v>5.5661983611111108</v>
      </c>
      <c r="AB80" s="73">
        <v>3.0248816727959098</v>
      </c>
      <c r="AC80" s="73">
        <v>3.9982883888888887</v>
      </c>
      <c r="AD80" s="73">
        <v>-25.508901929003891</v>
      </c>
      <c r="AE80" s="73">
        <v>2.2461111111111109</v>
      </c>
      <c r="AF80" s="73">
        <v>2.2461111111111109</v>
      </c>
      <c r="AG80" s="32">
        <f t="shared" si="50"/>
        <v>1.1379460310984945E-2</v>
      </c>
      <c r="AH80" s="32">
        <f t="shared" si="51"/>
        <v>0.25846953038557846</v>
      </c>
      <c r="AI80" s="33">
        <f t="shared" si="52"/>
        <v>1.9065264444492365E-2</v>
      </c>
      <c r="AJ80" s="34">
        <f t="shared" si="53"/>
        <v>0.24180690440497657</v>
      </c>
      <c r="AK80" s="16">
        <f t="shared" si="54"/>
        <v>8.1027373889092542E-3</v>
      </c>
      <c r="AL80" s="16">
        <f t="shared" si="55"/>
        <v>0.10276793437211505</v>
      </c>
      <c r="AM80" s="27">
        <f t="shared" si="56"/>
        <v>8.1027373889092544</v>
      </c>
      <c r="AN80" s="27">
        <f t="shared" si="57"/>
        <v>102.76793437211505</v>
      </c>
      <c r="AO80" s="29" t="e">
        <f t="shared" si="58"/>
        <v>#VALUE!</v>
      </c>
      <c r="AP80" s="29" t="e">
        <f t="shared" si="59"/>
        <v>#VALUE!</v>
      </c>
      <c r="AQ80" s="27">
        <f t="shared" si="60"/>
        <v>12.683113056678872</v>
      </c>
      <c r="AR80" s="14">
        <f t="shared" si="61"/>
        <v>343.62607765930414</v>
      </c>
      <c r="AS80" s="25">
        <v>0.36620000000000003</v>
      </c>
      <c r="AT80" s="22">
        <f t="shared" si="62"/>
        <v>0.4914893967285992</v>
      </c>
      <c r="AU80" s="22">
        <f t="shared" si="63"/>
        <v>0.12528939672859918</v>
      </c>
      <c r="AV80" s="15"/>
      <c r="AW80" s="22"/>
      <c r="AX80" s="34">
        <f t="shared" si="64"/>
        <v>1252.8939672859917</v>
      </c>
      <c r="AY80" s="14">
        <f t="shared" si="65"/>
        <v>-15.10377588365286</v>
      </c>
      <c r="AZ80" s="25">
        <v>1.0819000000000001</v>
      </c>
      <c r="BA80" s="22">
        <f t="shared" si="66"/>
        <v>1.0946134942434491</v>
      </c>
      <c r="BB80" s="38">
        <f t="shared" si="67"/>
        <v>1.2713494243449031E-2</v>
      </c>
      <c r="BC80" s="15"/>
      <c r="BD80" s="38"/>
      <c r="BE80" s="38">
        <f t="shared" si="68"/>
        <v>127.13494243449031</v>
      </c>
    </row>
    <row r="81" spans="1:57" ht="15.75">
      <c r="A81" s="67">
        <v>121</v>
      </c>
      <c r="B81" s="134">
        <v>4</v>
      </c>
      <c r="C81" s="66" t="s">
        <v>408</v>
      </c>
      <c r="D81" s="66" t="s">
        <v>416</v>
      </c>
      <c r="E81" s="66" t="s">
        <v>437</v>
      </c>
      <c r="F81" s="66" t="s">
        <v>411</v>
      </c>
      <c r="G81" s="66"/>
      <c r="H81" s="66" t="s">
        <v>430</v>
      </c>
      <c r="I81" s="66">
        <v>100</v>
      </c>
      <c r="J81" s="66">
        <v>20</v>
      </c>
      <c r="K81" s="66">
        <v>30</v>
      </c>
      <c r="L81" s="66" t="s">
        <v>462</v>
      </c>
      <c r="M81" s="66">
        <v>1</v>
      </c>
      <c r="N81"/>
      <c r="O81"/>
      <c r="P81"/>
      <c r="Q81" s="108">
        <v>10</v>
      </c>
      <c r="R81" s="53">
        <v>8</v>
      </c>
      <c r="S81" s="53">
        <f t="shared" si="69"/>
        <v>2</v>
      </c>
      <c r="T81" s="80">
        <v>186</v>
      </c>
      <c r="U81" s="80" t="s">
        <v>266</v>
      </c>
      <c r="V81" s="81">
        <v>2.22115975</v>
      </c>
      <c r="W81" s="81">
        <v>2515.1273439899387</v>
      </c>
      <c r="X81" s="81">
        <v>1.2072130000000001</v>
      </c>
      <c r="Y81" s="81">
        <v>-19.747439956361998</v>
      </c>
      <c r="Z81" s="71" t="s">
        <v>54</v>
      </c>
      <c r="AA81" s="73">
        <v>5.5661983611111108</v>
      </c>
      <c r="AB81" s="73">
        <v>3.0248816727959098</v>
      </c>
      <c r="AC81" s="73">
        <v>3.9982883888888887</v>
      </c>
      <c r="AD81" s="73">
        <v>-25.508901929003891</v>
      </c>
      <c r="AE81" s="73">
        <v>2.2461111111111109</v>
      </c>
      <c r="AF81" s="73">
        <v>2.2461111111111109</v>
      </c>
      <c r="AG81" s="32">
        <f t="shared" si="50"/>
        <v>1.1379460310984945E-2</v>
      </c>
      <c r="AH81" s="32">
        <f t="shared" si="51"/>
        <v>0.25846953038557846</v>
      </c>
      <c r="AI81" s="33">
        <f t="shared" si="52"/>
        <v>2.5275599219482244E-2</v>
      </c>
      <c r="AJ81" s="34">
        <f t="shared" si="53"/>
        <v>0.31202777718536534</v>
      </c>
      <c r="AK81" s="16">
        <f t="shared" si="54"/>
        <v>1.0742129668279954E-2</v>
      </c>
      <c r="AL81" s="16">
        <f t="shared" si="55"/>
        <v>0.13261180530378025</v>
      </c>
      <c r="AM81" s="27">
        <f t="shared" si="56"/>
        <v>10.742129668279954</v>
      </c>
      <c r="AN81" s="27">
        <f t="shared" si="57"/>
        <v>132.61180530378024</v>
      </c>
      <c r="AO81" s="29" t="e">
        <f t="shared" si="58"/>
        <v>#VALUE!</v>
      </c>
      <c r="AP81" s="29" t="e">
        <f t="shared" si="59"/>
        <v>#VALUE!</v>
      </c>
      <c r="AQ81" s="27">
        <f t="shared" si="60"/>
        <v>12.345019972656342</v>
      </c>
      <c r="AR81" s="14">
        <f t="shared" si="61"/>
        <v>2514.0824623171429</v>
      </c>
      <c r="AS81" s="25">
        <v>0.36620000000000003</v>
      </c>
      <c r="AT81" s="22">
        <f t="shared" si="62"/>
        <v>1.2753026504866389</v>
      </c>
      <c r="AU81" s="22">
        <f t="shared" si="63"/>
        <v>0.90910265048663885</v>
      </c>
      <c r="AV81" s="15"/>
      <c r="AW81" s="22"/>
      <c r="AX81" s="34">
        <f t="shared" si="64"/>
        <v>9091.0265048663878</v>
      </c>
      <c r="AY81" s="14">
        <f t="shared" si="65"/>
        <v>-20.268538027358108</v>
      </c>
      <c r="AZ81" s="25">
        <v>1.0819000000000001</v>
      </c>
      <c r="BA81" s="22">
        <f t="shared" si="66"/>
        <v>1.0889358846647426</v>
      </c>
      <c r="BB81" s="38">
        <f t="shared" si="67"/>
        <v>7.0358846647424755E-3</v>
      </c>
      <c r="BC81" s="15"/>
      <c r="BD81" s="38"/>
      <c r="BE81" s="38">
        <f t="shared" si="68"/>
        <v>70.358846647424755</v>
      </c>
    </row>
    <row r="82" spans="1:57" ht="15.75">
      <c r="A82" s="67">
        <v>122</v>
      </c>
      <c r="B82" s="134">
        <v>4</v>
      </c>
      <c r="C82" s="66" t="s">
        <v>413</v>
      </c>
      <c r="D82" s="66" t="s">
        <v>409</v>
      </c>
      <c r="E82" s="66" t="s">
        <v>437</v>
      </c>
      <c r="F82" s="66" t="s">
        <v>411</v>
      </c>
      <c r="G82" s="66"/>
      <c r="H82" s="66" t="s">
        <v>430</v>
      </c>
      <c r="I82" s="66">
        <v>100</v>
      </c>
      <c r="J82" s="66">
        <v>20</v>
      </c>
      <c r="K82" s="66">
        <v>30</v>
      </c>
      <c r="L82" s="66" t="s">
        <v>463</v>
      </c>
      <c r="M82" s="66">
        <v>1</v>
      </c>
      <c r="N82"/>
      <c r="O82"/>
      <c r="P82"/>
      <c r="Q82" s="108">
        <v>10</v>
      </c>
      <c r="R82" s="53">
        <v>8</v>
      </c>
      <c r="S82" s="53">
        <f t="shared" si="69"/>
        <v>2</v>
      </c>
      <c r="T82" s="82">
        <v>187</v>
      </c>
      <c r="U82" s="82" t="s">
        <v>267</v>
      </c>
      <c r="V82" s="83">
        <v>5.2232554999999996</v>
      </c>
      <c r="W82" s="83">
        <v>1086.4698484739015</v>
      </c>
      <c r="X82" s="83">
        <v>2.8112322500000002</v>
      </c>
      <c r="Y82" s="83">
        <v>-1.8403625748692252</v>
      </c>
      <c r="Z82" s="71" t="s">
        <v>106</v>
      </c>
      <c r="AA82" s="73">
        <v>5.5661983611111108</v>
      </c>
      <c r="AB82" s="73">
        <v>3.0248816727959098</v>
      </c>
      <c r="AC82" s="73">
        <v>3.9982883888888887</v>
      </c>
      <c r="AD82" s="73">
        <v>-25.508901929003891</v>
      </c>
      <c r="AE82" s="73">
        <v>2.2461111111111109</v>
      </c>
      <c r="AF82" s="73">
        <v>2.2461111111111109</v>
      </c>
      <c r="AG82" s="32">
        <f t="shared" si="50"/>
        <v>1.1379460310984945E-2</v>
      </c>
      <c r="AH82" s="32">
        <f t="shared" si="51"/>
        <v>0.25846953038557846</v>
      </c>
      <c r="AI82" s="33">
        <f t="shared" si="52"/>
        <v>5.943782865638382E-2</v>
      </c>
      <c r="AJ82" s="34">
        <f t="shared" si="53"/>
        <v>0.72661787946229317</v>
      </c>
      <c r="AK82" s="16">
        <f t="shared" si="54"/>
        <v>2.5261077178963125E-2</v>
      </c>
      <c r="AL82" s="16">
        <f t="shared" si="55"/>
        <v>0.3088125987714746</v>
      </c>
      <c r="AM82" s="27">
        <f t="shared" si="56"/>
        <v>25.261077178963124</v>
      </c>
      <c r="AN82" s="27">
        <f t="shared" si="57"/>
        <v>308.8125987714746</v>
      </c>
      <c r="AO82" s="29" t="e">
        <f t="shared" si="58"/>
        <v>#VALUE!</v>
      </c>
      <c r="AP82" s="29" t="e">
        <f t="shared" si="59"/>
        <v>#VALUE!</v>
      </c>
      <c r="AQ82" s="27">
        <f t="shared" si="60"/>
        <v>12.224838892802522</v>
      </c>
      <c r="AR82" s="14">
        <f t="shared" si="61"/>
        <v>1085.4249668011055</v>
      </c>
      <c r="AS82" s="25">
        <v>0.36620000000000003</v>
      </c>
      <c r="AT82" s="22">
        <f t="shared" si="62"/>
        <v>0.76077013705310692</v>
      </c>
      <c r="AU82" s="22">
        <f t="shared" si="63"/>
        <v>0.3945701370531069</v>
      </c>
      <c r="AV82" s="15"/>
      <c r="AW82" s="22"/>
      <c r="AX82" s="34">
        <f t="shared" si="64"/>
        <v>3945.7013705310687</v>
      </c>
      <c r="AY82" s="14">
        <f t="shared" si="65"/>
        <v>-2.3614606458653356</v>
      </c>
      <c r="AZ82" s="25">
        <v>1.0819000000000001</v>
      </c>
      <c r="BA82" s="22">
        <f t="shared" si="66"/>
        <v>1.1086183008254036</v>
      </c>
      <c r="BB82" s="38">
        <f t="shared" si="67"/>
        <v>2.6718300825403496E-2</v>
      </c>
      <c r="BC82" s="15"/>
      <c r="BD82" s="38"/>
      <c r="BE82" s="38">
        <f t="shared" si="68"/>
        <v>267.18300825403497</v>
      </c>
    </row>
    <row r="83" spans="1:57" ht="15.75">
      <c r="A83" s="67">
        <v>123</v>
      </c>
      <c r="B83" s="134">
        <v>4</v>
      </c>
      <c r="C83" s="66" t="s">
        <v>415</v>
      </c>
      <c r="D83" s="66" t="s">
        <v>418</v>
      </c>
      <c r="E83" s="66" t="s">
        <v>437</v>
      </c>
      <c r="F83" s="66" t="s">
        <v>411</v>
      </c>
      <c r="G83" s="66"/>
      <c r="H83" s="66" t="s">
        <v>430</v>
      </c>
      <c r="I83" s="66">
        <v>100</v>
      </c>
      <c r="J83" s="66">
        <v>20</v>
      </c>
      <c r="K83" s="66">
        <v>30</v>
      </c>
      <c r="L83" s="66" t="s">
        <v>464</v>
      </c>
      <c r="M83" s="66">
        <v>1</v>
      </c>
      <c r="N83"/>
      <c r="O83"/>
      <c r="P83"/>
      <c r="Q83" s="108">
        <v>10</v>
      </c>
      <c r="R83" s="53">
        <v>8</v>
      </c>
      <c r="S83" s="53">
        <f t="shared" si="69"/>
        <v>2</v>
      </c>
      <c r="T83" s="80">
        <v>188</v>
      </c>
      <c r="U83" s="80" t="s">
        <v>268</v>
      </c>
      <c r="V83" s="81">
        <v>1.762911125</v>
      </c>
      <c r="W83" s="81">
        <v>718.24340397005983</v>
      </c>
      <c r="X83" s="81">
        <v>1.094245125</v>
      </c>
      <c r="Y83" s="81">
        <v>-21.905925934588943</v>
      </c>
      <c r="Z83" s="71" t="s">
        <v>106</v>
      </c>
      <c r="AA83" s="73">
        <v>5.5661983611111108</v>
      </c>
      <c r="AB83" s="73">
        <v>3.0248816727959098</v>
      </c>
      <c r="AC83" s="73">
        <v>3.9982883888888887</v>
      </c>
      <c r="AD83" s="73">
        <v>-25.508901929003891</v>
      </c>
      <c r="AE83" s="73">
        <v>2.2461111111111109</v>
      </c>
      <c r="AF83" s="73">
        <v>2.2461111111111109</v>
      </c>
      <c r="AG83" s="32">
        <f t="shared" si="50"/>
        <v>1.1379460310984945E-2</v>
      </c>
      <c r="AH83" s="32">
        <f t="shared" si="51"/>
        <v>0.25846953038557846</v>
      </c>
      <c r="AI83" s="33">
        <f t="shared" si="52"/>
        <v>2.0060977178731319E-2</v>
      </c>
      <c r="AJ83" s="34">
        <f t="shared" si="53"/>
        <v>0.28282902358545864</v>
      </c>
      <c r="AK83" s="16">
        <f t="shared" si="54"/>
        <v>8.5259153009608103E-3</v>
      </c>
      <c r="AL83" s="16">
        <f t="shared" si="55"/>
        <v>0.12020233502381991</v>
      </c>
      <c r="AM83" s="27">
        <f t="shared" si="56"/>
        <v>8.5259153009608095</v>
      </c>
      <c r="AN83" s="27">
        <f t="shared" si="57"/>
        <v>120.20233502381991</v>
      </c>
      <c r="AO83" s="29" t="e">
        <f t="shared" si="58"/>
        <v>#VALUE!</v>
      </c>
      <c r="AP83" s="29" t="e">
        <f t="shared" si="59"/>
        <v>#VALUE!</v>
      </c>
      <c r="AQ83" s="27">
        <f t="shared" si="60"/>
        <v>14.098466942343887</v>
      </c>
      <c r="AR83" s="14">
        <f t="shared" si="61"/>
        <v>717.19852229726393</v>
      </c>
      <c r="AS83" s="25">
        <v>0.36620000000000003</v>
      </c>
      <c r="AT83" s="22">
        <f t="shared" si="62"/>
        <v>0.62728250505688965</v>
      </c>
      <c r="AU83" s="22">
        <f t="shared" si="63"/>
        <v>0.26108250505688962</v>
      </c>
      <c r="AV83" s="15"/>
      <c r="AW83" s="22"/>
      <c r="AX83" s="34">
        <f t="shared" si="64"/>
        <v>2610.8250505688961</v>
      </c>
      <c r="AY83" s="14">
        <f t="shared" si="65"/>
        <v>-22.427024005585054</v>
      </c>
      <c r="AZ83" s="25">
        <v>1.0819000000000001</v>
      </c>
      <c r="BA83" s="22">
        <f t="shared" si="66"/>
        <v>1.0865628735075257</v>
      </c>
      <c r="BB83" s="38">
        <f t="shared" si="67"/>
        <v>4.6628735075255889E-3</v>
      </c>
      <c r="BC83" s="15"/>
      <c r="BD83" s="38"/>
      <c r="BE83" s="38">
        <f t="shared" si="68"/>
        <v>46.628735075255889</v>
      </c>
    </row>
    <row r="84" spans="1:57" ht="15.75">
      <c r="A84" s="67">
        <v>124</v>
      </c>
      <c r="B84" s="134">
        <v>4</v>
      </c>
      <c r="C84" s="66" t="s">
        <v>417</v>
      </c>
      <c r="D84" s="66" t="s">
        <v>424</v>
      </c>
      <c r="E84" s="66" t="s">
        <v>437</v>
      </c>
      <c r="F84" s="66" t="s">
        <v>411</v>
      </c>
      <c r="G84" s="66"/>
      <c r="H84" s="66" t="s">
        <v>430</v>
      </c>
      <c r="I84" s="66">
        <v>100</v>
      </c>
      <c r="J84" s="66">
        <v>20</v>
      </c>
      <c r="K84" s="66">
        <v>30</v>
      </c>
      <c r="L84" s="66" t="s">
        <v>465</v>
      </c>
      <c r="M84" s="66">
        <v>1</v>
      </c>
      <c r="N84"/>
      <c r="O84"/>
      <c r="P84"/>
      <c r="Q84" s="108">
        <v>10</v>
      </c>
      <c r="R84" s="53">
        <v>8</v>
      </c>
      <c r="S84" s="53">
        <f t="shared" si="69"/>
        <v>2</v>
      </c>
      <c r="T84" s="82">
        <v>189</v>
      </c>
      <c r="U84" s="82" t="s">
        <v>269</v>
      </c>
      <c r="V84" s="83">
        <v>0.88288262500000003</v>
      </c>
      <c r="W84" s="83">
        <v>1186.8595419935791</v>
      </c>
      <c r="X84" s="83">
        <v>0.54209843749999997</v>
      </c>
      <c r="Y84" s="83">
        <v>0.55129624080753536</v>
      </c>
      <c r="Z84" s="71" t="s">
        <v>106</v>
      </c>
      <c r="AA84" s="73">
        <v>5.5661983611111108</v>
      </c>
      <c r="AB84" s="73">
        <v>3.0248816727959098</v>
      </c>
      <c r="AC84" s="73">
        <v>3.9982883888888887</v>
      </c>
      <c r="AD84" s="73">
        <v>-25.508901929003891</v>
      </c>
      <c r="AE84" s="73">
        <v>2.2461111111111109</v>
      </c>
      <c r="AF84" s="73">
        <v>2.2461111111111109</v>
      </c>
      <c r="AG84" s="32">
        <f t="shared" si="50"/>
        <v>1.1379460310984945E-2</v>
      </c>
      <c r="AH84" s="32">
        <f t="shared" si="51"/>
        <v>0.25846953038557846</v>
      </c>
      <c r="AI84" s="33">
        <f t="shared" si="52"/>
        <v>1.0046727790445706E-2</v>
      </c>
      <c r="AJ84" s="34">
        <f t="shared" si="53"/>
        <v>0.14011592856338084</v>
      </c>
      <c r="AK84" s="16">
        <f t="shared" si="54"/>
        <v>4.2698593109394244E-3</v>
      </c>
      <c r="AL84" s="16">
        <f t="shared" si="55"/>
        <v>5.954926963943686E-2</v>
      </c>
      <c r="AM84" s="27">
        <f t="shared" si="56"/>
        <v>4.2698593109394247</v>
      </c>
      <c r="AN84" s="27">
        <f t="shared" si="57"/>
        <v>59.549269639436858</v>
      </c>
      <c r="AO84" s="29" t="e">
        <f t="shared" si="58"/>
        <v>#VALUE!</v>
      </c>
      <c r="AP84" s="29" t="e">
        <f t="shared" si="59"/>
        <v>#VALUE!</v>
      </c>
      <c r="AQ84" s="27">
        <f t="shared" si="60"/>
        <v>13.946424297135739</v>
      </c>
      <c r="AR84" s="14">
        <f t="shared" si="61"/>
        <v>1185.8146603207831</v>
      </c>
      <c r="AS84" s="25">
        <v>0.36620000000000003</v>
      </c>
      <c r="AT84" s="22">
        <f t="shared" si="62"/>
        <v>0.7971007212442166</v>
      </c>
      <c r="AU84" s="22">
        <f t="shared" si="63"/>
        <v>0.43090072124421658</v>
      </c>
      <c r="AV84" s="15"/>
      <c r="AW84" s="22"/>
      <c r="AX84" s="34">
        <f t="shared" si="64"/>
        <v>4309.0072124421658</v>
      </c>
      <c r="AY84" s="14">
        <f t="shared" si="65"/>
        <v>3.0198169811424758E-2</v>
      </c>
      <c r="AZ84" s="25">
        <v>1.0819000000000001</v>
      </c>
      <c r="BA84" s="22">
        <f t="shared" si="66"/>
        <v>1.1112464799018973</v>
      </c>
      <c r="BB84" s="38">
        <f t="shared" si="67"/>
        <v>2.9346479901897204E-2</v>
      </c>
      <c r="BC84" s="15"/>
      <c r="BD84" s="38"/>
      <c r="BE84" s="38">
        <f t="shared" si="68"/>
        <v>293.46479901897203</v>
      </c>
    </row>
    <row r="85" spans="1:57" ht="15.75">
      <c r="A85" s="67">
        <v>125</v>
      </c>
      <c r="B85" s="134">
        <v>4</v>
      </c>
      <c r="C85" s="66" t="s">
        <v>419</v>
      </c>
      <c r="D85" s="66" t="s">
        <v>414</v>
      </c>
      <c r="E85" s="66" t="s">
        <v>437</v>
      </c>
      <c r="F85" s="66" t="s">
        <v>411</v>
      </c>
      <c r="G85" s="66"/>
      <c r="H85" s="66" t="s">
        <v>430</v>
      </c>
      <c r="I85" s="66">
        <v>100</v>
      </c>
      <c r="J85" s="66">
        <v>20</v>
      </c>
      <c r="K85" s="66">
        <v>30</v>
      </c>
      <c r="L85" s="66" t="s">
        <v>466</v>
      </c>
      <c r="M85" s="66">
        <v>1</v>
      </c>
      <c r="N85"/>
      <c r="O85"/>
      <c r="P85"/>
      <c r="Q85" s="108">
        <v>10</v>
      </c>
      <c r="R85" s="53">
        <v>8</v>
      </c>
      <c r="S85" s="53">
        <f t="shared" si="69"/>
        <v>2</v>
      </c>
      <c r="T85" s="80">
        <v>190</v>
      </c>
      <c r="U85" s="80" t="s">
        <v>270</v>
      </c>
      <c r="V85" s="81">
        <v>0.66680474999999995</v>
      </c>
      <c r="W85" s="81">
        <v>411.30814190167888</v>
      </c>
      <c r="X85" s="81">
        <v>0.33748965624999999</v>
      </c>
      <c r="Y85" s="81">
        <v>-18.253570370407349</v>
      </c>
      <c r="Z85" s="71" t="s">
        <v>106</v>
      </c>
      <c r="AA85" s="73">
        <v>5.5661983611111108</v>
      </c>
      <c r="AB85" s="73">
        <v>3.0248816727959098</v>
      </c>
      <c r="AC85" s="73">
        <v>3.9982883888888887</v>
      </c>
      <c r="AD85" s="73">
        <v>-25.508901929003891</v>
      </c>
      <c r="AE85" s="73">
        <v>2.2461111111111109</v>
      </c>
      <c r="AF85" s="73">
        <v>2.2461111111111109</v>
      </c>
      <c r="AG85" s="32">
        <f t="shared" si="50"/>
        <v>1.1379460310984945E-2</v>
      </c>
      <c r="AH85" s="32">
        <f t="shared" si="51"/>
        <v>0.25846953038557846</v>
      </c>
      <c r="AI85" s="33">
        <f t="shared" si="52"/>
        <v>7.5878781878012383E-3</v>
      </c>
      <c r="AJ85" s="34">
        <f t="shared" si="53"/>
        <v>8.7230792960927797E-2</v>
      </c>
      <c r="AK85" s="16">
        <f t="shared" si="54"/>
        <v>3.2248482298155258E-3</v>
      </c>
      <c r="AL85" s="16">
        <f t="shared" si="55"/>
        <v>3.7073087008394318E-2</v>
      </c>
      <c r="AM85" s="27">
        <f t="shared" si="56"/>
        <v>3.2248482298155259</v>
      </c>
      <c r="AN85" s="27">
        <f t="shared" si="57"/>
        <v>37.073087008394317</v>
      </c>
      <c r="AO85" s="29" t="e">
        <f t="shared" si="58"/>
        <v>#VALUE!</v>
      </c>
      <c r="AP85" s="29" t="e">
        <f t="shared" si="59"/>
        <v>#VALUE!</v>
      </c>
      <c r="AQ85" s="27">
        <f t="shared" si="60"/>
        <v>11.496071866462701</v>
      </c>
      <c r="AR85" s="14">
        <f t="shared" si="61"/>
        <v>410.26326022888298</v>
      </c>
      <c r="AS85" s="25">
        <v>0.36620000000000003</v>
      </c>
      <c r="AT85" s="22">
        <f t="shared" si="62"/>
        <v>0.51573911699474861</v>
      </c>
      <c r="AU85" s="22">
        <f t="shared" si="63"/>
        <v>0.14953911699474859</v>
      </c>
      <c r="AV85" s="15"/>
      <c r="AW85" s="22"/>
      <c r="AX85" s="34">
        <f t="shared" si="64"/>
        <v>1495.3911699474861</v>
      </c>
      <c r="AY85" s="14">
        <f t="shared" si="65"/>
        <v>-18.77466844140346</v>
      </c>
      <c r="AZ85" s="25">
        <v>1.0819000000000001</v>
      </c>
      <c r="BA85" s="22">
        <f t="shared" si="66"/>
        <v>1.0905781586134382</v>
      </c>
      <c r="BB85" s="38">
        <f t="shared" si="67"/>
        <v>8.678158613438125E-3</v>
      </c>
      <c r="BC85" s="15"/>
      <c r="BD85" s="38"/>
      <c r="BE85" s="38">
        <f t="shared" si="68"/>
        <v>86.781586134381257</v>
      </c>
    </row>
    <row r="86" spans="1:57" ht="15.75">
      <c r="A86" s="135"/>
      <c r="B86" s="136"/>
      <c r="C86" s="135"/>
      <c r="D86" s="135" t="s">
        <v>116</v>
      </c>
      <c r="E86" s="135"/>
      <c r="F86" s="135" t="s">
        <v>55</v>
      </c>
      <c r="G86" s="135"/>
      <c r="H86" s="135"/>
      <c r="I86" s="135"/>
      <c r="J86" s="135"/>
      <c r="K86" s="135"/>
      <c r="L86" s="135" t="s">
        <v>467</v>
      </c>
      <c r="M86" s="137">
        <v>1</v>
      </c>
      <c r="N86"/>
      <c r="O86"/>
      <c r="P86"/>
      <c r="Q86" s="108">
        <v>10</v>
      </c>
      <c r="R86" s="53">
        <v>8</v>
      </c>
      <c r="S86" s="53">
        <f t="shared" si="69"/>
        <v>2</v>
      </c>
      <c r="T86" s="82">
        <v>191</v>
      </c>
      <c r="U86" s="82" t="s">
        <v>271</v>
      </c>
      <c r="V86" s="83">
        <v>5.5525659999999997</v>
      </c>
      <c r="W86" s="83">
        <v>8.4010409144685454</v>
      </c>
      <c r="X86" s="83">
        <v>4.0312057499999998</v>
      </c>
      <c r="Y86" s="83">
        <v>-25.120719553457427</v>
      </c>
      <c r="Z86" s="71">
        <v>2.286</v>
      </c>
      <c r="AA86" s="73">
        <v>5.5661983611111108</v>
      </c>
      <c r="AB86" s="73">
        <v>3.0248816727959098</v>
      </c>
      <c r="AC86" s="73">
        <v>3.9982883888888887</v>
      </c>
      <c r="AD86" s="73">
        <v>-25.508901929003891</v>
      </c>
      <c r="AE86" s="73">
        <v>2.2461111111111109</v>
      </c>
      <c r="AF86" s="73">
        <v>2.2461111111111109</v>
      </c>
      <c r="AG86" s="32">
        <f t="shared" si="50"/>
        <v>1.1379460310984945E-2</v>
      </c>
      <c r="AH86" s="32">
        <f t="shared" si="51"/>
        <v>0.25846953038557846</v>
      </c>
      <c r="AI86" s="33">
        <f t="shared" si="52"/>
        <v>6.3185204421124436E-2</v>
      </c>
      <c r="AJ86" s="34">
        <f t="shared" si="53"/>
        <v>1.0419438570901436</v>
      </c>
      <c r="AK86" s="16" t="e">
        <f t="shared" si="54"/>
        <v>#DIV/0!</v>
      </c>
      <c r="AL86" s="16" t="e">
        <f t="shared" si="55"/>
        <v>#DIV/0!</v>
      </c>
      <c r="AM86" s="27" t="e">
        <f t="shared" si="56"/>
        <v>#DIV/0!</v>
      </c>
      <c r="AN86" s="27" t="e">
        <f t="shared" si="57"/>
        <v>#DIV/0!</v>
      </c>
      <c r="AO86" s="29">
        <f t="shared" si="58"/>
        <v>2.7640071925251286</v>
      </c>
      <c r="AP86" s="29">
        <f t="shared" si="59"/>
        <v>45.579346329402604</v>
      </c>
      <c r="AQ86" s="27">
        <f t="shared" si="60"/>
        <v>16.490313937194369</v>
      </c>
      <c r="AR86" s="14">
        <f t="shared" si="61"/>
        <v>7.3561592416726356</v>
      </c>
      <c r="AS86" s="25">
        <v>0.36620000000000003</v>
      </c>
      <c r="AT86" s="22">
        <f t="shared" si="62"/>
        <v>0.36893793176042339</v>
      </c>
      <c r="AU86" s="22">
        <f t="shared" si="63"/>
        <v>2.7379317604233622E-3</v>
      </c>
      <c r="AV86" s="15"/>
      <c r="AW86" s="22"/>
      <c r="AX86" s="34">
        <f t="shared" si="64"/>
        <v>27.37931760423362</v>
      </c>
      <c r="AY86" s="14">
        <f t="shared" si="65"/>
        <v>-25.641817624453537</v>
      </c>
      <c r="AZ86" s="25">
        <v>1.0819000000000001</v>
      </c>
      <c r="BA86" s="22">
        <f t="shared" si="66"/>
        <v>1.0830283605044584</v>
      </c>
      <c r="BB86" s="38">
        <f t="shared" si="67"/>
        <v>1.1283605044583034E-3</v>
      </c>
      <c r="BC86" s="15"/>
      <c r="BD86" s="38"/>
      <c r="BE86" s="38">
        <f t="shared" si="68"/>
        <v>11.283605044583034</v>
      </c>
    </row>
    <row r="87" spans="1:57" ht="15.75">
      <c r="A87" s="67">
        <v>126</v>
      </c>
      <c r="B87" s="134">
        <v>4</v>
      </c>
      <c r="C87" s="66" t="s">
        <v>421</v>
      </c>
      <c r="D87" s="66" t="s">
        <v>420</v>
      </c>
      <c r="E87" s="66" t="s">
        <v>437</v>
      </c>
      <c r="F87" s="66" t="s">
        <v>411</v>
      </c>
      <c r="G87" s="66"/>
      <c r="H87" s="66" t="s">
        <v>430</v>
      </c>
      <c r="I87" s="66">
        <v>100</v>
      </c>
      <c r="J87" s="66">
        <v>20</v>
      </c>
      <c r="K87" s="66">
        <v>30</v>
      </c>
      <c r="L87" s="66" t="s">
        <v>468</v>
      </c>
      <c r="M87" s="66">
        <v>1</v>
      </c>
      <c r="N87"/>
      <c r="O87"/>
      <c r="P87"/>
      <c r="Q87" s="108">
        <v>10</v>
      </c>
      <c r="R87" s="53">
        <v>8</v>
      </c>
      <c r="S87" s="53">
        <f t="shared" si="69"/>
        <v>2</v>
      </c>
      <c r="T87" s="80">
        <v>192</v>
      </c>
      <c r="U87" s="80" t="s">
        <v>272</v>
      </c>
      <c r="V87" s="81">
        <v>1.8249303750000001</v>
      </c>
      <c r="W87" s="81">
        <v>173.49745283467186</v>
      </c>
      <c r="X87" s="81">
        <v>0.93776956249999999</v>
      </c>
      <c r="Y87" s="81">
        <v>-19.673466696359441</v>
      </c>
      <c r="Z87" s="71" t="s">
        <v>106</v>
      </c>
      <c r="AA87" s="73">
        <v>5.5661983611111108</v>
      </c>
      <c r="AB87" s="73">
        <v>3.0248816727959098</v>
      </c>
      <c r="AC87" s="73">
        <v>3.9982883888888887</v>
      </c>
      <c r="AD87" s="73">
        <v>-25.508901929003891</v>
      </c>
      <c r="AE87" s="73">
        <v>2.2461111111111109</v>
      </c>
      <c r="AF87" s="73">
        <v>2.2461111111111109</v>
      </c>
      <c r="AG87" s="32">
        <f t="shared" si="50"/>
        <v>1.1379460310984945E-2</v>
      </c>
      <c r="AH87" s="32">
        <f t="shared" si="51"/>
        <v>0.25846953038557846</v>
      </c>
      <c r="AI87" s="33">
        <f t="shared" si="52"/>
        <v>2.0766722772623373E-2</v>
      </c>
      <c r="AJ87" s="34">
        <f t="shared" si="53"/>
        <v>0.24238485842926435</v>
      </c>
      <c r="AK87" s="16">
        <f t="shared" si="54"/>
        <v>8.8258571783649334E-3</v>
      </c>
      <c r="AL87" s="16">
        <f t="shared" si="55"/>
        <v>0.10301356483243734</v>
      </c>
      <c r="AM87" s="27">
        <f t="shared" si="56"/>
        <v>8.8258571783649327</v>
      </c>
      <c r="AN87" s="27">
        <f t="shared" si="57"/>
        <v>103.01356483243734</v>
      </c>
      <c r="AO87" s="29" t="e">
        <f t="shared" si="58"/>
        <v>#VALUE!</v>
      </c>
      <c r="AP87" s="29" t="e">
        <f t="shared" si="59"/>
        <v>#VALUE!</v>
      </c>
      <c r="AQ87" s="27">
        <f t="shared" si="60"/>
        <v>11.671791504281005</v>
      </c>
      <c r="AR87" s="14">
        <f t="shared" si="61"/>
        <v>172.45257116187594</v>
      </c>
      <c r="AS87" s="25">
        <v>0.36620000000000003</v>
      </c>
      <c r="AT87" s="22">
        <f t="shared" si="62"/>
        <v>0.4291439822105107</v>
      </c>
      <c r="AU87" s="22">
        <f t="shared" si="63"/>
        <v>6.2943982210510674E-2</v>
      </c>
      <c r="AV87" s="15"/>
      <c r="AW87" s="22"/>
      <c r="AX87" s="34">
        <f t="shared" si="64"/>
        <v>629.43982210510671</v>
      </c>
      <c r="AY87" s="14">
        <f t="shared" si="65"/>
        <v>-20.194564767355551</v>
      </c>
      <c r="AZ87" s="25">
        <v>1.0819000000000001</v>
      </c>
      <c r="BA87" s="22">
        <f t="shared" si="66"/>
        <v>1.08901720787807</v>
      </c>
      <c r="BB87" s="38">
        <f t="shared" si="67"/>
        <v>7.1172078780699088E-3</v>
      </c>
      <c r="BC87" s="15"/>
      <c r="BD87" s="38"/>
      <c r="BE87" s="38">
        <f t="shared" si="68"/>
        <v>71.172078780699081</v>
      </c>
    </row>
    <row r="88" spans="1:57" ht="15.75">
      <c r="A88" s="67">
        <v>127</v>
      </c>
      <c r="B88" s="134">
        <v>4</v>
      </c>
      <c r="C88" s="66" t="s">
        <v>423</v>
      </c>
      <c r="D88" s="66" t="s">
        <v>426</v>
      </c>
      <c r="E88" s="66" t="s">
        <v>437</v>
      </c>
      <c r="F88" s="66" t="s">
        <v>411</v>
      </c>
      <c r="G88" s="66"/>
      <c r="H88" s="66" t="s">
        <v>430</v>
      </c>
      <c r="I88" s="66">
        <v>100</v>
      </c>
      <c r="J88" s="66">
        <v>20</v>
      </c>
      <c r="K88" s="66">
        <v>30</v>
      </c>
      <c r="L88" s="66" t="s">
        <v>469</v>
      </c>
      <c r="M88" s="66">
        <v>1</v>
      </c>
      <c r="N88"/>
      <c r="O88"/>
      <c r="P88"/>
      <c r="Q88" s="108">
        <v>10</v>
      </c>
      <c r="R88" s="53">
        <v>8</v>
      </c>
      <c r="S88" s="53">
        <f t="shared" si="69"/>
        <v>2</v>
      </c>
      <c r="T88" s="82">
        <v>193</v>
      </c>
      <c r="U88" s="82" t="s">
        <v>273</v>
      </c>
      <c r="V88" s="83">
        <v>1.189630875</v>
      </c>
      <c r="W88" s="83">
        <v>894.34639921325197</v>
      </c>
      <c r="X88" s="83">
        <v>0.64424756250000004</v>
      </c>
      <c r="Y88" s="83">
        <v>-11.299652053865396</v>
      </c>
      <c r="Z88" s="71" t="s">
        <v>106</v>
      </c>
      <c r="AA88" s="73">
        <v>5.5661983611111108</v>
      </c>
      <c r="AB88" s="73">
        <v>3.0248816727959098</v>
      </c>
      <c r="AC88" s="73">
        <v>3.9982883888888887</v>
      </c>
      <c r="AD88" s="73">
        <v>-25.508901929003891</v>
      </c>
      <c r="AE88" s="73">
        <v>2.2461111111111109</v>
      </c>
      <c r="AF88" s="73">
        <v>2.2461111111111109</v>
      </c>
      <c r="AG88" s="32">
        <f t="shared" si="50"/>
        <v>1.1379460310984945E-2</v>
      </c>
      <c r="AH88" s="32">
        <f t="shared" si="51"/>
        <v>0.25846953038557846</v>
      </c>
      <c r="AI88" s="33">
        <f t="shared" si="52"/>
        <v>1.3537357326784792E-2</v>
      </c>
      <c r="AJ88" s="34">
        <f t="shared" si="53"/>
        <v>0.16651836493142863</v>
      </c>
      <c r="AK88" s="16">
        <f t="shared" si="54"/>
        <v>5.753376863883536E-3</v>
      </c>
      <c r="AL88" s="16">
        <f t="shared" si="55"/>
        <v>7.0770305095857161E-2</v>
      </c>
      <c r="AM88" s="27">
        <f t="shared" si="56"/>
        <v>5.7533768638835356</v>
      </c>
      <c r="AN88" s="27">
        <f t="shared" si="57"/>
        <v>70.770305095857168</v>
      </c>
      <c r="AO88" s="29" t="e">
        <f t="shared" si="58"/>
        <v>#VALUE!</v>
      </c>
      <c r="AP88" s="29" t="e">
        <f t="shared" si="59"/>
        <v>#VALUE!</v>
      </c>
      <c r="AQ88" s="27">
        <f t="shared" si="60"/>
        <v>12.300655210006028</v>
      </c>
      <c r="AR88" s="14">
        <f t="shared" si="61"/>
        <v>893.30151754045608</v>
      </c>
      <c r="AS88" s="25">
        <v>0.36620000000000003</v>
      </c>
      <c r="AT88" s="22">
        <f t="shared" si="62"/>
        <v>0.69116726822092989</v>
      </c>
      <c r="AU88" s="22">
        <f t="shared" si="63"/>
        <v>0.32496726822092986</v>
      </c>
      <c r="AV88" s="15"/>
      <c r="AW88" s="22"/>
      <c r="AX88" s="34">
        <f t="shared" si="64"/>
        <v>3249.6726822092983</v>
      </c>
      <c r="AY88" s="14">
        <f t="shared" si="65"/>
        <v>-11.820750124861506</v>
      </c>
      <c r="AZ88" s="25">
        <v>1.0819000000000001</v>
      </c>
      <c r="BA88" s="22">
        <f t="shared" si="66"/>
        <v>1.0982221770791154</v>
      </c>
      <c r="BB88" s="38">
        <f t="shared" si="67"/>
        <v>1.6322177079115319E-2</v>
      </c>
      <c r="BC88" s="15"/>
      <c r="BD88" s="38"/>
      <c r="BE88" s="38">
        <f t="shared" si="68"/>
        <v>163.22177079115318</v>
      </c>
    </row>
    <row r="89" spans="1:57" ht="15.75">
      <c r="A89" s="67">
        <v>128</v>
      </c>
      <c r="B89" s="134">
        <v>4</v>
      </c>
      <c r="C89" s="66" t="s">
        <v>425</v>
      </c>
      <c r="D89" s="66" t="s">
        <v>422</v>
      </c>
      <c r="E89" s="66" t="s">
        <v>437</v>
      </c>
      <c r="F89" s="66" t="s">
        <v>411</v>
      </c>
      <c r="G89" s="66"/>
      <c r="H89" s="66" t="s">
        <v>430</v>
      </c>
      <c r="I89" s="66">
        <v>100</v>
      </c>
      <c r="J89" s="66">
        <v>20</v>
      </c>
      <c r="K89" s="66">
        <v>30</v>
      </c>
      <c r="L89" s="66" t="s">
        <v>470</v>
      </c>
      <c r="M89" s="66">
        <v>1</v>
      </c>
      <c r="N89"/>
      <c r="O89"/>
      <c r="P89"/>
      <c r="Q89" s="108">
        <v>10</v>
      </c>
      <c r="R89" s="53">
        <v>8</v>
      </c>
      <c r="S89" s="53">
        <f t="shared" si="69"/>
        <v>2</v>
      </c>
      <c r="T89" s="80">
        <v>194</v>
      </c>
      <c r="U89" s="80" t="s">
        <v>274</v>
      </c>
      <c r="V89" s="81">
        <v>2.6142694999999998</v>
      </c>
      <c r="W89" s="81">
        <v>403.44539955746245</v>
      </c>
      <c r="X89" s="81">
        <v>1.5093825000000001</v>
      </c>
      <c r="Y89" s="81">
        <v>-16.534574624273354</v>
      </c>
      <c r="Z89" s="71" t="s">
        <v>106</v>
      </c>
      <c r="AA89" s="73">
        <v>5.5661983611111108</v>
      </c>
      <c r="AB89" s="73">
        <v>3.0248816727959098</v>
      </c>
      <c r="AC89" s="73">
        <v>3.9982883888888887</v>
      </c>
      <c r="AD89" s="73">
        <v>-25.508901929003891</v>
      </c>
      <c r="AE89" s="73">
        <v>2.2461111111111109</v>
      </c>
      <c r="AF89" s="73">
        <v>2.2461111111111109</v>
      </c>
      <c r="AG89" s="32">
        <f t="shared" si="50"/>
        <v>1.1379460310984945E-2</v>
      </c>
      <c r="AH89" s="32">
        <f t="shared" si="51"/>
        <v>0.25846953038557846</v>
      </c>
      <c r="AI89" s="33">
        <f t="shared" si="52"/>
        <v>2.9748976017468454E-2</v>
      </c>
      <c r="AJ89" s="34">
        <f t="shared" si="53"/>
        <v>0.39012938594721042</v>
      </c>
      <c r="AK89" s="16">
        <f t="shared" si="54"/>
        <v>1.2643314807424094E-2</v>
      </c>
      <c r="AL89" s="16">
        <f t="shared" si="55"/>
        <v>0.16580498902756444</v>
      </c>
      <c r="AM89" s="27">
        <f t="shared" si="56"/>
        <v>12.643314807424094</v>
      </c>
      <c r="AN89" s="27">
        <f t="shared" si="57"/>
        <v>165.80498902756443</v>
      </c>
      <c r="AO89" s="29" t="e">
        <f t="shared" si="58"/>
        <v>#VALUE!</v>
      </c>
      <c r="AP89" s="29" t="e">
        <f t="shared" si="59"/>
        <v>#VALUE!</v>
      </c>
      <c r="AQ89" s="27">
        <f t="shared" si="60"/>
        <v>13.114044184852895</v>
      </c>
      <c r="AR89" s="14">
        <f t="shared" si="61"/>
        <v>402.40051788466656</v>
      </c>
      <c r="AS89" s="25">
        <v>0.36620000000000003</v>
      </c>
      <c r="AT89" s="22">
        <f t="shared" si="62"/>
        <v>0.51287842704244813</v>
      </c>
      <c r="AU89" s="22">
        <f t="shared" si="63"/>
        <v>0.1466784270424481</v>
      </c>
      <c r="AV89" s="15"/>
      <c r="AW89" s="22"/>
      <c r="AX89" s="34">
        <f t="shared" si="64"/>
        <v>1466.7842704244811</v>
      </c>
      <c r="AY89" s="14">
        <f t="shared" si="65"/>
        <v>-17.055672695269465</v>
      </c>
      <c r="AZ89" s="25">
        <v>1.0819000000000001</v>
      </c>
      <c r="BA89" s="22">
        <f t="shared" si="66"/>
        <v>1.0924678557803635</v>
      </c>
      <c r="BB89" s="38">
        <f t="shared" si="67"/>
        <v>1.0567855780363455E-2</v>
      </c>
      <c r="BC89" s="15"/>
      <c r="BD89" s="38"/>
      <c r="BE89" s="38">
        <f t="shared" si="68"/>
        <v>105.67855780363456</v>
      </c>
    </row>
    <row r="90" spans="1:57" ht="15.75">
      <c r="A90" s="67">
        <v>129</v>
      </c>
      <c r="B90" s="66">
        <v>5</v>
      </c>
      <c r="C90" s="66" t="s">
        <v>408</v>
      </c>
      <c r="D90" s="66" t="s">
        <v>420</v>
      </c>
      <c r="E90" s="66" t="s">
        <v>437</v>
      </c>
      <c r="F90" s="66" t="s">
        <v>411</v>
      </c>
      <c r="G90" s="66"/>
      <c r="H90" s="66" t="s">
        <v>431</v>
      </c>
      <c r="I90" s="66">
        <v>100</v>
      </c>
      <c r="J90" s="66">
        <v>20</v>
      </c>
      <c r="K90" s="66">
        <v>30</v>
      </c>
      <c r="L90" s="66" t="s">
        <v>471</v>
      </c>
      <c r="M90" s="66">
        <v>1</v>
      </c>
      <c r="N90"/>
      <c r="O90"/>
      <c r="P90"/>
      <c r="Q90" s="108">
        <v>10</v>
      </c>
      <c r="R90" s="53">
        <v>8</v>
      </c>
      <c r="S90" s="53">
        <f t="shared" si="69"/>
        <v>2</v>
      </c>
      <c r="T90" s="82">
        <v>195</v>
      </c>
      <c r="U90" s="82" t="s">
        <v>275</v>
      </c>
      <c r="V90" s="83">
        <v>2.1347367500000001</v>
      </c>
      <c r="W90" s="83">
        <v>416.10530629670029</v>
      </c>
      <c r="X90" s="83">
        <v>1.3332326249999999</v>
      </c>
      <c r="Y90" s="83">
        <v>-14.524521861257988</v>
      </c>
      <c r="Z90" s="71" t="s">
        <v>106</v>
      </c>
      <c r="AA90" s="73">
        <v>5.5661983611111108</v>
      </c>
      <c r="AB90" s="73">
        <v>3.0248816727959098</v>
      </c>
      <c r="AC90" s="73">
        <v>3.9982883888888887</v>
      </c>
      <c r="AD90" s="73">
        <v>-25.508901929003891</v>
      </c>
      <c r="AE90" s="73">
        <v>2.2461111111111109</v>
      </c>
      <c r="AF90" s="73">
        <v>2.2461111111111109</v>
      </c>
      <c r="AG90" s="32">
        <f t="shared" si="50"/>
        <v>1.1379460310984945E-2</v>
      </c>
      <c r="AH90" s="32">
        <f t="shared" si="51"/>
        <v>0.25846953038557846</v>
      </c>
      <c r="AI90" s="33">
        <f t="shared" si="52"/>
        <v>2.4292152121025992E-2</v>
      </c>
      <c r="AJ90" s="34">
        <f t="shared" si="53"/>
        <v>0.34460001047848204</v>
      </c>
      <c r="AK90" s="16">
        <f t="shared" si="54"/>
        <v>1.0324164651436046E-2</v>
      </c>
      <c r="AL90" s="16">
        <f t="shared" si="55"/>
        <v>0.14645500445335488</v>
      </c>
      <c r="AM90" s="27">
        <f t="shared" si="56"/>
        <v>10.324164651436046</v>
      </c>
      <c r="AN90" s="27">
        <f t="shared" si="57"/>
        <v>146.45500445335489</v>
      </c>
      <c r="AO90" s="29" t="e">
        <f t="shared" si="58"/>
        <v>#VALUE!</v>
      </c>
      <c r="AP90" s="29" t="e">
        <f t="shared" si="59"/>
        <v>#VALUE!</v>
      </c>
      <c r="AQ90" s="27">
        <f t="shared" si="60"/>
        <v>14.185651759533263</v>
      </c>
      <c r="AR90" s="14">
        <f t="shared" si="61"/>
        <v>415.0604246239044</v>
      </c>
      <c r="AS90" s="25">
        <v>0.36620000000000003</v>
      </c>
      <c r="AT90" s="22">
        <f t="shared" si="62"/>
        <v>0.51748438143821551</v>
      </c>
      <c r="AU90" s="22">
        <f t="shared" si="63"/>
        <v>0.15128438143821549</v>
      </c>
      <c r="AV90" s="15"/>
      <c r="AW90" s="22"/>
      <c r="AX90" s="34">
        <f t="shared" si="64"/>
        <v>1512.843814382155</v>
      </c>
      <c r="AY90" s="14">
        <f t="shared" si="65"/>
        <v>-15.045619932254098</v>
      </c>
      <c r="AZ90" s="25">
        <v>1.0819000000000001</v>
      </c>
      <c r="BA90" s="22">
        <f t="shared" si="66"/>
        <v>1.0946774212184054</v>
      </c>
      <c r="BB90" s="38">
        <f t="shared" si="67"/>
        <v>1.2777421218405305E-2</v>
      </c>
      <c r="BC90" s="15"/>
      <c r="BD90" s="38"/>
      <c r="BE90" s="38">
        <f t="shared" si="68"/>
        <v>127.77421218405306</v>
      </c>
    </row>
    <row r="91" spans="1:57" ht="15.75">
      <c r="A91" s="67">
        <v>130</v>
      </c>
      <c r="B91" s="66">
        <v>5</v>
      </c>
      <c r="C91" s="66" t="s">
        <v>413</v>
      </c>
      <c r="D91" s="66" t="s">
        <v>424</v>
      </c>
      <c r="E91" s="66" t="s">
        <v>437</v>
      </c>
      <c r="F91" s="66" t="s">
        <v>411</v>
      </c>
      <c r="G91" s="66"/>
      <c r="H91" s="66" t="s">
        <v>431</v>
      </c>
      <c r="I91" s="66">
        <v>100</v>
      </c>
      <c r="J91" s="66">
        <v>20</v>
      </c>
      <c r="K91" s="66">
        <v>30</v>
      </c>
      <c r="L91" s="66" t="s">
        <v>472</v>
      </c>
      <c r="M91" s="66">
        <v>1</v>
      </c>
      <c r="N91"/>
      <c r="O91"/>
      <c r="P91"/>
      <c r="Q91" s="108">
        <v>10</v>
      </c>
      <c r="R91" s="53">
        <v>8</v>
      </c>
      <c r="S91" s="53">
        <f t="shared" si="69"/>
        <v>2</v>
      </c>
      <c r="T91" s="80">
        <v>196</v>
      </c>
      <c r="U91" s="80" t="s">
        <v>276</v>
      </c>
      <c r="V91" s="81">
        <v>1.800786875</v>
      </c>
      <c r="W91" s="81">
        <v>127.62545585696034</v>
      </c>
      <c r="X91" s="81">
        <v>1.1357326249999999</v>
      </c>
      <c r="Y91" s="81">
        <v>-21.102977305520323</v>
      </c>
      <c r="Z91" s="71" t="s">
        <v>106</v>
      </c>
      <c r="AA91" s="73">
        <v>5.5661983611111108</v>
      </c>
      <c r="AB91" s="73">
        <v>3.0248816727959098</v>
      </c>
      <c r="AC91" s="73">
        <v>3.9982883888888887</v>
      </c>
      <c r="AD91" s="73">
        <v>-25.508901929003891</v>
      </c>
      <c r="AE91" s="73">
        <v>2.2461111111111109</v>
      </c>
      <c r="AF91" s="73">
        <v>2.2461111111111109</v>
      </c>
      <c r="AG91" s="32">
        <f t="shared" si="50"/>
        <v>1.1379460310984945E-2</v>
      </c>
      <c r="AH91" s="32">
        <f t="shared" si="51"/>
        <v>0.25846953038557846</v>
      </c>
      <c r="AI91" s="33">
        <f t="shared" si="52"/>
        <v>2.0491982772605107E-2</v>
      </c>
      <c r="AJ91" s="34">
        <f t="shared" si="53"/>
        <v>0.29355227822733027</v>
      </c>
      <c r="AK91" s="16">
        <f t="shared" si="54"/>
        <v>8.7090926783571707E-3</v>
      </c>
      <c r="AL91" s="16">
        <f t="shared" si="55"/>
        <v>0.12475971824661537</v>
      </c>
      <c r="AM91" s="27">
        <f t="shared" si="56"/>
        <v>8.7090926783571714</v>
      </c>
      <c r="AN91" s="27">
        <f t="shared" si="57"/>
        <v>124.75971824661538</v>
      </c>
      <c r="AO91" s="29" t="e">
        <f t="shared" si="58"/>
        <v>#VALUE!</v>
      </c>
      <c r="AP91" s="29" t="e">
        <f t="shared" si="59"/>
        <v>#VALUE!</v>
      </c>
      <c r="AQ91" s="27">
        <f t="shared" si="60"/>
        <v>14.325225698499429</v>
      </c>
      <c r="AR91" s="14">
        <f t="shared" si="61"/>
        <v>126.58057418416443</v>
      </c>
      <c r="AS91" s="25">
        <v>0.36620000000000003</v>
      </c>
      <c r="AT91" s="22">
        <f t="shared" si="62"/>
        <v>0.41242304730142942</v>
      </c>
      <c r="AU91" s="22">
        <f t="shared" si="63"/>
        <v>4.6223047301429399E-2</v>
      </c>
      <c r="AV91" s="15"/>
      <c r="AW91" s="22"/>
      <c r="AX91" s="34">
        <f t="shared" si="64"/>
        <v>462.23047301429398</v>
      </c>
      <c r="AY91" s="14">
        <f t="shared" si="65"/>
        <v>-21.624075376516434</v>
      </c>
      <c r="AZ91" s="25">
        <v>1.0819000000000001</v>
      </c>
      <c r="BA91" s="22">
        <f t="shared" si="66"/>
        <v>1.0874456379926938</v>
      </c>
      <c r="BB91" s="38">
        <f t="shared" si="67"/>
        <v>5.5456379926936972E-3</v>
      </c>
      <c r="BC91" s="15"/>
      <c r="BD91" s="38"/>
      <c r="BE91" s="38">
        <f t="shared" si="68"/>
        <v>55.456379926936975</v>
      </c>
    </row>
    <row r="92" spans="1:57" ht="15.75">
      <c r="A92" s="67">
        <v>131</v>
      </c>
      <c r="B92" s="66">
        <v>5</v>
      </c>
      <c r="C92" s="66" t="s">
        <v>415</v>
      </c>
      <c r="D92" s="66" t="s">
        <v>409</v>
      </c>
      <c r="E92" s="66" t="s">
        <v>437</v>
      </c>
      <c r="F92" s="66" t="s">
        <v>411</v>
      </c>
      <c r="G92" s="66"/>
      <c r="H92" s="66" t="s">
        <v>431</v>
      </c>
      <c r="I92" s="66">
        <v>100</v>
      </c>
      <c r="J92" s="66">
        <v>20</v>
      </c>
      <c r="K92" s="66">
        <v>30</v>
      </c>
      <c r="L92" s="66" t="s">
        <v>473</v>
      </c>
      <c r="M92" s="66">
        <v>1</v>
      </c>
      <c r="N92"/>
      <c r="O92"/>
      <c r="P92"/>
      <c r="Q92" s="108">
        <v>10</v>
      </c>
      <c r="R92" s="53">
        <v>8</v>
      </c>
      <c r="S92" s="53">
        <f t="shared" si="69"/>
        <v>2</v>
      </c>
      <c r="T92" s="82">
        <v>197</v>
      </c>
      <c r="U92" s="82" t="s">
        <v>277</v>
      </c>
      <c r="V92" s="83">
        <v>1.5198905</v>
      </c>
      <c r="W92" s="83">
        <v>316.57596651156825</v>
      </c>
      <c r="X92" s="83">
        <v>0.96864193750000005</v>
      </c>
      <c r="Y92" s="83">
        <v>-15.271659952923121</v>
      </c>
      <c r="Z92" s="71" t="s">
        <v>106</v>
      </c>
      <c r="AA92" s="73">
        <v>5.5661983611111108</v>
      </c>
      <c r="AB92" s="73">
        <v>3.0248816727959098</v>
      </c>
      <c r="AC92" s="73">
        <v>3.9982883888888887</v>
      </c>
      <c r="AD92" s="73">
        <v>-25.508901929003891</v>
      </c>
      <c r="AE92" s="73">
        <v>2.2461111111111109</v>
      </c>
      <c r="AF92" s="73">
        <v>2.2461111111111109</v>
      </c>
      <c r="AG92" s="32">
        <f t="shared" si="50"/>
        <v>1.1379460310984945E-2</v>
      </c>
      <c r="AH92" s="32">
        <f t="shared" si="51"/>
        <v>0.25846953038557846</v>
      </c>
      <c r="AI92" s="33">
        <f t="shared" si="52"/>
        <v>1.7295533621793063E-2</v>
      </c>
      <c r="AJ92" s="34">
        <f t="shared" si="53"/>
        <v>0.25036442669740183</v>
      </c>
      <c r="AK92" s="16">
        <f t="shared" si="54"/>
        <v>7.3506017892620524E-3</v>
      </c>
      <c r="AL92" s="16">
        <f t="shared" si="55"/>
        <v>0.10640488134639577</v>
      </c>
      <c r="AM92" s="27">
        <f t="shared" si="56"/>
        <v>7.3506017892620523</v>
      </c>
      <c r="AN92" s="27">
        <f t="shared" si="57"/>
        <v>106.40488134639577</v>
      </c>
      <c r="AO92" s="29" t="e">
        <f t="shared" si="58"/>
        <v>#VALUE!</v>
      </c>
      <c r="AP92" s="29" t="e">
        <f t="shared" si="59"/>
        <v>#VALUE!</v>
      </c>
      <c r="AQ92" s="27">
        <f t="shared" si="60"/>
        <v>14.475669393740628</v>
      </c>
      <c r="AR92" s="14">
        <f t="shared" si="61"/>
        <v>315.53108483877236</v>
      </c>
      <c r="AS92" s="25">
        <v>0.36620000000000003</v>
      </c>
      <c r="AT92" s="22">
        <f t="shared" si="62"/>
        <v>0.48126189610454162</v>
      </c>
      <c r="AU92" s="22">
        <f t="shared" si="63"/>
        <v>0.11506189610454159</v>
      </c>
      <c r="AV92" s="15"/>
      <c r="AW92" s="22"/>
      <c r="AX92" s="34">
        <f t="shared" si="64"/>
        <v>1150.6189610454157</v>
      </c>
      <c r="AY92" s="14">
        <f t="shared" si="65"/>
        <v>-15.792758023919232</v>
      </c>
      <c r="AZ92" s="25">
        <v>1.0819000000000001</v>
      </c>
      <c r="BA92" s="22">
        <f t="shared" si="66"/>
        <v>1.0938561356464065</v>
      </c>
      <c r="BB92" s="38">
        <f t="shared" si="67"/>
        <v>1.1956135646406407E-2</v>
      </c>
      <c r="BC92" s="15"/>
      <c r="BD92" s="38"/>
      <c r="BE92" s="38">
        <f t="shared" si="68"/>
        <v>119.56135646406408</v>
      </c>
    </row>
    <row r="93" spans="1:57" ht="15.75">
      <c r="A93" s="67">
        <v>132</v>
      </c>
      <c r="B93" s="66">
        <v>5</v>
      </c>
      <c r="C93" s="66" t="s">
        <v>417</v>
      </c>
      <c r="D93" s="66" t="s">
        <v>426</v>
      </c>
      <c r="E93" s="66" t="s">
        <v>437</v>
      </c>
      <c r="F93" s="66" t="s">
        <v>411</v>
      </c>
      <c r="G93" s="66"/>
      <c r="H93" s="66" t="s">
        <v>431</v>
      </c>
      <c r="I93" s="66">
        <v>100</v>
      </c>
      <c r="J93" s="66">
        <v>20</v>
      </c>
      <c r="K93" s="66">
        <v>30</v>
      </c>
      <c r="L93" s="66" t="s">
        <v>474</v>
      </c>
      <c r="M93" s="66">
        <v>1</v>
      </c>
      <c r="N93"/>
      <c r="O93"/>
      <c r="P93"/>
      <c r="Q93" s="108">
        <v>10</v>
      </c>
      <c r="R93" s="53">
        <v>8</v>
      </c>
      <c r="S93" s="53">
        <f t="shared" si="69"/>
        <v>2</v>
      </c>
      <c r="T93" s="80">
        <v>198</v>
      </c>
      <c r="U93" s="80" t="s">
        <v>278</v>
      </c>
      <c r="V93" s="81">
        <v>0.57831025000000003</v>
      </c>
      <c r="W93" s="81">
        <v>918.99483200276165</v>
      </c>
      <c r="X93" s="81">
        <v>0.34945674999999998</v>
      </c>
      <c r="Y93" s="81">
        <v>-10.115489720315953</v>
      </c>
      <c r="Z93" s="71" t="s">
        <v>54</v>
      </c>
      <c r="AA93" s="73">
        <v>5.5661983611111108</v>
      </c>
      <c r="AB93" s="73">
        <v>3.0248816727959098</v>
      </c>
      <c r="AC93" s="73">
        <v>3.9982883888888887</v>
      </c>
      <c r="AD93" s="73">
        <v>-25.508901929003891</v>
      </c>
      <c r="AE93" s="73">
        <v>2.2461111111111109</v>
      </c>
      <c r="AF93" s="73">
        <v>2.2461111111111109</v>
      </c>
      <c r="AG93" s="32">
        <f t="shared" si="50"/>
        <v>1.1379460310984945E-2</v>
      </c>
      <c r="AH93" s="32">
        <f t="shared" si="51"/>
        <v>0.25846953038557846</v>
      </c>
      <c r="AI93" s="33">
        <f t="shared" si="52"/>
        <v>6.580858537310782E-3</v>
      </c>
      <c r="AJ93" s="34">
        <f t="shared" si="53"/>
        <v>9.0323922062570491E-2</v>
      </c>
      <c r="AK93" s="16">
        <f t="shared" si="54"/>
        <v>2.7968648783570824E-3</v>
      </c>
      <c r="AL93" s="16">
        <f t="shared" si="55"/>
        <v>3.8387666876592459E-2</v>
      </c>
      <c r="AM93" s="27">
        <f t="shared" si="56"/>
        <v>2.7968648783570824</v>
      </c>
      <c r="AN93" s="27">
        <f t="shared" si="57"/>
        <v>38.387666876592462</v>
      </c>
      <c r="AO93" s="29" t="e">
        <f t="shared" si="58"/>
        <v>#VALUE!</v>
      </c>
      <c r="AP93" s="29" t="e">
        <f t="shared" si="59"/>
        <v>#VALUE!</v>
      </c>
      <c r="AQ93" s="27">
        <f t="shared" si="60"/>
        <v>13.725249000638856</v>
      </c>
      <c r="AR93" s="14">
        <f t="shared" si="61"/>
        <v>917.94995032996576</v>
      </c>
      <c r="AS93" s="25">
        <v>0.36620000000000003</v>
      </c>
      <c r="AT93" s="22">
        <f t="shared" si="62"/>
        <v>0.7001024108929832</v>
      </c>
      <c r="AU93" s="22">
        <f t="shared" si="63"/>
        <v>0.33390241089298317</v>
      </c>
      <c r="AV93" s="15"/>
      <c r="AW93" s="22"/>
      <c r="AX93" s="34">
        <f t="shared" si="64"/>
        <v>3339.0241089298315</v>
      </c>
      <c r="AY93" s="14">
        <f t="shared" si="65"/>
        <v>-10.636587791312063</v>
      </c>
      <c r="AZ93" s="25">
        <v>1.0819000000000001</v>
      </c>
      <c r="BA93" s="22">
        <f t="shared" si="66"/>
        <v>1.0995237368144652</v>
      </c>
      <c r="BB93" s="38">
        <f t="shared" si="67"/>
        <v>1.7623736814465163E-2</v>
      </c>
      <c r="BC93" s="15"/>
      <c r="BD93" s="38"/>
      <c r="BE93" s="38">
        <f t="shared" si="68"/>
        <v>176.23736814465164</v>
      </c>
    </row>
    <row r="94" spans="1:57" ht="15.75">
      <c r="A94" s="67">
        <v>133</v>
      </c>
      <c r="B94" s="66">
        <v>5</v>
      </c>
      <c r="C94" s="66" t="s">
        <v>419</v>
      </c>
      <c r="D94" s="66" t="s">
        <v>418</v>
      </c>
      <c r="E94" s="66" t="s">
        <v>437</v>
      </c>
      <c r="F94" s="66" t="s">
        <v>411</v>
      </c>
      <c r="G94" s="66"/>
      <c r="H94" s="66" t="s">
        <v>431</v>
      </c>
      <c r="I94" s="66">
        <v>100</v>
      </c>
      <c r="J94" s="66">
        <v>20</v>
      </c>
      <c r="K94" s="66">
        <v>30</v>
      </c>
      <c r="L94" s="66" t="s">
        <v>475</v>
      </c>
      <c r="M94" s="66">
        <v>1</v>
      </c>
      <c r="N94"/>
      <c r="O94"/>
      <c r="P94"/>
      <c r="Q94" s="108">
        <v>10</v>
      </c>
      <c r="R94" s="53">
        <v>8</v>
      </c>
      <c r="S94" s="53">
        <f t="shared" si="69"/>
        <v>2</v>
      </c>
      <c r="T94" s="82">
        <v>199</v>
      </c>
      <c r="U94" s="82" t="s">
        <v>279</v>
      </c>
      <c r="V94" s="83">
        <v>0.90880312500000004</v>
      </c>
      <c r="W94" s="83">
        <v>51.07962408050259</v>
      </c>
      <c r="X94" s="83">
        <v>0.51642774999999996</v>
      </c>
      <c r="Y94" s="83">
        <v>-23.027144715921139</v>
      </c>
      <c r="Z94" s="71" t="s">
        <v>54</v>
      </c>
      <c r="AA94" s="73">
        <v>5.5661983611111108</v>
      </c>
      <c r="AB94" s="73">
        <v>3.0248816727959098</v>
      </c>
      <c r="AC94" s="73">
        <v>3.9982883888888887</v>
      </c>
      <c r="AD94" s="73">
        <v>-25.508901929003891</v>
      </c>
      <c r="AE94" s="73">
        <v>2.2461111111111109</v>
      </c>
      <c r="AF94" s="73">
        <v>2.2461111111111109</v>
      </c>
      <c r="AG94" s="32">
        <f t="shared" ref="AG94:AG132" si="70">((2.82/100)*AE94)/AA94</f>
        <v>1.1379460310984945E-2</v>
      </c>
      <c r="AH94" s="32">
        <f t="shared" ref="AH94:AH132" si="71">((46.01/100)*AF94)/AC94</f>
        <v>0.25846953038557846</v>
      </c>
      <c r="AI94" s="33">
        <f t="shared" ref="AI94:AI132" si="72">V94*AG94</f>
        <v>1.034168909143659E-2</v>
      </c>
      <c r="AJ94" s="34">
        <f t="shared" ref="AJ94:AJ132" si="73">X94*AH94</f>
        <v>0.13348083802058092</v>
      </c>
      <c r="AK94" s="16">
        <f t="shared" ref="AK94:AK132" si="74">((AI94/K94)*(100+S94))/(R94)</f>
        <v>4.3952178638605507E-3</v>
      </c>
      <c r="AL94" s="16">
        <f t="shared" ref="AL94:AL132" si="75">((AJ94/K94)*(100+S94))/(R94)</f>
        <v>5.6729356158746885E-2</v>
      </c>
      <c r="AM94" s="27">
        <f t="shared" ref="AM94:AM132" si="76">AK94*1000</f>
        <v>4.3952178638605508</v>
      </c>
      <c r="AN94" s="27">
        <f t="shared" ref="AN94:AN132" si="77">AL94*1000</f>
        <v>56.729356158746889</v>
      </c>
      <c r="AO94" s="29" t="e">
        <f t="shared" ref="AO94:AO132" si="78">AI94*100/Z94</f>
        <v>#VALUE!</v>
      </c>
      <c r="AP94" s="29" t="e">
        <f t="shared" ref="AP94:AP132" si="79">AJ94*100/Z94</f>
        <v>#VALUE!</v>
      </c>
      <c r="AQ94" s="27">
        <f t="shared" ref="AQ94:AQ132" si="80">AJ94/AI94</f>
        <v>12.907063521287775</v>
      </c>
      <c r="AR94" s="14">
        <f t="shared" ref="AR94:AR132" si="81">W94+(1.98-AB94)</f>
        <v>50.03474240770668</v>
      </c>
      <c r="AS94" s="25">
        <v>0.36620000000000003</v>
      </c>
      <c r="AT94" s="22">
        <f t="shared" ref="AT94:AT132" si="82">100*0.003676*(AR94/1000+1)/(1+0.003676*(AR94/1000+1))</f>
        <v>0.38450859592374537</v>
      </c>
      <c r="AU94" s="22">
        <f t="shared" ref="AU94:AU132" si="83">AT94-AS94</f>
        <v>1.8308595923745341E-2</v>
      </c>
      <c r="AV94" s="15"/>
      <c r="AW94" s="22"/>
      <c r="AX94" s="34">
        <f t="shared" ref="AX94:AX132" si="84">(((AI94*(AU94%))/AI94)*1000)*1000</f>
        <v>183.08595923745341</v>
      </c>
      <c r="AY94" s="14">
        <f t="shared" ref="AY94:AY132" si="85">Y94+(-26.03-AD94)</f>
        <v>-23.54824278691725</v>
      </c>
      <c r="AZ94" s="25">
        <v>1.0819000000000001</v>
      </c>
      <c r="BA94" s="22">
        <f t="shared" ref="BA94:BA132" si="86">100*0.011237*(AY94/1000+1)/(1+0.011237*(AY94/1000+1))</f>
        <v>1.0853301753586209</v>
      </c>
      <c r="BB94" s="38">
        <f t="shared" ref="BB94:BB132" si="87">BA94-AZ94</f>
        <v>3.4301753586207795E-3</v>
      </c>
      <c r="BC94" s="58">
        <f t="shared" ref="BC94:BC132" si="88">1.12461*AL94+0.0077</f>
        <v>7.1498401229688341E-2</v>
      </c>
      <c r="BD94" s="38">
        <f t="shared" ref="BD94:BD132" si="89">((BB94%)*BC94)*1000</f>
        <v>2.4525205407885859E-3</v>
      </c>
      <c r="BE94" s="38">
        <f t="shared" ref="BE94:BE132" si="90">(((AJ94*(BB94%))/AJ94)*1000)*1000</f>
        <v>34.301753586207795</v>
      </c>
    </row>
    <row r="95" spans="1:57" ht="15.75">
      <c r="A95" s="67">
        <v>134</v>
      </c>
      <c r="B95" s="66">
        <v>5</v>
      </c>
      <c r="C95" s="66" t="s">
        <v>421</v>
      </c>
      <c r="D95" s="66" t="s">
        <v>416</v>
      </c>
      <c r="E95" s="66" t="s">
        <v>437</v>
      </c>
      <c r="F95" s="66" t="s">
        <v>411</v>
      </c>
      <c r="G95" s="66"/>
      <c r="H95" s="66" t="s">
        <v>431</v>
      </c>
      <c r="I95" s="66">
        <v>100</v>
      </c>
      <c r="J95" s="66">
        <v>20</v>
      </c>
      <c r="K95" s="66">
        <v>30</v>
      </c>
      <c r="L95" s="66" t="s">
        <v>476</v>
      </c>
      <c r="M95" s="66">
        <v>1</v>
      </c>
      <c r="N95"/>
      <c r="O95"/>
      <c r="P95"/>
      <c r="Q95" s="108">
        <v>10</v>
      </c>
      <c r="R95" s="53">
        <v>8</v>
      </c>
      <c r="S95" s="53">
        <f t="shared" si="69"/>
        <v>2</v>
      </c>
      <c r="T95" s="80">
        <v>200</v>
      </c>
      <c r="U95" s="80" t="s">
        <v>280</v>
      </c>
      <c r="V95" s="81">
        <v>0.74520900000000001</v>
      </c>
      <c r="W95" s="81">
        <v>204.72892060144002</v>
      </c>
      <c r="X95" s="81">
        <v>0.47822825000000002</v>
      </c>
      <c r="Y95" s="81">
        <v>-19.812138448850384</v>
      </c>
      <c r="Z95" s="71" t="s">
        <v>54</v>
      </c>
      <c r="AA95" s="73">
        <v>5.5661983611111108</v>
      </c>
      <c r="AB95" s="73">
        <v>3.0248816727959098</v>
      </c>
      <c r="AC95" s="73">
        <v>3.9982883888888887</v>
      </c>
      <c r="AD95" s="73">
        <v>-25.508901929003891</v>
      </c>
      <c r="AE95" s="73">
        <v>2.2461111111111109</v>
      </c>
      <c r="AF95" s="73">
        <v>2.2461111111111109</v>
      </c>
      <c r="AG95" s="32">
        <f t="shared" si="70"/>
        <v>1.1379460310984945E-2</v>
      </c>
      <c r="AH95" s="32">
        <f t="shared" si="71"/>
        <v>0.25846953038557846</v>
      </c>
      <c r="AI95" s="33">
        <f t="shared" si="72"/>
        <v>8.4800762388887799E-3</v>
      </c>
      <c r="AJ95" s="34">
        <f t="shared" si="73"/>
        <v>0.12360743119461702</v>
      </c>
      <c r="AK95" s="16">
        <f t="shared" si="74"/>
        <v>3.6040324015277317E-3</v>
      </c>
      <c r="AL95" s="16">
        <f t="shared" si="75"/>
        <v>5.253315825771223E-2</v>
      </c>
      <c r="AM95" s="27">
        <f t="shared" si="76"/>
        <v>3.6040324015277316</v>
      </c>
      <c r="AN95" s="27">
        <f t="shared" si="77"/>
        <v>52.53315825771223</v>
      </c>
      <c r="AO95" s="29" t="e">
        <f t="shared" si="78"/>
        <v>#VALUE!</v>
      </c>
      <c r="AP95" s="29" t="e">
        <f t="shared" si="79"/>
        <v>#VALUE!</v>
      </c>
      <c r="AQ95" s="27">
        <f t="shared" si="80"/>
        <v>14.576216971701944</v>
      </c>
      <c r="AR95" s="14">
        <f t="shared" si="81"/>
        <v>203.6840389286441</v>
      </c>
      <c r="AS95" s="25">
        <v>0.36620000000000003</v>
      </c>
      <c r="AT95" s="22">
        <f t="shared" si="82"/>
        <v>0.44052504281895516</v>
      </c>
      <c r="AU95" s="22">
        <f t="shared" si="83"/>
        <v>7.4325042818955134E-2</v>
      </c>
      <c r="AV95" s="15"/>
      <c r="AW95" s="22"/>
      <c r="AX95" s="34">
        <f t="shared" si="84"/>
        <v>743.25042818955137</v>
      </c>
      <c r="AY95" s="14">
        <f t="shared" si="85"/>
        <v>-20.333236519846494</v>
      </c>
      <c r="AZ95" s="25">
        <v>1.0819000000000001</v>
      </c>
      <c r="BA95" s="22">
        <f t="shared" si="86"/>
        <v>1.0888647576464674</v>
      </c>
      <c r="BB95" s="38">
        <f t="shared" si="87"/>
        <v>6.9647576464673122E-3</v>
      </c>
      <c r="BC95" s="58">
        <f t="shared" si="88"/>
        <v>6.6779315108205756E-2</v>
      </c>
      <c r="BD95" s="38">
        <f t="shared" si="89"/>
        <v>4.6510174552572611E-3</v>
      </c>
      <c r="BE95" s="38">
        <f t="shared" si="90"/>
        <v>69.647576464673122</v>
      </c>
    </row>
    <row r="96" spans="1:57" ht="15.75">
      <c r="A96" s="67">
        <v>135</v>
      </c>
      <c r="B96" s="66">
        <v>5</v>
      </c>
      <c r="C96" s="66" t="s">
        <v>423</v>
      </c>
      <c r="D96" s="66" t="s">
        <v>422</v>
      </c>
      <c r="E96" s="66" t="s">
        <v>437</v>
      </c>
      <c r="F96" s="66" t="s">
        <v>411</v>
      </c>
      <c r="G96" s="66"/>
      <c r="H96" s="66" t="s">
        <v>431</v>
      </c>
      <c r="I96" s="66">
        <v>100</v>
      </c>
      <c r="J96" s="66">
        <v>20</v>
      </c>
      <c r="K96" s="66">
        <v>30</v>
      </c>
      <c r="L96" s="66" t="s">
        <v>477</v>
      </c>
      <c r="M96" s="66">
        <v>1</v>
      </c>
      <c r="N96"/>
      <c r="O96"/>
      <c r="P96"/>
      <c r="Q96" s="108">
        <v>10</v>
      </c>
      <c r="R96" s="53">
        <v>8</v>
      </c>
      <c r="S96" s="53">
        <f t="shared" si="69"/>
        <v>2</v>
      </c>
      <c r="T96" s="82">
        <v>201</v>
      </c>
      <c r="U96" s="82" t="s">
        <v>281</v>
      </c>
      <c r="V96" s="83">
        <v>3.6602285000000001</v>
      </c>
      <c r="W96" s="83">
        <v>294.77775269170206</v>
      </c>
      <c r="X96" s="83">
        <v>2.0633252500000001</v>
      </c>
      <c r="Y96" s="83">
        <v>-16.567687791503261</v>
      </c>
      <c r="Z96" s="71" t="s">
        <v>54</v>
      </c>
      <c r="AA96" s="73">
        <v>5.5661983611111108</v>
      </c>
      <c r="AB96" s="73">
        <v>3.0248816727959098</v>
      </c>
      <c r="AC96" s="73">
        <v>3.9982883888888887</v>
      </c>
      <c r="AD96" s="73">
        <v>-25.508901929003891</v>
      </c>
      <c r="AE96" s="73">
        <v>2.2461111111111109</v>
      </c>
      <c r="AF96" s="73">
        <v>2.2461111111111109</v>
      </c>
      <c r="AG96" s="32">
        <f t="shared" si="70"/>
        <v>1.1379460310984945E-2</v>
      </c>
      <c r="AH96" s="32">
        <f t="shared" si="71"/>
        <v>0.25846953038557846</v>
      </c>
      <c r="AI96" s="33">
        <f t="shared" si="72"/>
        <v>4.1651424944885961E-2</v>
      </c>
      <c r="AJ96" s="34">
        <f t="shared" si="73"/>
        <v>0.53330670840020633</v>
      </c>
      <c r="AK96" s="16">
        <f t="shared" si="74"/>
        <v>1.7701855601576534E-2</v>
      </c>
      <c r="AL96" s="16">
        <f t="shared" si="75"/>
        <v>0.22665535107008772</v>
      </c>
      <c r="AM96" s="27">
        <f t="shared" si="76"/>
        <v>17.701855601576533</v>
      </c>
      <c r="AN96" s="27">
        <f t="shared" si="77"/>
        <v>226.6553510700877</v>
      </c>
      <c r="AO96" s="29" t="e">
        <f t="shared" si="78"/>
        <v>#VALUE!</v>
      </c>
      <c r="AP96" s="29" t="e">
        <f t="shared" si="79"/>
        <v>#VALUE!</v>
      </c>
      <c r="AQ96" s="27">
        <f t="shared" si="80"/>
        <v>12.804044738106535</v>
      </c>
      <c r="AR96" s="14">
        <f t="shared" si="81"/>
        <v>293.73287101890617</v>
      </c>
      <c r="AS96" s="25">
        <v>0.36620000000000003</v>
      </c>
      <c r="AT96" s="22">
        <f t="shared" si="82"/>
        <v>0.47332518145889518</v>
      </c>
      <c r="AU96" s="22">
        <f t="shared" si="83"/>
        <v>0.10712518145889516</v>
      </c>
      <c r="AV96" s="15"/>
      <c r="AW96" s="22"/>
      <c r="AX96" s="34">
        <f t="shared" si="84"/>
        <v>1071.2518145889517</v>
      </c>
      <c r="AY96" s="14">
        <f t="shared" si="85"/>
        <v>-17.088785862499371</v>
      </c>
      <c r="AZ96" s="25">
        <v>1.0819000000000001</v>
      </c>
      <c r="BA96" s="22">
        <f t="shared" si="86"/>
        <v>1.0924314550586178</v>
      </c>
      <c r="BB96" s="38">
        <f t="shared" si="87"/>
        <v>1.0531455058617745E-2</v>
      </c>
      <c r="BC96" s="58">
        <f t="shared" si="88"/>
        <v>0.26259887436693136</v>
      </c>
      <c r="BD96" s="38">
        <f t="shared" si="89"/>
        <v>2.7655482438389448E-2</v>
      </c>
      <c r="BE96" s="38">
        <f t="shared" si="90"/>
        <v>105.31455058617745</v>
      </c>
    </row>
    <row r="97" spans="1:57" ht="15.75">
      <c r="A97" s="67">
        <v>136</v>
      </c>
      <c r="B97" s="66">
        <v>5</v>
      </c>
      <c r="C97" s="66" t="s">
        <v>425</v>
      </c>
      <c r="D97" s="66" t="s">
        <v>414</v>
      </c>
      <c r="E97" s="66" t="s">
        <v>437</v>
      </c>
      <c r="F97" s="66" t="s">
        <v>411</v>
      </c>
      <c r="G97" s="66"/>
      <c r="H97" s="66" t="s">
        <v>431</v>
      </c>
      <c r="I97" s="66">
        <v>100</v>
      </c>
      <c r="J97" s="66">
        <v>20</v>
      </c>
      <c r="K97" s="66">
        <v>30</v>
      </c>
      <c r="L97" s="66" t="s">
        <v>478</v>
      </c>
      <c r="M97" s="66">
        <v>1</v>
      </c>
      <c r="N97"/>
      <c r="O97"/>
      <c r="P97"/>
      <c r="Q97" s="108">
        <v>10</v>
      </c>
      <c r="R97" s="53">
        <v>8</v>
      </c>
      <c r="S97" s="53">
        <f t="shared" si="69"/>
        <v>2</v>
      </c>
      <c r="T97" s="80">
        <v>202</v>
      </c>
      <c r="U97" s="80" t="s">
        <v>282</v>
      </c>
      <c r="V97" s="81">
        <v>1.8938012500000001</v>
      </c>
      <c r="W97" s="81">
        <v>782.75658044388638</v>
      </c>
      <c r="X97" s="81">
        <v>0.95136162499999999</v>
      </c>
      <c r="Y97" s="81">
        <v>-19.01846302463489</v>
      </c>
      <c r="Z97" s="71" t="s">
        <v>54</v>
      </c>
      <c r="AA97" s="73">
        <v>5.5661983611111108</v>
      </c>
      <c r="AB97" s="73">
        <v>3.0248816727959098</v>
      </c>
      <c r="AC97" s="73">
        <v>3.9982883888888887</v>
      </c>
      <c r="AD97" s="73">
        <v>-25.508901929003891</v>
      </c>
      <c r="AE97" s="73">
        <v>2.2461111111111109</v>
      </c>
      <c r="AF97" s="73">
        <v>2.2461111111111109</v>
      </c>
      <c r="AG97" s="32">
        <f t="shared" si="70"/>
        <v>1.1379460310984945E-2</v>
      </c>
      <c r="AH97" s="32">
        <f t="shared" si="71"/>
        <v>0.25846953038557846</v>
      </c>
      <c r="AI97" s="33">
        <f t="shared" si="72"/>
        <v>2.1550436161268678E-2</v>
      </c>
      <c r="AJ97" s="34">
        <f t="shared" si="73"/>
        <v>0.24589799244061081</v>
      </c>
      <c r="AK97" s="16">
        <f t="shared" si="74"/>
        <v>9.158935368539187E-3</v>
      </c>
      <c r="AL97" s="16">
        <f t="shared" si="75"/>
        <v>0.10450664678725959</v>
      </c>
      <c r="AM97" s="27">
        <f t="shared" si="76"/>
        <v>9.1589353685391863</v>
      </c>
      <c r="AN97" s="27">
        <f t="shared" si="77"/>
        <v>104.50664678725958</v>
      </c>
      <c r="AO97" s="29" t="e">
        <f t="shared" si="78"/>
        <v>#VALUE!</v>
      </c>
      <c r="AP97" s="29" t="e">
        <f t="shared" si="79"/>
        <v>#VALUE!</v>
      </c>
      <c r="AQ97" s="27">
        <f t="shared" si="80"/>
        <v>11.41034875584322</v>
      </c>
      <c r="AR97" s="14">
        <f t="shared" si="81"/>
        <v>781.71169877109048</v>
      </c>
      <c r="AS97" s="25">
        <v>0.36620000000000003</v>
      </c>
      <c r="AT97" s="22">
        <f t="shared" si="82"/>
        <v>0.65069544367663479</v>
      </c>
      <c r="AU97" s="22">
        <f t="shared" si="83"/>
        <v>0.28449544367663476</v>
      </c>
      <c r="AV97" s="15"/>
      <c r="AW97" s="22"/>
      <c r="AX97" s="34">
        <f t="shared" si="84"/>
        <v>2844.9544367663475</v>
      </c>
      <c r="AY97" s="14">
        <f t="shared" si="85"/>
        <v>-19.539561095631001</v>
      </c>
      <c r="AZ97" s="25">
        <v>1.0819000000000001</v>
      </c>
      <c r="BA97" s="22">
        <f t="shared" si="86"/>
        <v>1.0897372866165445</v>
      </c>
      <c r="BB97" s="38">
        <f t="shared" si="87"/>
        <v>7.83728661654437E-3</v>
      </c>
      <c r="BC97" s="58">
        <f t="shared" si="88"/>
        <v>0.12522922004342002</v>
      </c>
      <c r="BD97" s="38">
        <f t="shared" si="89"/>
        <v>9.8145729024658578E-3</v>
      </c>
      <c r="BE97" s="38">
        <f t="shared" si="90"/>
        <v>78.372866165443696</v>
      </c>
    </row>
    <row r="98" spans="1:57" ht="15.75">
      <c r="A98" s="135"/>
      <c r="B98" s="136"/>
      <c r="C98" s="135"/>
      <c r="D98" s="135" t="s">
        <v>116</v>
      </c>
      <c r="E98" s="135"/>
      <c r="F98" s="135" t="s">
        <v>55</v>
      </c>
      <c r="G98" s="135"/>
      <c r="H98" s="135"/>
      <c r="I98" s="135"/>
      <c r="J98" s="135"/>
      <c r="K98" s="135"/>
      <c r="L98" s="135" t="s">
        <v>479</v>
      </c>
      <c r="M98" s="137">
        <v>1</v>
      </c>
      <c r="N98"/>
      <c r="O98"/>
      <c r="P98"/>
      <c r="Q98" s="108">
        <v>10</v>
      </c>
      <c r="R98" s="53">
        <v>8</v>
      </c>
      <c r="S98" s="53">
        <f t="shared" si="69"/>
        <v>2</v>
      </c>
      <c r="T98" s="82">
        <v>203</v>
      </c>
      <c r="U98" s="82" t="s">
        <v>283</v>
      </c>
      <c r="V98" s="83">
        <v>7.578919</v>
      </c>
      <c r="W98" s="83">
        <v>12.013730408903285</v>
      </c>
      <c r="X98" s="83">
        <v>5.1757084999999998</v>
      </c>
      <c r="Y98" s="83">
        <v>-25.290873794717328</v>
      </c>
      <c r="Z98" s="71">
        <v>3.024</v>
      </c>
      <c r="AA98" s="73">
        <v>5.5661983611111108</v>
      </c>
      <c r="AB98" s="73">
        <v>3.0248816727959098</v>
      </c>
      <c r="AC98" s="73">
        <v>3.9982883888888887</v>
      </c>
      <c r="AD98" s="73">
        <v>-25.508901929003891</v>
      </c>
      <c r="AE98" s="73">
        <v>2.2461111111111109</v>
      </c>
      <c r="AF98" s="73">
        <v>2.2461111111111109</v>
      </c>
      <c r="AG98" s="32">
        <f t="shared" si="70"/>
        <v>1.1379460310984945E-2</v>
      </c>
      <c r="AH98" s="32">
        <f t="shared" si="71"/>
        <v>0.25846953038557846</v>
      </c>
      <c r="AI98" s="33">
        <f t="shared" si="72"/>
        <v>8.6244007960669708E-2</v>
      </c>
      <c r="AJ98" s="34">
        <f t="shared" si="73"/>
        <v>1.3377629454076467</v>
      </c>
      <c r="AK98" s="16" t="e">
        <f t="shared" si="74"/>
        <v>#DIV/0!</v>
      </c>
      <c r="AL98" s="16" t="e">
        <f t="shared" si="75"/>
        <v>#DIV/0!</v>
      </c>
      <c r="AM98" s="27" t="e">
        <f t="shared" si="76"/>
        <v>#DIV/0!</v>
      </c>
      <c r="AN98" s="27" t="e">
        <f t="shared" si="77"/>
        <v>#DIV/0!</v>
      </c>
      <c r="AO98" s="29">
        <f t="shared" si="78"/>
        <v>2.8519843902337865</v>
      </c>
      <c r="AP98" s="29">
        <f t="shared" si="79"/>
        <v>44.238192639141758</v>
      </c>
      <c r="AQ98" s="27">
        <f t="shared" si="80"/>
        <v>15.511372639566027</v>
      </c>
      <c r="AR98" s="14">
        <f t="shared" si="81"/>
        <v>10.968848736107375</v>
      </c>
      <c r="AS98" s="25">
        <v>0.36620000000000003</v>
      </c>
      <c r="AT98" s="22">
        <f t="shared" si="82"/>
        <v>0.37025615787981708</v>
      </c>
      <c r="AU98" s="22">
        <f t="shared" si="83"/>
        <v>4.0561578798170572E-3</v>
      </c>
      <c r="AV98" s="15"/>
      <c r="AW98" s="22"/>
      <c r="AX98" s="34">
        <f t="shared" si="84"/>
        <v>40.561578798170572</v>
      </c>
      <c r="AY98" s="14">
        <f t="shared" si="85"/>
        <v>-25.811971865713438</v>
      </c>
      <c r="AZ98" s="25">
        <v>1.0819000000000001</v>
      </c>
      <c r="BA98" s="22">
        <f t="shared" si="86"/>
        <v>1.0828412769533586</v>
      </c>
      <c r="BB98" s="38">
        <f t="shared" si="87"/>
        <v>9.4127695335854966E-4</v>
      </c>
      <c r="BC98" s="58" t="e">
        <f t="shared" si="88"/>
        <v>#DIV/0!</v>
      </c>
      <c r="BD98" s="38" t="e">
        <f t="shared" si="89"/>
        <v>#DIV/0!</v>
      </c>
      <c r="BE98" s="38">
        <f t="shared" si="90"/>
        <v>9.4127695335854966</v>
      </c>
    </row>
    <row r="99" spans="1:57" ht="15.75">
      <c r="A99" s="67">
        <v>137</v>
      </c>
      <c r="B99" s="66">
        <v>6</v>
      </c>
      <c r="C99" s="66" t="s">
        <v>408</v>
      </c>
      <c r="D99" s="66" t="s">
        <v>422</v>
      </c>
      <c r="E99" s="66" t="s">
        <v>437</v>
      </c>
      <c r="F99" s="66" t="s">
        <v>411</v>
      </c>
      <c r="G99" s="66"/>
      <c r="H99" s="66" t="s">
        <v>432</v>
      </c>
      <c r="I99" s="66">
        <v>100</v>
      </c>
      <c r="J99" s="66">
        <v>20</v>
      </c>
      <c r="K99" s="66">
        <v>30</v>
      </c>
      <c r="L99" s="66" t="s">
        <v>62</v>
      </c>
      <c r="M99" s="66">
        <v>2</v>
      </c>
      <c r="N99"/>
      <c r="O99"/>
      <c r="P99"/>
      <c r="Q99" s="108">
        <v>10</v>
      </c>
      <c r="R99" s="53">
        <v>8</v>
      </c>
      <c r="S99" s="53">
        <f t="shared" si="69"/>
        <v>2</v>
      </c>
      <c r="T99" s="80">
        <v>204</v>
      </c>
      <c r="U99" s="80" t="s">
        <v>284</v>
      </c>
      <c r="V99" s="81">
        <v>0.71126362499999995</v>
      </c>
      <c r="W99" s="81">
        <v>251.08498373463692</v>
      </c>
      <c r="X99" s="81">
        <v>0.465487875</v>
      </c>
      <c r="Y99" s="81">
        <v>-18.864093238668779</v>
      </c>
      <c r="Z99" s="71" t="s">
        <v>54</v>
      </c>
      <c r="AA99" s="73">
        <v>5.5661983611111108</v>
      </c>
      <c r="AB99" s="73">
        <v>3.0248816727959098</v>
      </c>
      <c r="AC99" s="73">
        <v>3.9982883888888887</v>
      </c>
      <c r="AD99" s="73">
        <v>-25.508901929003891</v>
      </c>
      <c r="AE99" s="73">
        <v>2.2461111111111109</v>
      </c>
      <c r="AF99" s="73">
        <v>2.2461111111111109</v>
      </c>
      <c r="AG99" s="32">
        <f t="shared" si="70"/>
        <v>1.1379460310984945E-2</v>
      </c>
      <c r="AH99" s="32">
        <f t="shared" si="71"/>
        <v>0.25846953038557846</v>
      </c>
      <c r="AI99" s="33">
        <f t="shared" si="72"/>
        <v>8.0937961913347782E-3</v>
      </c>
      <c r="AJ99" s="34">
        <f t="shared" si="73"/>
        <v>0.12031443245143085</v>
      </c>
      <c r="AK99" s="16">
        <f t="shared" si="74"/>
        <v>3.4398633813172812E-3</v>
      </c>
      <c r="AL99" s="16">
        <f t="shared" si="75"/>
        <v>5.1133633791858112E-2</v>
      </c>
      <c r="AM99" s="27">
        <f t="shared" si="76"/>
        <v>3.4398633813172812</v>
      </c>
      <c r="AN99" s="27">
        <f t="shared" si="77"/>
        <v>51.133633791858109</v>
      </c>
      <c r="AO99" s="29" t="e">
        <f t="shared" si="78"/>
        <v>#VALUE!</v>
      </c>
      <c r="AP99" s="29" t="e">
        <f t="shared" si="79"/>
        <v>#VALUE!</v>
      </c>
      <c r="AQ99" s="27">
        <f t="shared" si="80"/>
        <v>14.865018788123123</v>
      </c>
      <c r="AR99" s="14">
        <f t="shared" si="81"/>
        <v>250.04010206184103</v>
      </c>
      <c r="AS99" s="25">
        <v>0.36620000000000003</v>
      </c>
      <c r="AT99" s="22">
        <f t="shared" si="82"/>
        <v>0.45741286198750114</v>
      </c>
      <c r="AU99" s="22">
        <f t="shared" si="83"/>
        <v>9.1212861987501115E-2</v>
      </c>
      <c r="AV99" s="15"/>
      <c r="AW99" s="22"/>
      <c r="AX99" s="34">
        <f t="shared" si="84"/>
        <v>912.12861987501117</v>
      </c>
      <c r="AY99" s="14">
        <f t="shared" si="85"/>
        <v>-19.38519130966489</v>
      </c>
      <c r="AZ99" s="25">
        <v>1.0819000000000001</v>
      </c>
      <c r="BA99" s="22">
        <f t="shared" si="86"/>
        <v>1.0899069916206179</v>
      </c>
      <c r="BB99" s="38">
        <f t="shared" si="87"/>
        <v>8.0069916206177982E-3</v>
      </c>
      <c r="BC99" s="58">
        <f t="shared" si="88"/>
        <v>6.5205395898661561E-2</v>
      </c>
      <c r="BD99" s="38">
        <f t="shared" si="89"/>
        <v>5.2209905857964929E-3</v>
      </c>
      <c r="BE99" s="38">
        <f t="shared" si="90"/>
        <v>80.069916206177979</v>
      </c>
    </row>
    <row r="100" spans="1:57" ht="15.75">
      <c r="A100" s="67">
        <v>138</v>
      </c>
      <c r="B100" s="66">
        <v>6</v>
      </c>
      <c r="C100" s="66" t="s">
        <v>413</v>
      </c>
      <c r="D100" s="66" t="s">
        <v>426</v>
      </c>
      <c r="E100" s="66" t="s">
        <v>437</v>
      </c>
      <c r="F100" s="66" t="s">
        <v>411</v>
      </c>
      <c r="G100" s="66"/>
      <c r="H100" s="66" t="s">
        <v>432</v>
      </c>
      <c r="I100" s="66">
        <v>100</v>
      </c>
      <c r="J100" s="66">
        <v>20</v>
      </c>
      <c r="K100" s="66">
        <v>30</v>
      </c>
      <c r="L100" s="66" t="s">
        <v>63</v>
      </c>
      <c r="M100" s="66">
        <v>2</v>
      </c>
      <c r="N100"/>
      <c r="O100"/>
      <c r="P100"/>
      <c r="Q100" s="108">
        <v>10</v>
      </c>
      <c r="R100" s="53">
        <v>8</v>
      </c>
      <c r="S100" s="53">
        <f t="shared" si="69"/>
        <v>2</v>
      </c>
      <c r="T100" s="82">
        <v>205</v>
      </c>
      <c r="U100" s="82" t="s">
        <v>285</v>
      </c>
      <c r="V100" s="83">
        <v>1.4404524999999999</v>
      </c>
      <c r="W100" s="83">
        <v>285.09597528976775</v>
      </c>
      <c r="X100" s="83">
        <v>0.84652125</v>
      </c>
      <c r="Y100" s="83">
        <v>-18.324338910358772</v>
      </c>
      <c r="Z100" s="71" t="s">
        <v>54</v>
      </c>
      <c r="AA100" s="73">
        <v>5.5661983611111108</v>
      </c>
      <c r="AB100" s="73">
        <v>3.0248816727959098</v>
      </c>
      <c r="AC100" s="73">
        <v>3.9982883888888887</v>
      </c>
      <c r="AD100" s="73">
        <v>-25.508901929003891</v>
      </c>
      <c r="AE100" s="73">
        <v>2.2461111111111109</v>
      </c>
      <c r="AF100" s="73">
        <v>2.2461111111111109</v>
      </c>
      <c r="AG100" s="32">
        <f t="shared" si="70"/>
        <v>1.1379460310984945E-2</v>
      </c>
      <c r="AH100" s="32">
        <f t="shared" si="71"/>
        <v>0.25846953038557846</v>
      </c>
      <c r="AI100" s="33">
        <f t="shared" si="72"/>
        <v>1.6391572053609041E-2</v>
      </c>
      <c r="AJ100" s="34">
        <f t="shared" si="73"/>
        <v>0.21879994994891286</v>
      </c>
      <c r="AK100" s="16">
        <f t="shared" si="74"/>
        <v>6.9664181227838424E-3</v>
      </c>
      <c r="AL100" s="16">
        <f t="shared" si="75"/>
        <v>9.2989978728287973E-2</v>
      </c>
      <c r="AM100" s="27">
        <f t="shared" si="76"/>
        <v>6.9664181227838426</v>
      </c>
      <c r="AN100" s="27">
        <f t="shared" si="77"/>
        <v>92.989978728287966</v>
      </c>
      <c r="AO100" s="29" t="e">
        <f t="shared" si="78"/>
        <v>#VALUE!</v>
      </c>
      <c r="AP100" s="29" t="e">
        <f t="shared" si="79"/>
        <v>#VALUE!</v>
      </c>
      <c r="AQ100" s="27"/>
      <c r="AR100" s="14"/>
      <c r="AS100" s="25"/>
      <c r="AT100" s="22"/>
      <c r="AU100" s="22"/>
      <c r="AV100" s="15"/>
      <c r="AW100" s="22"/>
      <c r="AX100" s="34"/>
      <c r="AY100" s="14">
        <f t="shared" si="85"/>
        <v>-18.845436981354883</v>
      </c>
      <c r="AZ100" s="25">
        <v>1.0819000000000001</v>
      </c>
      <c r="BA100" s="22">
        <f t="shared" si="86"/>
        <v>1.0905003609981916</v>
      </c>
      <c r="BB100" s="38">
        <f t="shared" si="87"/>
        <v>8.600360998191503E-3</v>
      </c>
      <c r="BC100" s="58">
        <f t="shared" si="88"/>
        <v>0.11227745997761994</v>
      </c>
      <c r="BD100" s="38">
        <f t="shared" si="89"/>
        <v>9.6562668776752989E-3</v>
      </c>
      <c r="BE100" s="38">
        <f t="shared" si="90"/>
        <v>86.003609981915034</v>
      </c>
    </row>
    <row r="101" spans="1:57" ht="15.75">
      <c r="A101" s="67">
        <v>139</v>
      </c>
      <c r="B101" s="66">
        <v>6</v>
      </c>
      <c r="C101" s="66" t="s">
        <v>415</v>
      </c>
      <c r="D101" s="66" t="s">
        <v>424</v>
      </c>
      <c r="E101" s="66" t="s">
        <v>437</v>
      </c>
      <c r="F101" s="66" t="s">
        <v>411</v>
      </c>
      <c r="G101" s="66"/>
      <c r="H101" s="66" t="s">
        <v>432</v>
      </c>
      <c r="I101" s="66">
        <v>100</v>
      </c>
      <c r="J101" s="66">
        <v>20</v>
      </c>
      <c r="K101" s="66">
        <v>30</v>
      </c>
      <c r="L101" s="66" t="s">
        <v>64</v>
      </c>
      <c r="M101" s="66">
        <v>2</v>
      </c>
      <c r="N101"/>
      <c r="O101"/>
      <c r="P101"/>
      <c r="Q101" s="108">
        <v>10</v>
      </c>
      <c r="R101" s="53">
        <v>8</v>
      </c>
      <c r="S101" s="53">
        <f t="shared" si="69"/>
        <v>2</v>
      </c>
      <c r="T101" s="80">
        <v>206</v>
      </c>
      <c r="U101" s="80" t="s">
        <v>286</v>
      </c>
      <c r="V101" s="81">
        <v>2.45942025</v>
      </c>
      <c r="W101" s="81">
        <v>174.70416726341358</v>
      </c>
      <c r="X101" s="81">
        <v>1.558738875</v>
      </c>
      <c r="Y101" s="81">
        <v>-21.499811449681115</v>
      </c>
      <c r="Z101" s="71" t="s">
        <v>54</v>
      </c>
      <c r="AA101" s="73">
        <v>5.5661983611111108</v>
      </c>
      <c r="AB101" s="73">
        <v>3.0248816727959098</v>
      </c>
      <c r="AC101" s="73">
        <v>3.9982883888888887</v>
      </c>
      <c r="AD101" s="73">
        <v>-25.508901929003891</v>
      </c>
      <c r="AE101" s="73">
        <v>2.2461111111111109</v>
      </c>
      <c r="AF101" s="73">
        <v>2.2461111111111109</v>
      </c>
      <c r="AG101" s="32">
        <f t="shared" si="70"/>
        <v>1.1379460310984945E-2</v>
      </c>
      <c r="AH101" s="32">
        <f t="shared" si="71"/>
        <v>0.25846953038557846</v>
      </c>
      <c r="AI101" s="33">
        <f t="shared" si="72"/>
        <v>2.7986875122907671E-2</v>
      </c>
      <c r="AJ101" s="34">
        <f t="shared" si="73"/>
        <v>0.4028865050149949</v>
      </c>
      <c r="AK101" s="16">
        <f t="shared" si="74"/>
        <v>1.1894421927235759E-2</v>
      </c>
      <c r="AL101" s="16">
        <f t="shared" si="75"/>
        <v>0.17122676463137282</v>
      </c>
      <c r="AM101" s="27">
        <f t="shared" si="76"/>
        <v>11.89442192723576</v>
      </c>
      <c r="AN101" s="27">
        <f t="shared" si="77"/>
        <v>171.22676463137282</v>
      </c>
      <c r="AO101" s="29" t="e">
        <f t="shared" si="78"/>
        <v>#VALUE!</v>
      </c>
      <c r="AP101" s="29" t="e">
        <f t="shared" si="79"/>
        <v>#VALUE!</v>
      </c>
      <c r="AQ101" s="27">
        <f t="shared" si="80"/>
        <v>14.39555160215891</v>
      </c>
      <c r="AR101" s="14">
        <f t="shared" si="81"/>
        <v>173.65928559061769</v>
      </c>
      <c r="AS101" s="25">
        <v>0.36620000000000003</v>
      </c>
      <c r="AT101" s="22">
        <f t="shared" si="82"/>
        <v>0.42958376939702858</v>
      </c>
      <c r="AU101" s="22">
        <f t="shared" si="83"/>
        <v>6.3383769397028555E-2</v>
      </c>
      <c r="AV101" s="15"/>
      <c r="AW101" s="22"/>
      <c r="AX101" s="34">
        <f t="shared" si="84"/>
        <v>633.8376939702855</v>
      </c>
      <c r="AY101" s="14">
        <f t="shared" si="85"/>
        <v>-22.020909520677225</v>
      </c>
      <c r="AZ101" s="25">
        <v>1.0819000000000001</v>
      </c>
      <c r="BA101" s="22">
        <f t="shared" si="86"/>
        <v>1.0870093591387109</v>
      </c>
      <c r="BB101" s="38">
        <f t="shared" si="87"/>
        <v>5.1093591387108006E-3</v>
      </c>
      <c r="BC101" s="58">
        <f t="shared" si="88"/>
        <v>0.20026333177208822</v>
      </c>
      <c r="BD101" s="38">
        <f t="shared" si="89"/>
        <v>1.0232172843383919E-2</v>
      </c>
      <c r="BE101" s="38">
        <f t="shared" si="90"/>
        <v>51.093591387108013</v>
      </c>
    </row>
    <row r="102" spans="1:57" ht="15.75">
      <c r="A102" s="67">
        <v>140</v>
      </c>
      <c r="B102" s="66">
        <v>6</v>
      </c>
      <c r="C102" s="66" t="s">
        <v>417</v>
      </c>
      <c r="D102" s="66" t="s">
        <v>409</v>
      </c>
      <c r="E102" s="66" t="s">
        <v>437</v>
      </c>
      <c r="F102" s="66" t="s">
        <v>411</v>
      </c>
      <c r="G102" s="66"/>
      <c r="H102" s="66" t="s">
        <v>432</v>
      </c>
      <c r="I102" s="66">
        <v>100</v>
      </c>
      <c r="J102" s="66">
        <v>20</v>
      </c>
      <c r="K102" s="66">
        <v>30</v>
      </c>
      <c r="L102" s="66" t="s">
        <v>65</v>
      </c>
      <c r="M102" s="66">
        <v>2</v>
      </c>
      <c r="N102"/>
      <c r="O102"/>
      <c r="P102"/>
      <c r="Q102" s="108">
        <v>10</v>
      </c>
      <c r="R102" s="53">
        <v>8</v>
      </c>
      <c r="S102" s="53">
        <f t="shared" si="69"/>
        <v>2</v>
      </c>
      <c r="T102" s="82">
        <v>207</v>
      </c>
      <c r="U102" s="82" t="s">
        <v>287</v>
      </c>
      <c r="V102" s="83">
        <v>1.4304345000000001</v>
      </c>
      <c r="W102" s="83">
        <v>567.47717248897368</v>
      </c>
      <c r="X102" s="83">
        <v>0.7679828125</v>
      </c>
      <c r="Y102" s="83">
        <v>-10.582755560947286</v>
      </c>
      <c r="Z102" s="71" t="s">
        <v>54</v>
      </c>
      <c r="AA102" s="73">
        <v>5.5661983611111108</v>
      </c>
      <c r="AB102" s="73">
        <v>3.0248816727959098</v>
      </c>
      <c r="AC102" s="73">
        <v>3.9982883888888887</v>
      </c>
      <c r="AD102" s="73">
        <v>-25.508901929003891</v>
      </c>
      <c r="AE102" s="73">
        <v>2.2461111111111109</v>
      </c>
      <c r="AF102" s="73">
        <v>2.2461111111111109</v>
      </c>
      <c r="AG102" s="32">
        <f t="shared" si="70"/>
        <v>1.1379460310984945E-2</v>
      </c>
      <c r="AH102" s="32">
        <f t="shared" si="71"/>
        <v>0.25846953038557846</v>
      </c>
      <c r="AI102" s="33">
        <f t="shared" si="72"/>
        <v>1.6277572620213596E-2</v>
      </c>
      <c r="AJ102" s="34">
        <f t="shared" si="73"/>
        <v>0.19850015689107076</v>
      </c>
      <c r="AK102" s="16">
        <f t="shared" si="74"/>
        <v>6.917968363590779E-3</v>
      </c>
      <c r="AL102" s="16">
        <f t="shared" si="75"/>
        <v>8.4362566678705064E-2</v>
      </c>
      <c r="AM102" s="27">
        <f t="shared" si="76"/>
        <v>6.9179683635907789</v>
      </c>
      <c r="AN102" s="27">
        <f t="shared" si="77"/>
        <v>84.362566678705065</v>
      </c>
      <c r="AO102" s="29" t="e">
        <f t="shared" si="78"/>
        <v>#VALUE!</v>
      </c>
      <c r="AP102" s="29" t="e">
        <f t="shared" si="79"/>
        <v>#VALUE!</v>
      </c>
      <c r="AQ102" s="27">
        <f t="shared" si="80"/>
        <v>12.194702583883544</v>
      </c>
      <c r="AR102" s="14">
        <f t="shared" si="81"/>
        <v>566.43229081617778</v>
      </c>
      <c r="AS102" s="25">
        <v>0.36620000000000003</v>
      </c>
      <c r="AT102" s="22">
        <f t="shared" si="82"/>
        <v>0.57252380063474495</v>
      </c>
      <c r="AU102" s="22">
        <f t="shared" si="83"/>
        <v>0.20632380063474492</v>
      </c>
      <c r="AV102" s="15"/>
      <c r="AW102" s="22"/>
      <c r="AX102" s="34">
        <f t="shared" si="84"/>
        <v>2063.2380063474493</v>
      </c>
      <c r="AY102" s="14">
        <f t="shared" si="85"/>
        <v>-11.103853631943396</v>
      </c>
      <c r="AZ102" s="25">
        <v>1.0819000000000001</v>
      </c>
      <c r="BA102" s="22">
        <f t="shared" si="86"/>
        <v>1.0990101505086245</v>
      </c>
      <c r="BB102" s="38">
        <f t="shared" si="87"/>
        <v>1.7110150508624411E-2</v>
      </c>
      <c r="BC102" s="58">
        <f t="shared" si="88"/>
        <v>0.10257498611253851</v>
      </c>
      <c r="BD102" s="38">
        <f t="shared" si="89"/>
        <v>1.7550734508055926E-2</v>
      </c>
      <c r="BE102" s="38">
        <f t="shared" si="90"/>
        <v>171.10150508624412</v>
      </c>
    </row>
    <row r="103" spans="1:57" ht="15.75">
      <c r="A103" s="67">
        <v>141</v>
      </c>
      <c r="B103" s="66">
        <v>6</v>
      </c>
      <c r="C103" s="66" t="s">
        <v>419</v>
      </c>
      <c r="D103" s="66" t="s">
        <v>416</v>
      </c>
      <c r="E103" s="66" t="s">
        <v>437</v>
      </c>
      <c r="F103" s="66" t="s">
        <v>411</v>
      </c>
      <c r="G103" s="66"/>
      <c r="H103" s="66" t="s">
        <v>432</v>
      </c>
      <c r="I103" s="66">
        <v>100</v>
      </c>
      <c r="J103" s="66">
        <v>20</v>
      </c>
      <c r="K103" s="66">
        <v>30</v>
      </c>
      <c r="L103" s="66" t="s">
        <v>66</v>
      </c>
      <c r="M103" s="66">
        <v>2</v>
      </c>
      <c r="N103"/>
      <c r="O103"/>
      <c r="P103"/>
      <c r="Q103" s="108">
        <v>10</v>
      </c>
      <c r="R103" s="53">
        <v>8</v>
      </c>
      <c r="S103" s="53">
        <f t="shared" si="69"/>
        <v>2</v>
      </c>
      <c r="T103" s="80">
        <v>208</v>
      </c>
      <c r="U103" s="80" t="s">
        <v>288</v>
      </c>
      <c r="V103" s="81">
        <v>0.63183362499999995</v>
      </c>
      <c r="W103" s="81">
        <v>1113.0381588839241</v>
      </c>
      <c r="X103" s="81">
        <v>0.39867009375000001</v>
      </c>
      <c r="Y103" s="81">
        <v>-10.600112800582764</v>
      </c>
      <c r="Z103" s="71" t="s">
        <v>54</v>
      </c>
      <c r="AA103" s="73">
        <v>5.5661983611111108</v>
      </c>
      <c r="AB103" s="73">
        <v>3.0248816727959098</v>
      </c>
      <c r="AC103" s="73">
        <v>3.9982883888888887</v>
      </c>
      <c r="AD103" s="73">
        <v>-25.508901929003891</v>
      </c>
      <c r="AE103" s="73">
        <v>2.2461111111111109</v>
      </c>
      <c r="AF103" s="73">
        <v>2.2461111111111109</v>
      </c>
      <c r="AG103" s="32">
        <f t="shared" si="70"/>
        <v>1.1379460310984945E-2</v>
      </c>
      <c r="AH103" s="32">
        <f t="shared" si="71"/>
        <v>0.25846953038557846</v>
      </c>
      <c r="AI103" s="33">
        <f t="shared" si="72"/>
        <v>7.1899256588332447E-3</v>
      </c>
      <c r="AJ103" s="34">
        <f t="shared" si="73"/>
        <v>0.10304407191033704</v>
      </c>
      <c r="AK103" s="16">
        <f t="shared" si="74"/>
        <v>3.055718405004129E-3</v>
      </c>
      <c r="AL103" s="16">
        <f t="shared" si="75"/>
        <v>4.3793730561893243E-2</v>
      </c>
      <c r="AM103" s="27">
        <f t="shared" si="76"/>
        <v>3.0557184050041291</v>
      </c>
      <c r="AN103" s="27">
        <f t="shared" si="77"/>
        <v>43.793730561893241</v>
      </c>
      <c r="AO103" s="29" t="e">
        <f t="shared" si="78"/>
        <v>#VALUE!</v>
      </c>
      <c r="AP103" s="29" t="e">
        <f t="shared" si="79"/>
        <v>#VALUE!</v>
      </c>
      <c r="AQ103" s="27">
        <f t="shared" si="80"/>
        <v>14.331729811940596</v>
      </c>
      <c r="AR103" s="14">
        <f t="shared" si="81"/>
        <v>1111.9932772111281</v>
      </c>
      <c r="AS103" s="25">
        <v>0.36620000000000003</v>
      </c>
      <c r="AT103" s="22">
        <f t="shared" si="82"/>
        <v>0.7703876796680883</v>
      </c>
      <c r="AU103" s="22">
        <f t="shared" si="83"/>
        <v>0.40418767966808827</v>
      </c>
      <c r="AV103" s="15"/>
      <c r="AW103" s="22"/>
      <c r="AX103" s="34">
        <f t="shared" si="84"/>
        <v>4041.8767966808823</v>
      </c>
      <c r="AY103" s="14">
        <f t="shared" si="85"/>
        <v>-11.121210871578874</v>
      </c>
      <c r="AZ103" s="25">
        <v>1.0819000000000001</v>
      </c>
      <c r="BA103" s="22">
        <f t="shared" si="86"/>
        <v>1.0989910725281244</v>
      </c>
      <c r="BB103" s="38">
        <f t="shared" si="87"/>
        <v>1.7091072528124363E-2</v>
      </c>
      <c r="BC103" s="58">
        <f t="shared" si="88"/>
        <v>5.6950867327210761E-2</v>
      </c>
      <c r="BD103" s="38">
        <f t="shared" si="89"/>
        <v>9.7335140402894718E-3</v>
      </c>
      <c r="BE103" s="38">
        <f t="shared" si="90"/>
        <v>170.91072528124363</v>
      </c>
    </row>
    <row r="104" spans="1:57" ht="15.75">
      <c r="A104" s="67">
        <v>142</v>
      </c>
      <c r="B104" s="66">
        <v>6</v>
      </c>
      <c r="C104" s="66" t="s">
        <v>421</v>
      </c>
      <c r="D104" s="66" t="s">
        <v>414</v>
      </c>
      <c r="E104" s="66" t="s">
        <v>437</v>
      </c>
      <c r="F104" s="66" t="s">
        <v>411</v>
      </c>
      <c r="G104" s="66"/>
      <c r="H104" s="66" t="s">
        <v>432</v>
      </c>
      <c r="I104" s="66">
        <v>100</v>
      </c>
      <c r="J104" s="66">
        <v>20</v>
      </c>
      <c r="K104" s="66">
        <v>30</v>
      </c>
      <c r="L104" s="66" t="s">
        <v>67</v>
      </c>
      <c r="M104" s="66">
        <v>2</v>
      </c>
      <c r="N104"/>
      <c r="O104"/>
      <c r="P104"/>
      <c r="Q104" s="108">
        <v>10</v>
      </c>
      <c r="R104" s="53">
        <v>8</v>
      </c>
      <c r="S104" s="53">
        <f t="shared" si="69"/>
        <v>2</v>
      </c>
      <c r="T104" s="82">
        <v>209</v>
      </c>
      <c r="U104" s="82" t="s">
        <v>289</v>
      </c>
      <c r="V104" s="83">
        <v>0.60733300000000001</v>
      </c>
      <c r="W104" s="83">
        <v>921.21176207329393</v>
      </c>
      <c r="X104" s="83">
        <v>0.327123</v>
      </c>
      <c r="Y104" s="83">
        <v>-5.6251269508420751</v>
      </c>
      <c r="Z104" s="71" t="s">
        <v>54</v>
      </c>
      <c r="AA104" s="73">
        <v>5.5661983611111108</v>
      </c>
      <c r="AB104" s="73">
        <v>3.0248816727959098</v>
      </c>
      <c r="AC104" s="73">
        <v>3.9982883888888887</v>
      </c>
      <c r="AD104" s="73">
        <v>-25.508901929003891</v>
      </c>
      <c r="AE104" s="73">
        <v>2.2461111111111109</v>
      </c>
      <c r="AF104" s="73">
        <v>2.2461111111111109</v>
      </c>
      <c r="AG104" s="32">
        <f t="shared" si="70"/>
        <v>1.1379460310984945E-2</v>
      </c>
      <c r="AH104" s="32">
        <f t="shared" si="71"/>
        <v>0.25846953038557846</v>
      </c>
      <c r="AI104" s="33">
        <f t="shared" si="72"/>
        <v>6.9111217690514199E-3</v>
      </c>
      <c r="AJ104" s="34">
        <f t="shared" si="73"/>
        <v>8.4551328188321576E-2</v>
      </c>
      <c r="AK104" s="16">
        <f t="shared" si="74"/>
        <v>2.9372267518468537E-3</v>
      </c>
      <c r="AL104" s="16">
        <f t="shared" si="75"/>
        <v>3.5934314480036672E-2</v>
      </c>
      <c r="AM104" s="27">
        <f t="shared" si="76"/>
        <v>2.9372267518468536</v>
      </c>
      <c r="AN104" s="27">
        <f t="shared" si="77"/>
        <v>35.934314480036669</v>
      </c>
      <c r="AO104" s="29" t="e">
        <f t="shared" si="78"/>
        <v>#VALUE!</v>
      </c>
      <c r="AP104" s="29" t="e">
        <f t="shared" si="79"/>
        <v>#VALUE!</v>
      </c>
      <c r="AQ104" s="27">
        <f t="shared" si="80"/>
        <v>12.234096144413122</v>
      </c>
      <c r="AR104" s="14">
        <f t="shared" si="81"/>
        <v>920.16688040049803</v>
      </c>
      <c r="AS104" s="25">
        <v>0.36620000000000003</v>
      </c>
      <c r="AT104" s="22">
        <f t="shared" si="82"/>
        <v>0.70090597694996803</v>
      </c>
      <c r="AU104" s="22">
        <f t="shared" si="83"/>
        <v>0.33470597694996801</v>
      </c>
      <c r="AV104" s="15"/>
      <c r="AW104" s="22"/>
      <c r="AX104" s="34">
        <f t="shared" si="84"/>
        <v>3347.05976949968</v>
      </c>
      <c r="AY104" s="14">
        <f t="shared" si="85"/>
        <v>-6.1462250218381858</v>
      </c>
      <c r="AZ104" s="25">
        <v>1.0819000000000001</v>
      </c>
      <c r="BA104" s="22">
        <f t="shared" si="86"/>
        <v>1.1044589611983398</v>
      </c>
      <c r="BB104" s="38">
        <f t="shared" si="87"/>
        <v>2.2558961198339667E-2</v>
      </c>
      <c r="BC104" s="58">
        <f t="shared" si="88"/>
        <v>4.8112089407394046E-2</v>
      </c>
      <c r="BD104" s="38">
        <f t="shared" si="89"/>
        <v>1.0853587581124511E-2</v>
      </c>
      <c r="BE104" s="38">
        <f t="shared" si="90"/>
        <v>225.58961198339665</v>
      </c>
    </row>
    <row r="105" spans="1:57" ht="15.75">
      <c r="A105" s="67">
        <v>143</v>
      </c>
      <c r="B105" s="66">
        <v>6</v>
      </c>
      <c r="C105" s="66" t="s">
        <v>423</v>
      </c>
      <c r="D105" s="66" t="s">
        <v>420</v>
      </c>
      <c r="E105" s="66" t="s">
        <v>437</v>
      </c>
      <c r="F105" s="66" t="s">
        <v>411</v>
      </c>
      <c r="G105" s="66"/>
      <c r="H105" s="66" t="s">
        <v>432</v>
      </c>
      <c r="I105" s="66">
        <v>100</v>
      </c>
      <c r="J105" s="66">
        <v>20</v>
      </c>
      <c r="K105" s="66">
        <v>30</v>
      </c>
      <c r="L105" s="66" t="s">
        <v>68</v>
      </c>
      <c r="M105" s="66">
        <v>2</v>
      </c>
      <c r="N105"/>
      <c r="O105"/>
      <c r="P105"/>
      <c r="Q105" s="108">
        <v>10</v>
      </c>
      <c r="R105" s="53">
        <v>8</v>
      </c>
      <c r="S105" s="53">
        <f t="shared" si="69"/>
        <v>2</v>
      </c>
      <c r="T105" s="80">
        <v>210</v>
      </c>
      <c r="U105" s="80" t="s">
        <v>290</v>
      </c>
      <c r="V105" s="81">
        <v>1.36788825</v>
      </c>
      <c r="W105" s="81">
        <v>789.80210283619442</v>
      </c>
      <c r="X105" s="81">
        <v>0.75002456250000005</v>
      </c>
      <c r="Y105" s="81">
        <v>-5.5910721918733639</v>
      </c>
      <c r="Z105" s="71" t="s">
        <v>54</v>
      </c>
      <c r="AA105" s="73">
        <v>5.5661983611111108</v>
      </c>
      <c r="AB105" s="73">
        <v>3.0248816727959098</v>
      </c>
      <c r="AC105" s="73">
        <v>3.9982883888888887</v>
      </c>
      <c r="AD105" s="73">
        <v>-25.508901929003891</v>
      </c>
      <c r="AE105" s="73">
        <v>2.2461111111111109</v>
      </c>
      <c r="AF105" s="73">
        <v>2.2461111111111109</v>
      </c>
      <c r="AG105" s="32">
        <f t="shared" si="70"/>
        <v>1.1379460310984945E-2</v>
      </c>
      <c r="AH105" s="32">
        <f t="shared" si="71"/>
        <v>0.25846953038557846</v>
      </c>
      <c r="AI105" s="33">
        <f t="shared" si="72"/>
        <v>1.5565830050737653E-2</v>
      </c>
      <c r="AJ105" s="34">
        <f t="shared" si="73"/>
        <v>0.19385849644702396</v>
      </c>
      <c r="AK105" s="16">
        <f t="shared" si="74"/>
        <v>6.615477771563503E-3</v>
      </c>
      <c r="AL105" s="16">
        <f t="shared" si="75"/>
        <v>8.2389860989985186E-2</v>
      </c>
      <c r="AM105" s="27">
        <f t="shared" si="76"/>
        <v>6.6154777715635031</v>
      </c>
      <c r="AN105" s="27">
        <f t="shared" si="77"/>
        <v>82.389860989985181</v>
      </c>
      <c r="AO105" s="29" t="e">
        <f t="shared" si="78"/>
        <v>#VALUE!</v>
      </c>
      <c r="AP105" s="29" t="e">
        <f t="shared" si="79"/>
        <v>#VALUE!</v>
      </c>
      <c r="AQ105" s="27">
        <f t="shared" si="80"/>
        <v>12.45410593685861</v>
      </c>
      <c r="AR105" s="14">
        <f t="shared" si="81"/>
        <v>788.75722116339853</v>
      </c>
      <c r="AS105" s="25">
        <v>0.36620000000000003</v>
      </c>
      <c r="AT105" s="22">
        <f t="shared" si="82"/>
        <v>0.65325171642658209</v>
      </c>
      <c r="AU105" s="22">
        <f t="shared" si="83"/>
        <v>0.28705171642658206</v>
      </c>
      <c r="AV105" s="15"/>
      <c r="AW105" s="22"/>
      <c r="AX105" s="34">
        <f t="shared" si="84"/>
        <v>2870.5171642658206</v>
      </c>
      <c r="AY105" s="14">
        <f t="shared" si="85"/>
        <v>-6.1121702628694745</v>
      </c>
      <c r="AZ105" s="25">
        <v>1.0819000000000001</v>
      </c>
      <c r="BA105" s="22">
        <f t="shared" si="86"/>
        <v>1.1044963878908218</v>
      </c>
      <c r="BB105" s="38">
        <f t="shared" si="87"/>
        <v>2.2596387890821745E-2</v>
      </c>
      <c r="BC105" s="58">
        <f t="shared" si="88"/>
        <v>0.10035646156794725</v>
      </c>
      <c r="BD105" s="38">
        <f t="shared" si="89"/>
        <v>2.2676935329396811E-2</v>
      </c>
      <c r="BE105" s="38">
        <f t="shared" si="90"/>
        <v>225.96387890821745</v>
      </c>
    </row>
    <row r="106" spans="1:57" ht="15.75">
      <c r="A106" s="67">
        <v>144</v>
      </c>
      <c r="B106" s="66">
        <v>6</v>
      </c>
      <c r="C106" s="66" t="s">
        <v>425</v>
      </c>
      <c r="D106" s="66" t="s">
        <v>418</v>
      </c>
      <c r="E106" s="66" t="s">
        <v>437</v>
      </c>
      <c r="F106" s="66" t="s">
        <v>411</v>
      </c>
      <c r="G106" s="66"/>
      <c r="H106" s="66" t="s">
        <v>432</v>
      </c>
      <c r="I106" s="66">
        <v>100</v>
      </c>
      <c r="J106" s="66">
        <v>20</v>
      </c>
      <c r="K106" s="66">
        <v>30</v>
      </c>
      <c r="L106" s="66" t="s">
        <v>69</v>
      </c>
      <c r="M106" s="66">
        <v>2</v>
      </c>
      <c r="N106"/>
      <c r="O106"/>
      <c r="P106"/>
      <c r="Q106" s="108">
        <v>10</v>
      </c>
      <c r="R106" s="53">
        <v>8</v>
      </c>
      <c r="S106" s="53">
        <f t="shared" si="69"/>
        <v>2</v>
      </c>
      <c r="T106" s="82">
        <v>211</v>
      </c>
      <c r="U106" s="82" t="s">
        <v>291</v>
      </c>
      <c r="V106" s="83">
        <v>0.91440149999999998</v>
      </c>
      <c r="W106" s="83">
        <v>429.5229853380788</v>
      </c>
      <c r="X106" s="83">
        <v>0.49634875000000001</v>
      </c>
      <c r="Y106" s="83">
        <v>-13.680886383449927</v>
      </c>
      <c r="Z106" s="71" t="s">
        <v>54</v>
      </c>
      <c r="AA106" s="73">
        <v>5.5661983611111108</v>
      </c>
      <c r="AB106" s="73">
        <v>3.0248816727959098</v>
      </c>
      <c r="AC106" s="73">
        <v>3.9982883888888887</v>
      </c>
      <c r="AD106" s="73">
        <v>-25.508901929003891</v>
      </c>
      <c r="AE106" s="73">
        <v>2.2461111111111109</v>
      </c>
      <c r="AF106" s="73">
        <v>2.2461111111111109</v>
      </c>
      <c r="AG106" s="32">
        <f t="shared" si="70"/>
        <v>1.1379460310984945E-2</v>
      </c>
      <c r="AH106" s="32">
        <f t="shared" si="71"/>
        <v>0.25846953038557846</v>
      </c>
      <c r="AI106" s="33">
        <f t="shared" si="72"/>
        <v>1.0405395577555101E-2</v>
      </c>
      <c r="AJ106" s="34">
        <f t="shared" si="73"/>
        <v>0.12829102831996889</v>
      </c>
      <c r="AK106" s="16">
        <f t="shared" si="74"/>
        <v>4.4222931204609172E-3</v>
      </c>
      <c r="AL106" s="16">
        <f t="shared" si="75"/>
        <v>5.4523687035986777E-2</v>
      </c>
      <c r="AM106" s="27">
        <f t="shared" si="76"/>
        <v>4.4222931204609175</v>
      </c>
      <c r="AN106" s="27">
        <f t="shared" si="77"/>
        <v>54.523687035986775</v>
      </c>
      <c r="AO106" s="29" t="e">
        <f t="shared" si="78"/>
        <v>#VALUE!</v>
      </c>
      <c r="AP106" s="29" t="e">
        <f t="shared" si="79"/>
        <v>#VALUE!</v>
      </c>
      <c r="AQ106" s="27">
        <f t="shared" si="80"/>
        <v>12.329279301663295</v>
      </c>
      <c r="AR106" s="14">
        <f t="shared" si="81"/>
        <v>428.4781036652829</v>
      </c>
      <c r="AS106" s="25">
        <v>0.36620000000000003</v>
      </c>
      <c r="AT106" s="22">
        <f t="shared" si="82"/>
        <v>0.52236556466033113</v>
      </c>
      <c r="AU106" s="22">
        <f t="shared" si="83"/>
        <v>0.1561655646603311</v>
      </c>
      <c r="AV106" s="15"/>
      <c r="AW106" s="22"/>
      <c r="AX106" s="34">
        <f t="shared" si="84"/>
        <v>1561.655646603311</v>
      </c>
      <c r="AY106" s="14">
        <f t="shared" si="85"/>
        <v>-14.201984454446038</v>
      </c>
      <c r="AZ106" s="25">
        <v>1.0819000000000001</v>
      </c>
      <c r="BA106" s="22">
        <f t="shared" si="86"/>
        <v>1.0956047643749622</v>
      </c>
      <c r="BB106" s="38">
        <f t="shared" si="87"/>
        <v>1.3704764374962153E-2</v>
      </c>
      <c r="BC106" s="58">
        <f t="shared" si="88"/>
        <v>6.9017883677541095E-2</v>
      </c>
      <c r="BD106" s="38">
        <f t="shared" si="89"/>
        <v>9.4587383345924713E-3</v>
      </c>
      <c r="BE106" s="38">
        <f t="shared" si="90"/>
        <v>137.04764374962153</v>
      </c>
    </row>
    <row r="107" spans="1:57" ht="15.75">
      <c r="A107" s="135"/>
      <c r="B107" s="136"/>
      <c r="C107" s="135"/>
      <c r="D107" s="135" t="s">
        <v>116</v>
      </c>
      <c r="E107" s="135"/>
      <c r="F107" s="135" t="s">
        <v>55</v>
      </c>
      <c r="G107" s="135"/>
      <c r="H107" s="135"/>
      <c r="I107" s="135"/>
      <c r="J107" s="135"/>
      <c r="K107" s="135"/>
      <c r="L107" s="135" t="s">
        <v>128</v>
      </c>
      <c r="M107" s="137">
        <v>2</v>
      </c>
      <c r="N107"/>
      <c r="O107"/>
      <c r="P107"/>
      <c r="Q107" s="108">
        <v>10</v>
      </c>
      <c r="R107" s="53">
        <v>8</v>
      </c>
      <c r="S107" s="53">
        <f t="shared" si="69"/>
        <v>2</v>
      </c>
      <c r="T107" s="80">
        <v>214</v>
      </c>
      <c r="U107" s="80" t="s">
        <v>292</v>
      </c>
      <c r="V107" s="81">
        <v>5.4222865000000002</v>
      </c>
      <c r="W107" s="81">
        <v>7.3943049436146779</v>
      </c>
      <c r="X107" s="81">
        <v>4.1006315000000004</v>
      </c>
      <c r="Y107" s="81">
        <v>-25.342554523276199</v>
      </c>
      <c r="Z107" s="71">
        <v>2.4169999999999998</v>
      </c>
      <c r="AA107" s="73">
        <v>5.5661983611111108</v>
      </c>
      <c r="AB107" s="73">
        <v>3.0248816727959098</v>
      </c>
      <c r="AC107" s="73">
        <v>3.9982883888888887</v>
      </c>
      <c r="AD107" s="73">
        <v>-25.508901929003891</v>
      </c>
      <c r="AE107" s="73">
        <v>2.2461111111111109</v>
      </c>
      <c r="AF107" s="73">
        <v>2.2461111111111109</v>
      </c>
      <c r="AG107" s="32">
        <f t="shared" si="70"/>
        <v>1.1379460310984945E-2</v>
      </c>
      <c r="AH107" s="32">
        <f t="shared" si="71"/>
        <v>0.25846953038557846</v>
      </c>
      <c r="AI107" s="33">
        <f t="shared" si="72"/>
        <v>6.1702694021539474E-2</v>
      </c>
      <c r="AJ107" s="34">
        <f t="shared" si="73"/>
        <v>1.0598882980893103</v>
      </c>
      <c r="AK107" s="16" t="e">
        <f t="shared" si="74"/>
        <v>#DIV/0!</v>
      </c>
      <c r="AL107" s="16" t="e">
        <f t="shared" si="75"/>
        <v>#DIV/0!</v>
      </c>
      <c r="AM107" s="27" t="e">
        <f t="shared" si="76"/>
        <v>#DIV/0!</v>
      </c>
      <c r="AN107" s="27" t="e">
        <f t="shared" si="77"/>
        <v>#DIV/0!</v>
      </c>
      <c r="AO107" s="29">
        <f t="shared" si="78"/>
        <v>2.5528628060214928</v>
      </c>
      <c r="AP107" s="29">
        <f t="shared" si="79"/>
        <v>43.851398348750948</v>
      </c>
      <c r="AQ107" s="27">
        <f t="shared" si="80"/>
        <v>17.177342333210269</v>
      </c>
      <c r="AR107" s="14">
        <f t="shared" si="81"/>
        <v>6.3494232708187681</v>
      </c>
      <c r="AS107" s="25">
        <v>0.36620000000000003</v>
      </c>
      <c r="AT107" s="22">
        <f t="shared" si="82"/>
        <v>0.36857057992830794</v>
      </c>
      <c r="AU107" s="22">
        <f t="shared" si="83"/>
        <v>2.3705799283079143E-3</v>
      </c>
      <c r="AV107" s="15"/>
      <c r="AW107" s="22"/>
      <c r="AX107" s="34">
        <f t="shared" si="84"/>
        <v>23.705799283079145</v>
      </c>
      <c r="AY107" s="14">
        <f t="shared" si="85"/>
        <v>-25.86365259427231</v>
      </c>
      <c r="AZ107" s="25">
        <v>1.0819000000000001</v>
      </c>
      <c r="BA107" s="22">
        <f t="shared" si="86"/>
        <v>1.082784454167214</v>
      </c>
      <c r="BB107" s="38">
        <f t="shared" si="87"/>
        <v>8.8445416721394388E-4</v>
      </c>
      <c r="BC107" s="58" t="e">
        <f t="shared" si="88"/>
        <v>#DIV/0!</v>
      </c>
      <c r="BD107" s="38" t="e">
        <f t="shared" si="89"/>
        <v>#DIV/0!</v>
      </c>
      <c r="BE107" s="38">
        <f t="shared" si="90"/>
        <v>8.8445416721394388</v>
      </c>
    </row>
    <row r="108" spans="1:57" ht="15.75">
      <c r="A108" s="138">
        <v>49</v>
      </c>
      <c r="B108" s="139">
        <v>1</v>
      </c>
      <c r="C108" s="140" t="s">
        <v>408</v>
      </c>
      <c r="D108" s="140" t="s">
        <v>409</v>
      </c>
      <c r="E108" s="140" t="s">
        <v>410</v>
      </c>
      <c r="F108" s="140" t="s">
        <v>480</v>
      </c>
      <c r="G108" s="140"/>
      <c r="H108" s="140" t="s">
        <v>481</v>
      </c>
      <c r="I108" s="140">
        <v>50</v>
      </c>
      <c r="J108" s="141">
        <v>12.84</v>
      </c>
      <c r="K108" s="140">
        <v>15</v>
      </c>
      <c r="L108" s="140" t="s">
        <v>62</v>
      </c>
      <c r="M108" s="140">
        <v>3</v>
      </c>
      <c r="N108"/>
      <c r="O108"/>
      <c r="P108"/>
      <c r="Q108" s="108">
        <v>10</v>
      </c>
      <c r="R108" s="53">
        <v>8</v>
      </c>
      <c r="S108" s="53">
        <f t="shared" si="69"/>
        <v>2</v>
      </c>
      <c r="T108" s="86">
        <v>24</v>
      </c>
      <c r="U108" s="80" t="s">
        <v>293</v>
      </c>
      <c r="V108" s="81">
        <v>19.570816000000001</v>
      </c>
      <c r="W108" s="81">
        <v>19.501352582418452</v>
      </c>
      <c r="X108" s="81">
        <v>12.407161</v>
      </c>
      <c r="Y108" s="81">
        <v>-27.011410747955903</v>
      </c>
      <c r="Z108" s="71" t="s">
        <v>54</v>
      </c>
      <c r="AA108" s="73">
        <v>5.5661983611111108</v>
      </c>
      <c r="AB108" s="73">
        <v>3.0248816727959098</v>
      </c>
      <c r="AC108" s="73">
        <v>3.9982883888888887</v>
      </c>
      <c r="AD108" s="73">
        <v>-25.508901929003891</v>
      </c>
      <c r="AE108" s="73">
        <v>2.2461111111111109</v>
      </c>
      <c r="AF108" s="73">
        <v>2.2461111111111109</v>
      </c>
      <c r="AG108" s="32">
        <f t="shared" si="70"/>
        <v>1.1379460310984945E-2</v>
      </c>
      <c r="AH108" s="32">
        <f t="shared" si="71"/>
        <v>0.25846953038557846</v>
      </c>
      <c r="AI108" s="33">
        <f t="shared" si="72"/>
        <v>0.22270532392558914</v>
      </c>
      <c r="AJ108" s="34">
        <f t="shared" si="73"/>
        <v>3.2068730770882641</v>
      </c>
      <c r="AK108" s="16">
        <f t="shared" si="74"/>
        <v>0.18929952533675079</v>
      </c>
      <c r="AL108" s="16">
        <f t="shared" si="75"/>
        <v>2.7258421155250248</v>
      </c>
      <c r="AM108" s="27">
        <f t="shared" si="76"/>
        <v>189.2995253367508</v>
      </c>
      <c r="AN108" s="27">
        <f t="shared" si="77"/>
        <v>2725.8421155250248</v>
      </c>
      <c r="AO108" s="29" t="e">
        <f t="shared" si="78"/>
        <v>#VALUE!</v>
      </c>
      <c r="AP108" s="29" t="e">
        <f t="shared" si="79"/>
        <v>#VALUE!</v>
      </c>
      <c r="AQ108" s="27">
        <f t="shared" si="80"/>
        <v>14.399624672465183</v>
      </c>
      <c r="AR108" s="14">
        <f t="shared" si="81"/>
        <v>18.456470909622542</v>
      </c>
      <c r="AS108" s="25">
        <v>0.36620000000000003</v>
      </c>
      <c r="AT108" s="22">
        <f t="shared" si="82"/>
        <v>0.37298818837411057</v>
      </c>
      <c r="AU108" s="22">
        <f t="shared" si="83"/>
        <v>6.7881883741105487E-3</v>
      </c>
      <c r="AV108" s="15"/>
      <c r="AW108" s="22"/>
      <c r="AX108" s="34">
        <f t="shared" si="84"/>
        <v>67.881883741105483</v>
      </c>
      <c r="AY108" s="14">
        <f t="shared" si="85"/>
        <v>-27.532508818952014</v>
      </c>
      <c r="AZ108" s="25">
        <v>1.0819000000000001</v>
      </c>
      <c r="BA108" s="22">
        <f t="shared" si="86"/>
        <v>1.0809495173042463</v>
      </c>
      <c r="BB108" s="38">
        <f t="shared" si="87"/>
        <v>-9.5048269575381816E-4</v>
      </c>
      <c r="BC108" s="58">
        <f t="shared" si="88"/>
        <v>3.0732093015405981</v>
      </c>
      <c r="BD108" s="38">
        <f t="shared" si="89"/>
        <v>-2.9210322615440164E-2</v>
      </c>
      <c r="BE108" s="38">
        <f t="shared" si="90"/>
        <v>-9.5048269575381816</v>
      </c>
    </row>
    <row r="109" spans="1:57" ht="15.75">
      <c r="A109" s="138">
        <v>50</v>
      </c>
      <c r="B109" s="139">
        <v>1</v>
      </c>
      <c r="C109" s="140" t="s">
        <v>413</v>
      </c>
      <c r="D109" s="140" t="s">
        <v>414</v>
      </c>
      <c r="E109" s="140" t="s">
        <v>410</v>
      </c>
      <c r="F109" s="140" t="s">
        <v>480</v>
      </c>
      <c r="G109" s="140"/>
      <c r="H109" s="140" t="s">
        <v>481</v>
      </c>
      <c r="I109" s="140">
        <v>50</v>
      </c>
      <c r="J109" s="141">
        <v>13.2</v>
      </c>
      <c r="K109" s="140">
        <v>15</v>
      </c>
      <c r="L109" s="140" t="s">
        <v>63</v>
      </c>
      <c r="M109" s="140">
        <v>3</v>
      </c>
      <c r="N109"/>
      <c r="O109"/>
      <c r="P109"/>
      <c r="Q109" s="108">
        <v>10</v>
      </c>
      <c r="R109" s="53">
        <v>8</v>
      </c>
      <c r="S109" s="53">
        <f t="shared" si="69"/>
        <v>2</v>
      </c>
      <c r="T109" s="82">
        <v>25</v>
      </c>
      <c r="U109" s="82" t="s">
        <v>294</v>
      </c>
      <c r="V109" s="83">
        <v>19.546423999999998</v>
      </c>
      <c r="W109" s="83">
        <v>35.236685476389582</v>
      </c>
      <c r="X109" s="83">
        <v>6.7627560000000004</v>
      </c>
      <c r="Y109" s="83">
        <v>-26.306356111078092</v>
      </c>
      <c r="Z109" s="71" t="s">
        <v>54</v>
      </c>
      <c r="AA109" s="73">
        <v>5.5661983611111108</v>
      </c>
      <c r="AB109" s="73">
        <v>3.0248816727959098</v>
      </c>
      <c r="AC109" s="73">
        <v>3.9982883888888887</v>
      </c>
      <c r="AD109" s="73">
        <v>-25.508901929003891</v>
      </c>
      <c r="AE109" s="73">
        <v>2.2461111111111109</v>
      </c>
      <c r="AF109" s="73">
        <v>2.2461111111111109</v>
      </c>
      <c r="AG109" s="32">
        <f t="shared" si="70"/>
        <v>1.1379460310984945E-2</v>
      </c>
      <c r="AH109" s="32">
        <f t="shared" si="71"/>
        <v>0.25846953038557846</v>
      </c>
      <c r="AI109" s="33">
        <f t="shared" si="72"/>
        <v>0.22242775612968357</v>
      </c>
      <c r="AJ109" s="34">
        <f t="shared" si="73"/>
        <v>1.7479663674322532</v>
      </c>
      <c r="AK109" s="16">
        <f t="shared" si="74"/>
        <v>0.18906359271023104</v>
      </c>
      <c r="AL109" s="16">
        <f t="shared" si="75"/>
        <v>1.4857714123174153</v>
      </c>
      <c r="AM109" s="27">
        <f t="shared" si="76"/>
        <v>189.06359271023103</v>
      </c>
      <c r="AN109" s="27">
        <f t="shared" si="77"/>
        <v>1485.7714123174153</v>
      </c>
      <c r="AO109" s="29" t="e">
        <f t="shared" si="78"/>
        <v>#VALUE!</v>
      </c>
      <c r="AP109" s="29" t="e">
        <f t="shared" si="79"/>
        <v>#VALUE!</v>
      </c>
      <c r="AQ109" s="27">
        <f t="shared" si="80"/>
        <v>7.8585802322850586</v>
      </c>
      <c r="AR109" s="14">
        <f t="shared" si="81"/>
        <v>34.191803803593672</v>
      </c>
      <c r="AS109" s="25">
        <v>0.36620000000000003</v>
      </c>
      <c r="AT109" s="22">
        <f t="shared" si="82"/>
        <v>0.37872909681007111</v>
      </c>
      <c r="AU109" s="22">
        <f t="shared" si="83"/>
        <v>1.2529096810071083E-2</v>
      </c>
      <c r="AV109" s="15"/>
      <c r="AW109" s="22"/>
      <c r="AX109" s="34">
        <f t="shared" si="84"/>
        <v>125.29096810071083</v>
      </c>
      <c r="AY109" s="14">
        <f t="shared" si="85"/>
        <v>-26.827454182074202</v>
      </c>
      <c r="AZ109" s="25">
        <v>1.0819000000000001</v>
      </c>
      <c r="BA109" s="22">
        <f t="shared" si="86"/>
        <v>1.0817247456218977</v>
      </c>
      <c r="BB109" s="38">
        <f t="shared" si="87"/>
        <v>-1.752543781023963E-4</v>
      </c>
      <c r="BC109" s="58">
        <f t="shared" si="88"/>
        <v>1.6786133880062886</v>
      </c>
      <c r="BD109" s="38">
        <f t="shared" si="89"/>
        <v>-2.9418434538939857E-3</v>
      </c>
      <c r="BE109" s="38">
        <f t="shared" si="90"/>
        <v>-1.752543781023963</v>
      </c>
    </row>
    <row r="110" spans="1:57" ht="15.75">
      <c r="A110" s="138">
        <v>51</v>
      </c>
      <c r="B110" s="139">
        <v>1</v>
      </c>
      <c r="C110" s="140" t="s">
        <v>415</v>
      </c>
      <c r="D110" s="140" t="s">
        <v>416</v>
      </c>
      <c r="E110" s="140" t="s">
        <v>410</v>
      </c>
      <c r="F110" s="140" t="s">
        <v>480</v>
      </c>
      <c r="G110" s="140"/>
      <c r="H110" s="140" t="s">
        <v>481</v>
      </c>
      <c r="I110" s="140">
        <v>50</v>
      </c>
      <c r="J110" s="141">
        <v>11.51</v>
      </c>
      <c r="K110" s="140">
        <v>15</v>
      </c>
      <c r="L110" s="140" t="s">
        <v>64</v>
      </c>
      <c r="M110" s="140">
        <v>3</v>
      </c>
      <c r="N110"/>
      <c r="O110"/>
      <c r="P110"/>
      <c r="Q110" s="108">
        <v>10</v>
      </c>
      <c r="R110" s="53">
        <v>8</v>
      </c>
      <c r="S110" s="53">
        <f t="shared" si="69"/>
        <v>2</v>
      </c>
      <c r="T110" s="80">
        <v>26</v>
      </c>
      <c r="U110" s="80" t="s">
        <v>295</v>
      </c>
      <c r="V110" s="81">
        <v>18.748107999999998</v>
      </c>
      <c r="W110" s="81">
        <v>1.6041661561239957</v>
      </c>
      <c r="X110" s="81">
        <v>6.3599290000000002</v>
      </c>
      <c r="Y110" s="81">
        <v>-26.842544559511619</v>
      </c>
      <c r="Z110" s="71" t="s">
        <v>54</v>
      </c>
      <c r="AA110" s="73">
        <v>5.5661983611111108</v>
      </c>
      <c r="AB110" s="73">
        <v>3.0248816727959098</v>
      </c>
      <c r="AC110" s="73">
        <v>3.9982883888888887</v>
      </c>
      <c r="AD110" s="73">
        <v>-25.508901929003891</v>
      </c>
      <c r="AE110" s="73">
        <v>2.2461111111111109</v>
      </c>
      <c r="AF110" s="73">
        <v>2.2461111111111109</v>
      </c>
      <c r="AG110" s="32">
        <f t="shared" si="70"/>
        <v>1.1379460310984945E-2</v>
      </c>
      <c r="AH110" s="32">
        <f t="shared" si="71"/>
        <v>0.25846953038557846</v>
      </c>
      <c r="AI110" s="33">
        <f t="shared" si="72"/>
        <v>0.21334335089205933</v>
      </c>
      <c r="AJ110" s="34">
        <f t="shared" si="73"/>
        <v>1.6438478619156216</v>
      </c>
      <c r="AK110" s="16">
        <f t="shared" si="74"/>
        <v>0.18134184825825042</v>
      </c>
      <c r="AL110" s="16">
        <f t="shared" si="75"/>
        <v>1.3972706826282784</v>
      </c>
      <c r="AM110" s="27">
        <f t="shared" si="76"/>
        <v>181.34184825825042</v>
      </c>
      <c r="AN110" s="27">
        <f t="shared" si="77"/>
        <v>1397.2706826282783</v>
      </c>
      <c r="AO110" s="29" t="e">
        <f t="shared" si="78"/>
        <v>#VALUE!</v>
      </c>
      <c r="AP110" s="29" t="e">
        <f t="shared" si="79"/>
        <v>#VALUE!</v>
      </c>
      <c r="AQ110" s="27">
        <f t="shared" si="80"/>
        <v>7.7051750384633424</v>
      </c>
      <c r="AR110" s="14">
        <f t="shared" si="81"/>
        <v>0.55928448332808589</v>
      </c>
      <c r="AS110" s="25">
        <v>0.36620000000000003</v>
      </c>
      <c r="AT110" s="22">
        <f t="shared" si="82"/>
        <v>0.36645774090911387</v>
      </c>
      <c r="AU110" s="22">
        <f t="shared" si="83"/>
        <v>2.5774090911384606E-4</v>
      </c>
      <c r="AV110" s="15"/>
      <c r="AW110" s="22"/>
      <c r="AX110" s="34">
        <f t="shared" si="84"/>
        <v>2.5774090911384606</v>
      </c>
      <c r="AY110" s="14">
        <f t="shared" si="85"/>
        <v>-27.36364263050773</v>
      </c>
      <c r="AZ110" s="25">
        <v>1.0819000000000001</v>
      </c>
      <c r="BA110" s="22">
        <f t="shared" si="86"/>
        <v>1.0811351917535053</v>
      </c>
      <c r="BB110" s="38">
        <f t="shared" si="87"/>
        <v>-7.6480824649483026E-4</v>
      </c>
      <c r="BC110" s="58">
        <f t="shared" si="88"/>
        <v>1.5790845823905884</v>
      </c>
      <c r="BD110" s="38">
        <f t="shared" si="89"/>
        <v>-1.2076969105251672E-2</v>
      </c>
      <c r="BE110" s="38">
        <f t="shared" si="90"/>
        <v>-7.6480824649483017</v>
      </c>
    </row>
    <row r="111" spans="1:57" ht="15.75">
      <c r="A111" s="138">
        <v>52</v>
      </c>
      <c r="B111" s="139">
        <v>1</v>
      </c>
      <c r="C111" s="140" t="s">
        <v>417</v>
      </c>
      <c r="D111" s="140" t="s">
        <v>418</v>
      </c>
      <c r="E111" s="140" t="s">
        <v>410</v>
      </c>
      <c r="F111" s="140" t="s">
        <v>480</v>
      </c>
      <c r="G111" s="140"/>
      <c r="H111" s="140" t="s">
        <v>481</v>
      </c>
      <c r="I111" s="140">
        <v>50</v>
      </c>
      <c r="J111" s="141">
        <v>7.13</v>
      </c>
      <c r="K111" s="140">
        <v>15</v>
      </c>
      <c r="L111" s="140" t="s">
        <v>65</v>
      </c>
      <c r="M111" s="140">
        <v>3</v>
      </c>
      <c r="N111"/>
      <c r="O111"/>
      <c r="P111"/>
      <c r="Q111" s="108">
        <v>10</v>
      </c>
      <c r="R111" s="53">
        <v>8</v>
      </c>
      <c r="S111" s="53">
        <f t="shared" si="69"/>
        <v>2</v>
      </c>
      <c r="T111" s="82">
        <v>27</v>
      </c>
      <c r="U111" s="82" t="s">
        <v>296</v>
      </c>
      <c r="V111" s="83">
        <v>19.541751999999999</v>
      </c>
      <c r="W111" s="83">
        <v>100.33495128450063</v>
      </c>
      <c r="X111" s="83">
        <v>6.8660880000000004</v>
      </c>
      <c r="Y111" s="83">
        <v>-28.47623439581043</v>
      </c>
      <c r="Z111" s="71" t="s">
        <v>54</v>
      </c>
      <c r="AA111" s="73">
        <v>5.5661983611111108</v>
      </c>
      <c r="AB111" s="73">
        <v>3.0248816727959098</v>
      </c>
      <c r="AC111" s="73">
        <v>3.9982883888888887</v>
      </c>
      <c r="AD111" s="73">
        <v>-25.508901929003891</v>
      </c>
      <c r="AE111" s="73">
        <v>2.2461111111111109</v>
      </c>
      <c r="AF111" s="73">
        <v>2.2461111111111109</v>
      </c>
      <c r="AG111" s="32">
        <f t="shared" si="70"/>
        <v>1.1379460310984945E-2</v>
      </c>
      <c r="AH111" s="32">
        <f t="shared" si="71"/>
        <v>0.25846953038557846</v>
      </c>
      <c r="AI111" s="33">
        <f t="shared" si="72"/>
        <v>0.22237459129111067</v>
      </c>
      <c r="AJ111" s="34">
        <f t="shared" si="73"/>
        <v>1.7746745409460558</v>
      </c>
      <c r="AK111" s="16">
        <f t="shared" si="74"/>
        <v>0.18901840259744407</v>
      </c>
      <c r="AL111" s="16">
        <f t="shared" si="75"/>
        <v>1.5084733598041475</v>
      </c>
      <c r="AM111" s="27">
        <f t="shared" si="76"/>
        <v>189.01840259744407</v>
      </c>
      <c r="AN111" s="27">
        <f t="shared" si="77"/>
        <v>1508.4733598041475</v>
      </c>
      <c r="AO111" s="29" t="e">
        <f t="shared" si="78"/>
        <v>#VALUE!</v>
      </c>
      <c r="AP111" s="29" t="e">
        <f t="shared" si="79"/>
        <v>#VALUE!</v>
      </c>
      <c r="AQ111" s="27">
        <f t="shared" si="80"/>
        <v>7.9805634746409879</v>
      </c>
      <c r="AR111" s="14">
        <f t="shared" si="81"/>
        <v>99.290069611704723</v>
      </c>
      <c r="AS111" s="25">
        <v>0.36620000000000003</v>
      </c>
      <c r="AT111" s="22">
        <f t="shared" si="82"/>
        <v>0.40247264155039519</v>
      </c>
      <c r="AU111" s="22">
        <f t="shared" si="83"/>
        <v>3.6272641550395168E-2</v>
      </c>
      <c r="AV111" s="15"/>
      <c r="AW111" s="22"/>
      <c r="AX111" s="34">
        <f t="shared" si="84"/>
        <v>362.72641550395167</v>
      </c>
      <c r="AY111" s="14">
        <f t="shared" si="85"/>
        <v>-28.99733246680654</v>
      </c>
      <c r="AZ111" s="25">
        <v>1.0819000000000001</v>
      </c>
      <c r="BA111" s="22">
        <f t="shared" si="86"/>
        <v>1.0793388617571238</v>
      </c>
      <c r="BB111" s="38">
        <f t="shared" si="87"/>
        <v>-2.561138242876293E-3</v>
      </c>
      <c r="BC111" s="58">
        <f t="shared" si="88"/>
        <v>1.7041442251693426</v>
      </c>
      <c r="BD111" s="38">
        <f t="shared" si="89"/>
        <v>-4.3645489464579919E-2</v>
      </c>
      <c r="BE111" s="38">
        <f t="shared" si="90"/>
        <v>-25.61138242876293</v>
      </c>
    </row>
    <row r="112" spans="1:57" ht="15.75">
      <c r="A112" s="138">
        <v>53</v>
      </c>
      <c r="B112" s="139">
        <v>1</v>
      </c>
      <c r="C112" s="140" t="s">
        <v>419</v>
      </c>
      <c r="D112" s="140" t="s">
        <v>420</v>
      </c>
      <c r="E112" s="140" t="s">
        <v>410</v>
      </c>
      <c r="F112" s="140" t="s">
        <v>480</v>
      </c>
      <c r="G112" s="140"/>
      <c r="H112" s="140" t="s">
        <v>481</v>
      </c>
      <c r="I112" s="140">
        <v>50</v>
      </c>
      <c r="J112" s="141">
        <v>9.82</v>
      </c>
      <c r="K112" s="140">
        <v>15</v>
      </c>
      <c r="L112" s="140" t="s">
        <v>66</v>
      </c>
      <c r="M112" s="140">
        <v>3</v>
      </c>
      <c r="N112"/>
      <c r="O112"/>
      <c r="P112"/>
      <c r="Q112" s="108">
        <v>10</v>
      </c>
      <c r="R112" s="53">
        <v>8</v>
      </c>
      <c r="S112" s="53">
        <f t="shared" si="69"/>
        <v>2</v>
      </c>
      <c r="T112" s="80">
        <v>28</v>
      </c>
      <c r="U112" s="80" t="s">
        <v>297</v>
      </c>
      <c r="V112" s="81">
        <v>19.56232</v>
      </c>
      <c r="W112" s="81">
        <v>39.827807779090733</v>
      </c>
      <c r="X112" s="81">
        <v>10.708584999999999</v>
      </c>
      <c r="Y112" s="81">
        <v>-27.859655024579542</v>
      </c>
      <c r="Z112" s="71" t="s">
        <v>54</v>
      </c>
      <c r="AA112" s="73">
        <v>5.5661983611111108</v>
      </c>
      <c r="AB112" s="73">
        <v>3.0248816727959098</v>
      </c>
      <c r="AC112" s="73">
        <v>3.9982883888888887</v>
      </c>
      <c r="AD112" s="73">
        <v>-25.508901929003891</v>
      </c>
      <c r="AE112" s="73">
        <v>2.2461111111111109</v>
      </c>
      <c r="AF112" s="73">
        <v>2.2461111111111109</v>
      </c>
      <c r="AG112" s="32">
        <f t="shared" si="70"/>
        <v>1.1379460310984945E-2</v>
      </c>
      <c r="AH112" s="32">
        <f t="shared" si="71"/>
        <v>0.25846953038557846</v>
      </c>
      <c r="AI112" s="33">
        <f t="shared" si="72"/>
        <v>0.22260864403078701</v>
      </c>
      <c r="AJ112" s="34">
        <f t="shared" si="73"/>
        <v>2.7678429360440497</v>
      </c>
      <c r="AK112" s="16">
        <f t="shared" si="74"/>
        <v>0.18921734742616894</v>
      </c>
      <c r="AL112" s="16">
        <f t="shared" si="75"/>
        <v>2.3526664956374423</v>
      </c>
      <c r="AM112" s="27">
        <f t="shared" si="76"/>
        <v>189.21734742616894</v>
      </c>
      <c r="AN112" s="27">
        <f t="shared" si="77"/>
        <v>2352.6664956374425</v>
      </c>
      <c r="AO112" s="29" t="e">
        <f t="shared" si="78"/>
        <v>#VALUE!</v>
      </c>
      <c r="AP112" s="29" t="e">
        <f t="shared" si="79"/>
        <v>#VALUE!</v>
      </c>
      <c r="AQ112" s="27">
        <f t="shared" si="80"/>
        <v>12.433672322541321</v>
      </c>
      <c r="AR112" s="14">
        <f t="shared" si="81"/>
        <v>38.782926106294823</v>
      </c>
      <c r="AS112" s="25">
        <v>0.36620000000000003</v>
      </c>
      <c r="AT112" s="22">
        <f t="shared" si="82"/>
        <v>0.38040400581995204</v>
      </c>
      <c r="AU112" s="22">
        <f t="shared" si="83"/>
        <v>1.4204005819952015E-2</v>
      </c>
      <c r="AV112" s="15"/>
      <c r="AW112" s="22"/>
      <c r="AX112" s="34">
        <f t="shared" si="84"/>
        <v>142.04005819952016</v>
      </c>
      <c r="AY112" s="14">
        <f t="shared" si="85"/>
        <v>-28.380753095575653</v>
      </c>
      <c r="AZ112" s="25">
        <v>1.0819000000000001</v>
      </c>
      <c r="BA112" s="22">
        <f t="shared" si="86"/>
        <v>1.0800168316613226</v>
      </c>
      <c r="BB112" s="38">
        <f t="shared" si="87"/>
        <v>-1.8831683386775211E-3</v>
      </c>
      <c r="BC112" s="58">
        <f t="shared" si="88"/>
        <v>2.6535322676588242</v>
      </c>
      <c r="BD112" s="38">
        <f t="shared" si="89"/>
        <v>-4.9970479521142634E-2</v>
      </c>
      <c r="BE112" s="38">
        <f t="shared" si="90"/>
        <v>-18.831683386775211</v>
      </c>
    </row>
    <row r="113" spans="1:57" ht="15.75">
      <c r="A113" s="138">
        <v>54</v>
      </c>
      <c r="B113" s="139">
        <v>1</v>
      </c>
      <c r="C113" s="140" t="s">
        <v>421</v>
      </c>
      <c r="D113" s="140" t="s">
        <v>422</v>
      </c>
      <c r="E113" s="140" t="s">
        <v>410</v>
      </c>
      <c r="F113" s="140" t="s">
        <v>480</v>
      </c>
      <c r="G113" s="140"/>
      <c r="H113" s="140" t="s">
        <v>481</v>
      </c>
      <c r="I113" s="140">
        <v>50</v>
      </c>
      <c r="J113" s="141">
        <v>12.9</v>
      </c>
      <c r="K113" s="140">
        <v>15</v>
      </c>
      <c r="L113" s="140" t="s">
        <v>67</v>
      </c>
      <c r="M113" s="140">
        <v>3</v>
      </c>
      <c r="N113" s="155" t="s">
        <v>490</v>
      </c>
      <c r="O113" s="156"/>
      <c r="P113" s="156"/>
      <c r="Q113" s="108">
        <v>10</v>
      </c>
      <c r="R113" s="53">
        <v>8</v>
      </c>
      <c r="S113" s="53">
        <f t="shared" si="69"/>
        <v>2</v>
      </c>
      <c r="T113" s="82">
        <v>29</v>
      </c>
      <c r="U113" s="82" t="s">
        <v>298</v>
      </c>
      <c r="V113"/>
      <c r="W113"/>
      <c r="X113" s="83">
        <v>16.137260999999999</v>
      </c>
      <c r="Y113" s="83">
        <v>-27.377530309472728</v>
      </c>
      <c r="Z113" s="71" t="s">
        <v>54</v>
      </c>
      <c r="AA113" s="75">
        <v>2.9111787500000004</v>
      </c>
      <c r="AB113" s="75">
        <v>7.1289713486518078</v>
      </c>
      <c r="AC113" s="75">
        <v>2.0592423593750002</v>
      </c>
      <c r="AD113" s="75">
        <v>-26.716135928040213</v>
      </c>
      <c r="AE113" s="75">
        <v>2.375375</v>
      </c>
      <c r="AF113" s="75">
        <v>2.375375</v>
      </c>
      <c r="AG113" s="32">
        <f t="shared" si="70"/>
        <v>2.3009777396870598E-2</v>
      </c>
      <c r="AH113" s="32">
        <f t="shared" si="71"/>
        <v>0.53073405008612418</v>
      </c>
      <c r="AI113" s="33">
        <f t="shared" si="72"/>
        <v>0</v>
      </c>
      <c r="AJ113" s="34">
        <f t="shared" si="73"/>
        <v>8.5645938878268577</v>
      </c>
      <c r="AK113" s="16">
        <f t="shared" si="74"/>
        <v>0</v>
      </c>
      <c r="AL113" s="16">
        <f t="shared" si="75"/>
        <v>7.279904804652829</v>
      </c>
      <c r="AM113" s="27">
        <f t="shared" si="76"/>
        <v>0</v>
      </c>
      <c r="AN113" s="27">
        <f t="shared" si="77"/>
        <v>7279.9048046528287</v>
      </c>
      <c r="AO113" s="29" t="e">
        <f t="shared" si="78"/>
        <v>#VALUE!</v>
      </c>
      <c r="AP113" s="29" t="e">
        <f t="shared" si="79"/>
        <v>#VALUE!</v>
      </c>
      <c r="AQ113" s="27" t="e">
        <f t="shared" si="80"/>
        <v>#DIV/0!</v>
      </c>
      <c r="AR113" s="14">
        <f t="shared" si="81"/>
        <v>-5.1489713486518074</v>
      </c>
      <c r="AS113" s="25">
        <v>0.36620000000000003</v>
      </c>
      <c r="AT113" s="22">
        <f t="shared" si="82"/>
        <v>0.36437469350416873</v>
      </c>
      <c r="AU113" s="22">
        <f t="shared" si="83"/>
        <v>-1.8253064958312915E-3</v>
      </c>
      <c r="AV113" s="15"/>
      <c r="AW113" s="22"/>
      <c r="AX113" s="34" t="e">
        <f t="shared" si="84"/>
        <v>#DIV/0!</v>
      </c>
      <c r="AY113" s="14">
        <f t="shared" si="85"/>
        <v>-26.691394381432517</v>
      </c>
      <c r="AZ113" s="25">
        <v>1.0819000000000001</v>
      </c>
      <c r="BA113" s="22">
        <f t="shared" si="86"/>
        <v>1.0818743459772311</v>
      </c>
      <c r="BB113" s="38">
        <f t="shared" si="87"/>
        <v>-2.5654022768994977E-5</v>
      </c>
      <c r="BC113" s="58">
        <f t="shared" si="88"/>
        <v>8.1947537423606178</v>
      </c>
      <c r="BD113" s="38">
        <f t="shared" si="89"/>
        <v>-2.1022839909282608E-3</v>
      </c>
      <c r="BE113" s="38">
        <f t="shared" si="90"/>
        <v>-0.25654022768994977</v>
      </c>
    </row>
    <row r="114" spans="1:57" ht="15.75">
      <c r="A114" s="142">
        <v>55</v>
      </c>
      <c r="B114" s="143">
        <v>1</v>
      </c>
      <c r="C114" s="144" t="s">
        <v>423</v>
      </c>
      <c r="D114" s="144" t="s">
        <v>424</v>
      </c>
      <c r="E114" s="144" t="s">
        <v>410</v>
      </c>
      <c r="F114" s="144" t="s">
        <v>480</v>
      </c>
      <c r="G114" s="144"/>
      <c r="H114" s="144" t="s">
        <v>481</v>
      </c>
      <c r="I114" s="144">
        <v>50</v>
      </c>
      <c r="J114" s="145">
        <v>9.3800000000000008</v>
      </c>
      <c r="K114" s="140">
        <v>15</v>
      </c>
      <c r="L114" s="140" t="s">
        <v>68</v>
      </c>
      <c r="M114" s="140">
        <v>3</v>
      </c>
      <c r="N114"/>
      <c r="O114"/>
      <c r="P114"/>
      <c r="Q114" s="108">
        <v>10</v>
      </c>
      <c r="R114" s="53">
        <v>8</v>
      </c>
      <c r="S114" s="53">
        <f t="shared" si="69"/>
        <v>2</v>
      </c>
      <c r="T114" s="82">
        <v>30</v>
      </c>
      <c r="U114" s="82" t="s">
        <v>299</v>
      </c>
      <c r="V114" s="83">
        <v>17.731746000000001</v>
      </c>
      <c r="W114" s="83">
        <v>6.1476819397404681E-2</v>
      </c>
      <c r="X114" s="81">
        <v>12.153039</v>
      </c>
      <c r="Y114" s="81">
        <v>-28.502103151026496</v>
      </c>
      <c r="Z114" s="71" t="s">
        <v>54</v>
      </c>
      <c r="AA114" s="75">
        <v>2.9111787500000004</v>
      </c>
      <c r="AB114" s="75">
        <v>7.1289713486518078</v>
      </c>
      <c r="AC114" s="75">
        <v>2.0592423593750002</v>
      </c>
      <c r="AD114" s="75">
        <v>-26.716135928040213</v>
      </c>
      <c r="AE114" s="75">
        <v>2.375375</v>
      </c>
      <c r="AF114" s="75">
        <v>2.375375</v>
      </c>
      <c r="AG114" s="32">
        <f t="shared" si="70"/>
        <v>2.3009777396870598E-2</v>
      </c>
      <c r="AH114" s="32">
        <f t="shared" si="71"/>
        <v>0.53073405008612418</v>
      </c>
      <c r="AI114" s="33">
        <f t="shared" si="72"/>
        <v>0.40800352831785064</v>
      </c>
      <c r="AJ114" s="34">
        <f t="shared" si="73"/>
        <v>6.4500316093246202</v>
      </c>
      <c r="AK114" s="16">
        <f t="shared" si="74"/>
        <v>0.34680299907017303</v>
      </c>
      <c r="AL114" s="16">
        <f t="shared" si="75"/>
        <v>5.4825268679259267</v>
      </c>
      <c r="AM114" s="27">
        <f t="shared" si="76"/>
        <v>346.80299907017303</v>
      </c>
      <c r="AN114" s="27">
        <f t="shared" si="77"/>
        <v>5482.526867925927</v>
      </c>
      <c r="AO114" s="29" t="e">
        <f t="shared" si="78"/>
        <v>#VALUE!</v>
      </c>
      <c r="AP114" s="29" t="e">
        <f t="shared" si="79"/>
        <v>#VALUE!</v>
      </c>
      <c r="AQ114" s="27">
        <f t="shared" si="80"/>
        <v>15.808764291616111</v>
      </c>
      <c r="AR114" s="14">
        <f t="shared" si="81"/>
        <v>-5.0874945292544025</v>
      </c>
      <c r="AS114" s="25">
        <v>0.36620000000000003</v>
      </c>
      <c r="AT114" s="22">
        <f t="shared" si="82"/>
        <v>0.36439712798877977</v>
      </c>
      <c r="AU114" s="22">
        <f t="shared" si="83"/>
        <v>-1.8028720112202579E-3</v>
      </c>
      <c r="AV114" s="15"/>
      <c r="AW114" s="22"/>
      <c r="AX114" s="34">
        <f t="shared" si="84"/>
        <v>-18.028720112202578</v>
      </c>
      <c r="AY114" s="14">
        <f t="shared" si="85"/>
        <v>-27.815967222986284</v>
      </c>
      <c r="AZ114" s="25">
        <v>1.0819000000000001</v>
      </c>
      <c r="BA114" s="22">
        <f t="shared" si="86"/>
        <v>1.0806378430243786</v>
      </c>
      <c r="BB114" s="38">
        <f t="shared" si="87"/>
        <v>-1.2621569756214868E-3</v>
      </c>
      <c r="BC114" s="58">
        <f t="shared" si="88"/>
        <v>6.1734045409381766</v>
      </c>
      <c r="BD114" s="38">
        <f t="shared" si="89"/>
        <v>-7.7918056046784812E-2</v>
      </c>
      <c r="BE114" s="38">
        <f t="shared" si="90"/>
        <v>-12.621569756214866</v>
      </c>
    </row>
    <row r="115" spans="1:57" ht="15.75">
      <c r="A115" s="138">
        <v>56</v>
      </c>
      <c r="B115" s="139">
        <v>1</v>
      </c>
      <c r="C115" s="140" t="s">
        <v>425</v>
      </c>
      <c r="D115" s="140" t="s">
        <v>426</v>
      </c>
      <c r="E115" s="140" t="s">
        <v>410</v>
      </c>
      <c r="F115" s="140" t="s">
        <v>480</v>
      </c>
      <c r="G115" s="140"/>
      <c r="H115" s="140" t="s">
        <v>481</v>
      </c>
      <c r="I115" s="140">
        <v>50</v>
      </c>
      <c r="J115" s="141">
        <v>10.96</v>
      </c>
      <c r="K115" s="140">
        <v>15</v>
      </c>
      <c r="L115" s="140" t="s">
        <v>69</v>
      </c>
      <c r="M115" s="140">
        <v>3</v>
      </c>
      <c r="N115"/>
      <c r="O115"/>
      <c r="P115"/>
      <c r="Q115" s="108">
        <v>10</v>
      </c>
      <c r="R115" s="53">
        <v>8</v>
      </c>
      <c r="S115" s="53">
        <f t="shared" si="69"/>
        <v>2</v>
      </c>
      <c r="T115" s="80">
        <v>31</v>
      </c>
      <c r="U115" s="80" t="s">
        <v>300</v>
      </c>
      <c r="V115" s="81">
        <v>10.868035000000001</v>
      </c>
      <c r="W115" s="81">
        <v>1.7274451765269094</v>
      </c>
      <c r="X115" s="83">
        <v>3.3938617500000001</v>
      </c>
      <c r="Y115" s="83">
        <v>-27.06741622493546</v>
      </c>
      <c r="Z115" s="71" t="s">
        <v>54</v>
      </c>
      <c r="AA115" s="75">
        <v>2.9111787500000004</v>
      </c>
      <c r="AB115" s="75">
        <v>7.1289713486518078</v>
      </c>
      <c r="AC115" s="75">
        <v>2.0592423593750002</v>
      </c>
      <c r="AD115" s="75">
        <v>-26.716135928040213</v>
      </c>
      <c r="AE115" s="75">
        <v>2.375375</v>
      </c>
      <c r="AF115" s="75">
        <v>2.375375</v>
      </c>
      <c r="AG115" s="32">
        <f t="shared" si="70"/>
        <v>2.3009777396870598E-2</v>
      </c>
      <c r="AH115" s="32">
        <f t="shared" si="71"/>
        <v>0.53073405008612418</v>
      </c>
      <c r="AI115" s="33">
        <f t="shared" si="72"/>
        <v>0.25007106609139856</v>
      </c>
      <c r="AJ115" s="34">
        <f t="shared" si="73"/>
        <v>1.8012379920098811</v>
      </c>
      <c r="AK115" s="16">
        <f t="shared" si="74"/>
        <v>0.21256040617768876</v>
      </c>
      <c r="AL115" s="16">
        <f t="shared" si="75"/>
        <v>1.531052293208399</v>
      </c>
      <c r="AM115" s="27">
        <f t="shared" si="76"/>
        <v>212.56040617768875</v>
      </c>
      <c r="AN115" s="27">
        <f t="shared" si="77"/>
        <v>1531.0522932083991</v>
      </c>
      <c r="AO115" s="29" t="e">
        <f t="shared" si="78"/>
        <v>#VALUE!</v>
      </c>
      <c r="AP115" s="29" t="e">
        <f t="shared" si="79"/>
        <v>#VALUE!</v>
      </c>
      <c r="AQ115" s="27">
        <f t="shared" si="80"/>
        <v>7.2029044389787424</v>
      </c>
      <c r="AR115" s="14">
        <f t="shared" si="81"/>
        <v>-3.421526172124898</v>
      </c>
      <c r="AS115" s="25">
        <v>0.36620000000000003</v>
      </c>
      <c r="AT115" s="22">
        <f t="shared" si="82"/>
        <v>0.36500507917050568</v>
      </c>
      <c r="AU115" s="22">
        <f t="shared" si="83"/>
        <v>-1.1949208294943503E-3</v>
      </c>
      <c r="AV115" s="15"/>
      <c r="AW115" s="22"/>
      <c r="AX115" s="34">
        <f t="shared" si="84"/>
        <v>-11.949208294943503</v>
      </c>
      <c r="AY115" s="14">
        <f t="shared" si="85"/>
        <v>-26.381280296895248</v>
      </c>
      <c r="AZ115" s="25">
        <v>1.0819000000000001</v>
      </c>
      <c r="BA115" s="22">
        <f t="shared" si="86"/>
        <v>1.0822153206585086</v>
      </c>
      <c r="BB115" s="38">
        <f t="shared" si="87"/>
        <v>3.1532065850847779E-4</v>
      </c>
      <c r="BC115" s="58">
        <f t="shared" si="88"/>
        <v>1.7295367194650977</v>
      </c>
      <c r="BD115" s="38">
        <f t="shared" si="89"/>
        <v>5.4535865729632704E-3</v>
      </c>
      <c r="BE115" s="38">
        <f t="shared" si="90"/>
        <v>3.1532065850847779</v>
      </c>
    </row>
    <row r="116" spans="1:57" ht="15.75">
      <c r="A116" s="138">
        <v>57</v>
      </c>
      <c r="B116" s="139">
        <v>2</v>
      </c>
      <c r="C116" s="140" t="s">
        <v>408</v>
      </c>
      <c r="D116" s="140" t="s">
        <v>426</v>
      </c>
      <c r="E116" s="140" t="s">
        <v>410</v>
      </c>
      <c r="F116" s="140" t="s">
        <v>480</v>
      </c>
      <c r="G116" s="140"/>
      <c r="H116" s="140" t="s">
        <v>482</v>
      </c>
      <c r="I116" s="140">
        <v>100</v>
      </c>
      <c r="J116" s="141">
        <v>14.28</v>
      </c>
      <c r="K116" s="140">
        <v>15</v>
      </c>
      <c r="L116" s="140" t="s">
        <v>70</v>
      </c>
      <c r="M116" s="140">
        <v>3</v>
      </c>
      <c r="N116"/>
      <c r="O116"/>
      <c r="P116"/>
      <c r="Q116" s="108">
        <v>10</v>
      </c>
      <c r="R116" s="53">
        <v>8</v>
      </c>
      <c r="S116" s="53">
        <f t="shared" si="69"/>
        <v>2</v>
      </c>
      <c r="T116" s="82">
        <v>32</v>
      </c>
      <c r="U116" s="82" t="s">
        <v>301</v>
      </c>
      <c r="V116" s="83">
        <v>10.561384</v>
      </c>
      <c r="W116" s="83">
        <v>2152.4395299013845</v>
      </c>
      <c r="X116" s="81">
        <v>4.1541465000000004</v>
      </c>
      <c r="Y116" s="81">
        <v>42.91873923067137</v>
      </c>
      <c r="Z116" s="71" t="s">
        <v>54</v>
      </c>
      <c r="AA116" s="75">
        <v>2.9111787500000004</v>
      </c>
      <c r="AB116" s="75">
        <v>7.1289713486518078</v>
      </c>
      <c r="AC116" s="75">
        <v>2.0592423593750002</v>
      </c>
      <c r="AD116" s="75">
        <v>-26.716135928040213</v>
      </c>
      <c r="AE116" s="75">
        <v>2.375375</v>
      </c>
      <c r="AF116" s="75">
        <v>2.375375</v>
      </c>
      <c r="AG116" s="32">
        <f t="shared" si="70"/>
        <v>2.3009777396870598E-2</v>
      </c>
      <c r="AH116" s="32">
        <f t="shared" si="71"/>
        <v>0.53073405008612418</v>
      </c>
      <c r="AI116" s="33">
        <f t="shared" si="72"/>
        <v>0.24301509484287079</v>
      </c>
      <c r="AJ116" s="34">
        <f t="shared" si="73"/>
        <v>2.2047469965960977</v>
      </c>
      <c r="AK116" s="16">
        <f t="shared" si="74"/>
        <v>0.20656283061644018</v>
      </c>
      <c r="AL116" s="16">
        <f t="shared" si="75"/>
        <v>1.8740349471066831</v>
      </c>
      <c r="AM116" s="27">
        <f t="shared" si="76"/>
        <v>206.56283061644018</v>
      </c>
      <c r="AN116" s="27">
        <f t="shared" si="77"/>
        <v>1874.0349471066831</v>
      </c>
      <c r="AO116" s="29" t="e">
        <f t="shared" si="78"/>
        <v>#VALUE!</v>
      </c>
      <c r="AP116" s="29" t="e">
        <f t="shared" si="79"/>
        <v>#VALUE!</v>
      </c>
      <c r="AQ116" s="27">
        <f t="shared" si="80"/>
        <v>9.072469337847707</v>
      </c>
      <c r="AR116" s="14">
        <f t="shared" si="81"/>
        <v>2147.2905585527328</v>
      </c>
      <c r="AS116" s="25">
        <v>0.36620000000000003</v>
      </c>
      <c r="AT116" s="22">
        <f t="shared" si="82"/>
        <v>1.1437119029785487</v>
      </c>
      <c r="AU116" s="22">
        <f t="shared" si="83"/>
        <v>0.77751190297854866</v>
      </c>
      <c r="AV116" s="15"/>
      <c r="AW116" s="22"/>
      <c r="AX116" s="34">
        <f t="shared" si="84"/>
        <v>7775.1190297854873</v>
      </c>
      <c r="AY116" s="14">
        <f t="shared" si="85"/>
        <v>43.604875158711579</v>
      </c>
      <c r="AZ116" s="25">
        <v>1.0819000000000001</v>
      </c>
      <c r="BA116" s="22">
        <f t="shared" si="86"/>
        <v>1.1591059763610108</v>
      </c>
      <c r="BB116" s="38">
        <f t="shared" si="87"/>
        <v>7.7205976361010675E-2</v>
      </c>
      <c r="BC116" s="58">
        <f t="shared" si="88"/>
        <v>2.115258441865647</v>
      </c>
      <c r="BD116" s="38">
        <f t="shared" si="89"/>
        <v>1.6331059326010742</v>
      </c>
      <c r="BE116" s="38">
        <f t="shared" si="90"/>
        <v>772.05976361010676</v>
      </c>
    </row>
    <row r="117" spans="1:57" ht="15.75">
      <c r="A117" s="138">
        <v>58</v>
      </c>
      <c r="B117" s="139">
        <v>2</v>
      </c>
      <c r="C117" s="140" t="s">
        <v>413</v>
      </c>
      <c r="D117" s="140" t="s">
        <v>418</v>
      </c>
      <c r="E117" s="140" t="s">
        <v>410</v>
      </c>
      <c r="F117" s="140" t="s">
        <v>480</v>
      </c>
      <c r="G117" s="140"/>
      <c r="H117" s="140" t="s">
        <v>482</v>
      </c>
      <c r="I117" s="140">
        <v>100</v>
      </c>
      <c r="J117" s="141">
        <v>2.4300000000000002</v>
      </c>
      <c r="K117" s="140">
        <v>15</v>
      </c>
      <c r="L117" s="140" t="s">
        <v>71</v>
      </c>
      <c r="M117" s="140">
        <v>3</v>
      </c>
      <c r="N117"/>
      <c r="O117"/>
      <c r="P117"/>
      <c r="Q117" s="108">
        <v>10</v>
      </c>
      <c r="R117" s="53">
        <v>8</v>
      </c>
      <c r="S117" s="53">
        <f t="shared" si="69"/>
        <v>2</v>
      </c>
      <c r="T117" s="80">
        <v>33</v>
      </c>
      <c r="U117" s="80" t="s">
        <v>302</v>
      </c>
      <c r="V117" s="81">
        <v>8.3416944999999991</v>
      </c>
      <c r="W117" s="81">
        <v>993.75496273177328</v>
      </c>
      <c r="X117" s="83">
        <v>3.3997535000000001</v>
      </c>
      <c r="Y117" s="83">
        <v>8.1031969587223607</v>
      </c>
      <c r="Z117" s="71" t="s">
        <v>54</v>
      </c>
      <c r="AA117" s="75">
        <v>2.9111787500000004</v>
      </c>
      <c r="AB117" s="75">
        <v>7.1289713486518078</v>
      </c>
      <c r="AC117" s="75">
        <v>2.0592423593750002</v>
      </c>
      <c r="AD117" s="75">
        <v>-26.716135928040213</v>
      </c>
      <c r="AE117" s="75">
        <v>2.375375</v>
      </c>
      <c r="AF117" s="75">
        <v>2.375375</v>
      </c>
      <c r="AG117" s="32">
        <f t="shared" si="70"/>
        <v>2.3009777396870598E-2</v>
      </c>
      <c r="AH117" s="32">
        <f t="shared" si="71"/>
        <v>0.53073405008612418</v>
      </c>
      <c r="AI117" s="33">
        <f t="shared" si="72"/>
        <v>0.19194053355769977</v>
      </c>
      <c r="AJ117" s="34">
        <f t="shared" si="73"/>
        <v>1.804364944349476</v>
      </c>
      <c r="AK117" s="16">
        <f t="shared" si="74"/>
        <v>0.16314945352404481</v>
      </c>
      <c r="AL117" s="16">
        <f t="shared" si="75"/>
        <v>1.5337102026970546</v>
      </c>
      <c r="AM117" s="27">
        <f t="shared" si="76"/>
        <v>163.14945352404482</v>
      </c>
      <c r="AN117" s="27">
        <f t="shared" si="77"/>
        <v>1533.7102026970547</v>
      </c>
      <c r="AO117" s="29" t="e">
        <f t="shared" si="78"/>
        <v>#VALUE!</v>
      </c>
      <c r="AP117" s="29" t="e">
        <f t="shared" si="79"/>
        <v>#VALUE!</v>
      </c>
      <c r="AQ117" s="27">
        <f t="shared" si="80"/>
        <v>9.400645663033238</v>
      </c>
      <c r="AR117" s="14">
        <f t="shared" si="81"/>
        <v>988.60599138312148</v>
      </c>
      <c r="AS117" s="25">
        <v>0.36620000000000003</v>
      </c>
      <c r="AT117" s="22">
        <f t="shared" si="82"/>
        <v>0.72570656354360075</v>
      </c>
      <c r="AU117" s="22">
        <f t="shared" si="83"/>
        <v>0.35950656354360072</v>
      </c>
      <c r="AV117" s="15"/>
      <c r="AW117" s="22"/>
      <c r="AX117" s="34">
        <f t="shared" si="84"/>
        <v>3595.0656354360071</v>
      </c>
      <c r="AY117" s="14">
        <f t="shared" si="85"/>
        <v>8.7893328867625726</v>
      </c>
      <c r="AZ117" s="25">
        <v>1.0819000000000001</v>
      </c>
      <c r="BA117" s="22">
        <f t="shared" si="86"/>
        <v>1.1208706463006677</v>
      </c>
      <c r="BB117" s="38">
        <f t="shared" si="87"/>
        <v>3.89706463006676E-2</v>
      </c>
      <c r="BC117" s="58">
        <f t="shared" si="88"/>
        <v>1.7325258310551348</v>
      </c>
      <c r="BD117" s="38">
        <f t="shared" si="89"/>
        <v>0.67517651368819853</v>
      </c>
      <c r="BE117" s="38">
        <f t="shared" si="90"/>
        <v>389.70646300667602</v>
      </c>
    </row>
    <row r="118" spans="1:57" ht="15.75">
      <c r="A118" s="138">
        <v>59</v>
      </c>
      <c r="B118" s="139">
        <v>2</v>
      </c>
      <c r="C118" s="140" t="s">
        <v>415</v>
      </c>
      <c r="D118" s="140" t="s">
        <v>416</v>
      </c>
      <c r="E118" s="140" t="s">
        <v>410</v>
      </c>
      <c r="F118" s="140" t="s">
        <v>480</v>
      </c>
      <c r="G118" s="140"/>
      <c r="H118" s="140" t="s">
        <v>482</v>
      </c>
      <c r="I118" s="140">
        <v>100</v>
      </c>
      <c r="J118" s="141">
        <v>11.44</v>
      </c>
      <c r="K118" s="140">
        <v>15</v>
      </c>
      <c r="L118" s="140" t="s">
        <v>72</v>
      </c>
      <c r="M118" s="140">
        <v>3</v>
      </c>
      <c r="N118"/>
      <c r="O118"/>
      <c r="P118"/>
      <c r="Q118" s="108">
        <v>10</v>
      </c>
      <c r="R118" s="53">
        <v>8</v>
      </c>
      <c r="S118" s="53">
        <f t="shared" si="69"/>
        <v>2</v>
      </c>
      <c r="T118" s="82">
        <v>34</v>
      </c>
      <c r="U118" s="82" t="s">
        <v>303</v>
      </c>
      <c r="V118" s="83">
        <v>11.175364999999999</v>
      </c>
      <c r="W118" s="83">
        <v>1859.0964390034992</v>
      </c>
      <c r="X118" s="81">
        <v>3.5222424999999999</v>
      </c>
      <c r="Y118" s="81">
        <v>27.405819464407855</v>
      </c>
      <c r="Z118" s="71" t="s">
        <v>54</v>
      </c>
      <c r="AA118" s="75">
        <v>2.9111787500000004</v>
      </c>
      <c r="AB118" s="75">
        <v>7.1289713486518078</v>
      </c>
      <c r="AC118" s="75">
        <v>2.0592423593750002</v>
      </c>
      <c r="AD118" s="75">
        <v>-26.716135928040213</v>
      </c>
      <c r="AE118" s="75">
        <v>2.375375</v>
      </c>
      <c r="AF118" s="75">
        <v>2.375375</v>
      </c>
      <c r="AG118" s="32">
        <f t="shared" si="70"/>
        <v>2.3009777396870598E-2</v>
      </c>
      <c r="AH118" s="32">
        <f t="shared" si="71"/>
        <v>0.53073405008612418</v>
      </c>
      <c r="AI118" s="33">
        <f t="shared" si="72"/>
        <v>0.25714266097877875</v>
      </c>
      <c r="AJ118" s="34">
        <f t="shared" si="73"/>
        <v>1.8693740274104753</v>
      </c>
      <c r="AK118" s="16">
        <f t="shared" si="74"/>
        <v>0.21857126183196193</v>
      </c>
      <c r="AL118" s="16">
        <f t="shared" si="75"/>
        <v>1.588967923298904</v>
      </c>
      <c r="AM118" s="27">
        <f t="shared" si="76"/>
        <v>218.57126183196192</v>
      </c>
      <c r="AN118" s="27">
        <f t="shared" si="77"/>
        <v>1588.967923298904</v>
      </c>
      <c r="AO118" s="29" t="e">
        <f t="shared" si="78"/>
        <v>#VALUE!</v>
      </c>
      <c r="AP118" s="29" t="e">
        <f t="shared" si="79"/>
        <v>#VALUE!</v>
      </c>
      <c r="AQ118" s="27">
        <f t="shared" si="80"/>
        <v>7.2697934302109033</v>
      </c>
      <c r="AR118" s="14">
        <f t="shared" si="81"/>
        <v>1853.9474676548473</v>
      </c>
      <c r="AS118" s="25">
        <v>0.36620000000000003</v>
      </c>
      <c r="AT118" s="22">
        <f t="shared" si="82"/>
        <v>1.0382190182601068</v>
      </c>
      <c r="AU118" s="22">
        <f t="shared" si="83"/>
        <v>0.67201901826010668</v>
      </c>
      <c r="AV118" s="15"/>
      <c r="AW118" s="22"/>
      <c r="AX118" s="34">
        <f t="shared" si="84"/>
        <v>6720.1901826010671</v>
      </c>
      <c r="AY118" s="14">
        <f t="shared" si="85"/>
        <v>28.091955392448067</v>
      </c>
      <c r="AZ118" s="25">
        <v>1.0819000000000001</v>
      </c>
      <c r="BA118" s="22">
        <f t="shared" si="86"/>
        <v>1.1420729392872939</v>
      </c>
      <c r="BB118" s="38">
        <f t="shared" si="87"/>
        <v>6.0172939287293836E-2</v>
      </c>
      <c r="BC118" s="58">
        <f t="shared" si="88"/>
        <v>1.7946692162211806</v>
      </c>
      <c r="BD118" s="38">
        <f t="shared" si="89"/>
        <v>1.079905217884523</v>
      </c>
      <c r="BE118" s="38">
        <f t="shared" si="90"/>
        <v>601.72939287293832</v>
      </c>
    </row>
    <row r="119" spans="1:57" ht="15.75">
      <c r="A119" s="135"/>
      <c r="B119" s="136"/>
      <c r="C119" s="135"/>
      <c r="D119" s="135" t="s">
        <v>116</v>
      </c>
      <c r="E119" s="135"/>
      <c r="F119" s="135" t="s">
        <v>55</v>
      </c>
      <c r="G119" s="135"/>
      <c r="H119" s="135"/>
      <c r="I119" s="135"/>
      <c r="J119" s="135"/>
      <c r="K119" s="135"/>
      <c r="L119" s="135" t="s">
        <v>128</v>
      </c>
      <c r="M119" s="137"/>
      <c r="N119"/>
      <c r="O119"/>
      <c r="P119"/>
      <c r="Q119" s="108">
        <v>10</v>
      </c>
      <c r="R119" s="53">
        <v>8</v>
      </c>
      <c r="S119" s="53">
        <f t="shared" si="69"/>
        <v>2</v>
      </c>
      <c r="T119" s="80">
        <v>35</v>
      </c>
      <c r="U119" s="80" t="s">
        <v>304</v>
      </c>
      <c r="V119" s="81">
        <v>5.1111234999999997</v>
      </c>
      <c r="W119" s="81">
        <v>3.0989995886476995</v>
      </c>
      <c r="X119" s="83">
        <v>3.3620982499999998</v>
      </c>
      <c r="Y119" s="83">
        <v>-25.984292929711664</v>
      </c>
      <c r="Z119" s="71">
        <v>3.1219999999999999</v>
      </c>
      <c r="AA119" s="75">
        <v>2.9111787500000004</v>
      </c>
      <c r="AB119" s="75">
        <v>7.1289713486518078</v>
      </c>
      <c r="AC119" s="75">
        <v>2.0592423593750002</v>
      </c>
      <c r="AD119" s="75">
        <v>-26.716135928040213</v>
      </c>
      <c r="AE119" s="75">
        <v>2.375375</v>
      </c>
      <c r="AF119" s="75">
        <v>2.375375</v>
      </c>
      <c r="AG119" s="32">
        <f t="shared" si="70"/>
        <v>2.3009777396870598E-2</v>
      </c>
      <c r="AH119" s="32">
        <f t="shared" si="71"/>
        <v>0.53073405008612418</v>
      </c>
      <c r="AI119" s="33">
        <f t="shared" si="72"/>
        <v>0.11760581398291413</v>
      </c>
      <c r="AJ119" s="34">
        <f t="shared" si="73"/>
        <v>1.7843800210099703</v>
      </c>
      <c r="AK119" s="16" t="e">
        <f t="shared" si="74"/>
        <v>#DIV/0!</v>
      </c>
      <c r="AL119" s="16" t="e">
        <f t="shared" si="75"/>
        <v>#DIV/0!</v>
      </c>
      <c r="AM119" s="27" t="e">
        <f t="shared" si="76"/>
        <v>#DIV/0!</v>
      </c>
      <c r="AN119" s="27" t="e">
        <f t="shared" si="77"/>
        <v>#DIV/0!</v>
      </c>
      <c r="AO119" s="29">
        <f t="shared" si="78"/>
        <v>3.7670023697281914</v>
      </c>
      <c r="AP119" s="29">
        <f t="shared" si="79"/>
        <v>57.155029500639671</v>
      </c>
      <c r="AQ119" s="27">
        <f t="shared" si="80"/>
        <v>15.172549388325363</v>
      </c>
      <c r="AR119" s="14">
        <f t="shared" si="81"/>
        <v>-2.0499717600041079</v>
      </c>
      <c r="AS119" s="25">
        <v>0.36620000000000003</v>
      </c>
      <c r="AT119" s="22">
        <f t="shared" si="82"/>
        <v>0.36550558618525864</v>
      </c>
      <c r="AU119" s="22">
        <f t="shared" si="83"/>
        <v>-6.944138147413903E-4</v>
      </c>
      <c r="AV119" s="15"/>
      <c r="AW119" s="22"/>
      <c r="AX119" s="34">
        <f t="shared" si="84"/>
        <v>-6.944138147413903</v>
      </c>
      <c r="AY119" s="14">
        <f t="shared" si="85"/>
        <v>-25.298157001671452</v>
      </c>
      <c r="AZ119" s="25">
        <v>1.0819000000000001</v>
      </c>
      <c r="BA119" s="22">
        <f t="shared" si="86"/>
        <v>1.0834062111064562</v>
      </c>
      <c r="BB119" s="38">
        <f t="shared" si="87"/>
        <v>1.5062111064561012E-3</v>
      </c>
      <c r="BC119" s="58" t="e">
        <f t="shared" si="88"/>
        <v>#DIV/0!</v>
      </c>
      <c r="BD119" s="38" t="e">
        <f t="shared" si="89"/>
        <v>#DIV/0!</v>
      </c>
      <c r="BE119" s="38">
        <f t="shared" si="90"/>
        <v>15.062111064561014</v>
      </c>
    </row>
    <row r="120" spans="1:57" ht="15.75">
      <c r="A120" s="138">
        <v>60</v>
      </c>
      <c r="B120" s="139">
        <v>2</v>
      </c>
      <c r="C120" s="140" t="s">
        <v>417</v>
      </c>
      <c r="D120" s="140" t="s">
        <v>422</v>
      </c>
      <c r="E120" s="140" t="s">
        <v>410</v>
      </c>
      <c r="F120" s="140" t="s">
        <v>480</v>
      </c>
      <c r="G120" s="140"/>
      <c r="H120" s="140" t="s">
        <v>482</v>
      </c>
      <c r="I120" s="140">
        <v>100</v>
      </c>
      <c r="J120" s="141">
        <v>7.33</v>
      </c>
      <c r="K120" s="140">
        <v>15</v>
      </c>
      <c r="L120" s="140" t="s">
        <v>73</v>
      </c>
      <c r="M120" s="140">
        <v>3</v>
      </c>
      <c r="N120"/>
      <c r="O120"/>
      <c r="P120"/>
      <c r="Q120" s="108">
        <v>10</v>
      </c>
      <c r="R120" s="53">
        <v>8</v>
      </c>
      <c r="S120" s="53">
        <f t="shared" si="69"/>
        <v>2</v>
      </c>
      <c r="T120" s="82">
        <v>36</v>
      </c>
      <c r="U120" s="82" t="s">
        <v>305</v>
      </c>
      <c r="V120" s="83">
        <v>6.4803850000000001</v>
      </c>
      <c r="W120" s="83">
        <v>1944.8267265768291</v>
      </c>
      <c r="X120" s="81">
        <v>5.0502849999999997</v>
      </c>
      <c r="Y120" s="81">
        <v>-6.6013105702577421</v>
      </c>
      <c r="Z120" s="71" t="s">
        <v>54</v>
      </c>
      <c r="AA120" s="75">
        <v>2.9111787500000004</v>
      </c>
      <c r="AB120" s="75">
        <v>7.1289713486518078</v>
      </c>
      <c r="AC120" s="75">
        <v>2.0592423593750002</v>
      </c>
      <c r="AD120" s="75">
        <v>-26.716135928040213</v>
      </c>
      <c r="AE120" s="75">
        <v>2.375375</v>
      </c>
      <c r="AF120" s="75">
        <v>2.375375</v>
      </c>
      <c r="AG120" s="32">
        <f t="shared" si="70"/>
        <v>2.3009777396870598E-2</v>
      </c>
      <c r="AH120" s="32">
        <f t="shared" si="71"/>
        <v>0.53073405008612418</v>
      </c>
      <c r="AI120" s="33">
        <f t="shared" si="72"/>
        <v>0.14911221629601926</v>
      </c>
      <c r="AJ120" s="34">
        <f t="shared" si="73"/>
        <v>2.6803582121392013</v>
      </c>
      <c r="AK120" s="16">
        <f t="shared" si="74"/>
        <v>0.12674538385161638</v>
      </c>
      <c r="AL120" s="16">
        <f t="shared" si="75"/>
        <v>2.278304480318321</v>
      </c>
      <c r="AM120" s="27">
        <f t="shared" si="76"/>
        <v>126.74538385161638</v>
      </c>
      <c r="AN120" s="27">
        <f t="shared" si="77"/>
        <v>2278.3044803183211</v>
      </c>
      <c r="AO120" s="29" t="e">
        <f t="shared" si="78"/>
        <v>#VALUE!</v>
      </c>
      <c r="AP120" s="29" t="e">
        <f t="shared" si="79"/>
        <v>#VALUE!</v>
      </c>
      <c r="AQ120" s="27">
        <f t="shared" si="80"/>
        <v>17.97544345272237</v>
      </c>
      <c r="AR120" s="14">
        <f t="shared" si="81"/>
        <v>1939.6777552281771</v>
      </c>
      <c r="AS120" s="25">
        <v>0.36620000000000003</v>
      </c>
      <c r="AT120" s="22">
        <f t="shared" si="82"/>
        <v>1.0690728683352688</v>
      </c>
      <c r="AU120" s="22">
        <f t="shared" si="83"/>
        <v>0.70287286833526874</v>
      </c>
      <c r="AV120" s="15"/>
      <c r="AW120" s="22"/>
      <c r="AX120" s="34">
        <f t="shared" si="84"/>
        <v>7028.7286833526869</v>
      </c>
      <c r="AY120" s="14">
        <f t="shared" si="85"/>
        <v>-5.9151746422175302</v>
      </c>
      <c r="AZ120" s="25">
        <v>1.0819000000000001</v>
      </c>
      <c r="BA120" s="22">
        <f t="shared" si="86"/>
        <v>1.1047128884859481</v>
      </c>
      <c r="BB120" s="38">
        <f t="shared" si="87"/>
        <v>2.281288848594798E-2</v>
      </c>
      <c r="BC120" s="58">
        <f t="shared" si="88"/>
        <v>2.5699040016107872</v>
      </c>
      <c r="BD120" s="38">
        <f t="shared" si="89"/>
        <v>0.58626933408338366</v>
      </c>
      <c r="BE120" s="38">
        <f t="shared" si="90"/>
        <v>228.12888485947983</v>
      </c>
    </row>
    <row r="121" spans="1:57" ht="15.75">
      <c r="A121" s="138">
        <v>61</v>
      </c>
      <c r="B121" s="139">
        <v>2</v>
      </c>
      <c r="C121" s="140" t="s">
        <v>419</v>
      </c>
      <c r="D121" s="140" t="s">
        <v>409</v>
      </c>
      <c r="E121" s="140" t="s">
        <v>410</v>
      </c>
      <c r="F121" s="140" t="s">
        <v>480</v>
      </c>
      <c r="G121" s="140"/>
      <c r="H121" s="140" t="s">
        <v>482</v>
      </c>
      <c r="I121" s="140">
        <v>100</v>
      </c>
      <c r="J121" s="141">
        <v>6.91</v>
      </c>
      <c r="K121" s="140">
        <v>15</v>
      </c>
      <c r="L121" s="140" t="s">
        <v>74</v>
      </c>
      <c r="M121" s="140">
        <v>3</v>
      </c>
      <c r="N121"/>
      <c r="O121"/>
      <c r="P121"/>
      <c r="Q121" s="108">
        <v>10</v>
      </c>
      <c r="R121" s="53">
        <v>8</v>
      </c>
      <c r="S121" s="53">
        <f t="shared" si="69"/>
        <v>2</v>
      </c>
      <c r="T121" s="80">
        <v>37</v>
      </c>
      <c r="U121" s="80" t="s">
        <v>306</v>
      </c>
      <c r="V121" s="81">
        <v>11.284039</v>
      </c>
      <c r="W121" s="81">
        <v>1524.5620078448335</v>
      </c>
      <c r="X121" s="83">
        <v>6.3096635000000001</v>
      </c>
      <c r="Y121" s="83">
        <v>-8.4440523778402827</v>
      </c>
      <c r="Z121" s="71" t="s">
        <v>54</v>
      </c>
      <c r="AA121" s="75">
        <v>2.9111787500000004</v>
      </c>
      <c r="AB121" s="75">
        <v>7.1289713486518078</v>
      </c>
      <c r="AC121" s="75">
        <v>2.0592423593750002</v>
      </c>
      <c r="AD121" s="75">
        <v>-26.716135928040213</v>
      </c>
      <c r="AE121" s="75">
        <v>2.375375</v>
      </c>
      <c r="AF121" s="75">
        <v>2.375375</v>
      </c>
      <c r="AG121" s="32">
        <f t="shared" si="70"/>
        <v>2.3009777396870598E-2</v>
      </c>
      <c r="AH121" s="32">
        <f t="shared" si="71"/>
        <v>0.53073405008612418</v>
      </c>
      <c r="AI121" s="33">
        <f t="shared" si="72"/>
        <v>0.25964322552760633</v>
      </c>
      <c r="AJ121" s="34">
        <f t="shared" si="73"/>
        <v>3.3487532640355897</v>
      </c>
      <c r="AK121" s="16">
        <f t="shared" si="74"/>
        <v>0.22069674169846537</v>
      </c>
      <c r="AL121" s="16">
        <f t="shared" si="75"/>
        <v>2.8464402744302513</v>
      </c>
      <c r="AM121" s="27">
        <f t="shared" si="76"/>
        <v>220.69674169846536</v>
      </c>
      <c r="AN121" s="27">
        <f t="shared" si="77"/>
        <v>2846.4402744302511</v>
      </c>
      <c r="AO121" s="29" t="e">
        <f t="shared" si="78"/>
        <v>#VALUE!</v>
      </c>
      <c r="AP121" s="29" t="e">
        <f t="shared" si="79"/>
        <v>#VALUE!</v>
      </c>
      <c r="AQ121" s="27">
        <f t="shared" si="80"/>
        <v>12.897518343606992</v>
      </c>
      <c r="AR121" s="14">
        <f t="shared" si="81"/>
        <v>1519.4130364961816</v>
      </c>
      <c r="AS121" s="25">
        <v>0.36620000000000003</v>
      </c>
      <c r="AT121" s="22">
        <f t="shared" si="82"/>
        <v>0.91763765739044512</v>
      </c>
      <c r="AU121" s="22">
        <f t="shared" si="83"/>
        <v>0.55143765739044515</v>
      </c>
      <c r="AV121" s="15"/>
      <c r="AW121" s="22"/>
      <c r="AX121" s="34">
        <f t="shared" si="84"/>
        <v>5514.3765739044511</v>
      </c>
      <c r="AY121" s="14">
        <f t="shared" si="85"/>
        <v>-7.7579164498000708</v>
      </c>
      <c r="AZ121" s="25">
        <v>1.0819000000000001</v>
      </c>
      <c r="BA121" s="22">
        <f t="shared" si="86"/>
        <v>1.1026876556746885</v>
      </c>
      <c r="BB121" s="38">
        <f t="shared" si="87"/>
        <v>2.0787655674688432E-2</v>
      </c>
      <c r="BC121" s="58">
        <f t="shared" si="88"/>
        <v>3.208835197027005</v>
      </c>
      <c r="BD121" s="38">
        <f t="shared" si="89"/>
        <v>0.66704161192618394</v>
      </c>
      <c r="BE121" s="38">
        <f t="shared" si="90"/>
        <v>207.87655674688432</v>
      </c>
    </row>
    <row r="122" spans="1:57" ht="15.75">
      <c r="A122" s="138">
        <v>62</v>
      </c>
      <c r="B122" s="139">
        <v>2</v>
      </c>
      <c r="C122" s="140" t="s">
        <v>421</v>
      </c>
      <c r="D122" s="140" t="s">
        <v>424</v>
      </c>
      <c r="E122" s="140" t="s">
        <v>410</v>
      </c>
      <c r="F122" s="140" t="s">
        <v>480</v>
      </c>
      <c r="G122" s="140"/>
      <c r="H122" s="140" t="s">
        <v>482</v>
      </c>
      <c r="I122" s="140">
        <v>100</v>
      </c>
      <c r="J122" s="141">
        <v>16.53</v>
      </c>
      <c r="K122" s="140">
        <v>15</v>
      </c>
      <c r="L122" s="140" t="s">
        <v>75</v>
      </c>
      <c r="M122" s="140">
        <v>3</v>
      </c>
      <c r="N122"/>
      <c r="O122"/>
      <c r="P122"/>
      <c r="Q122" s="108">
        <v>10</v>
      </c>
      <c r="R122" s="53">
        <v>8</v>
      </c>
      <c r="S122" s="53">
        <f t="shared" si="69"/>
        <v>2</v>
      </c>
      <c r="T122" s="82">
        <v>38</v>
      </c>
      <c r="U122" s="82" t="s">
        <v>307</v>
      </c>
      <c r="V122" s="83">
        <v>14.049754999999999</v>
      </c>
      <c r="W122" s="83">
        <v>2122.9476927734181</v>
      </c>
      <c r="X122" s="81">
        <v>6.8700925000000002</v>
      </c>
      <c r="Y122" s="81">
        <v>52.579116957342897</v>
      </c>
      <c r="Z122" s="71" t="s">
        <v>54</v>
      </c>
      <c r="AA122" s="75">
        <v>2.9111787500000004</v>
      </c>
      <c r="AB122" s="75">
        <v>7.1289713486518078</v>
      </c>
      <c r="AC122" s="75">
        <v>2.0592423593750002</v>
      </c>
      <c r="AD122" s="75">
        <v>-26.716135928040213</v>
      </c>
      <c r="AE122" s="75">
        <v>2.375375</v>
      </c>
      <c r="AF122" s="75">
        <v>2.375375</v>
      </c>
      <c r="AG122" s="32">
        <f t="shared" si="70"/>
        <v>2.3009777396870598E-2</v>
      </c>
      <c r="AH122" s="32">
        <f t="shared" si="71"/>
        <v>0.53073405008612418</v>
      </c>
      <c r="AI122" s="33">
        <f t="shared" si="72"/>
        <v>0.32328173503056967</v>
      </c>
      <c r="AJ122" s="34">
        <f t="shared" si="73"/>
        <v>3.6461920169913062</v>
      </c>
      <c r="AK122" s="16">
        <f t="shared" si="74"/>
        <v>0.2747894747759842</v>
      </c>
      <c r="AL122" s="16">
        <f t="shared" si="75"/>
        <v>3.0992632144426104</v>
      </c>
      <c r="AM122" s="27">
        <f t="shared" si="76"/>
        <v>274.78947477598422</v>
      </c>
      <c r="AN122" s="27">
        <f t="shared" si="77"/>
        <v>3099.2632144426107</v>
      </c>
      <c r="AO122" s="29" t="e">
        <f t="shared" si="78"/>
        <v>#VALUE!</v>
      </c>
      <c r="AP122" s="29" t="e">
        <f t="shared" si="79"/>
        <v>#VALUE!</v>
      </c>
      <c r="AQ122" s="27">
        <f t="shared" si="80"/>
        <v>11.278682405755218</v>
      </c>
      <c r="AR122" s="14">
        <f t="shared" si="81"/>
        <v>2117.7987214247664</v>
      </c>
      <c r="AS122" s="25">
        <v>0.36620000000000003</v>
      </c>
      <c r="AT122" s="22">
        <f t="shared" si="82"/>
        <v>1.1331161341418294</v>
      </c>
      <c r="AU122" s="22">
        <f t="shared" si="83"/>
        <v>0.76691613414182935</v>
      </c>
      <c r="AV122" s="15"/>
      <c r="AW122" s="22"/>
      <c r="AX122" s="34">
        <f t="shared" si="84"/>
        <v>7669.1613414182939</v>
      </c>
      <c r="AY122" s="14">
        <f t="shared" si="85"/>
        <v>53.265252885383106</v>
      </c>
      <c r="AZ122" s="25">
        <v>1.0819000000000001</v>
      </c>
      <c r="BA122" s="22">
        <f t="shared" si="86"/>
        <v>1.1697100130928149</v>
      </c>
      <c r="BB122" s="38">
        <f t="shared" si="87"/>
        <v>8.7810013092814776E-2</v>
      </c>
      <c r="BC122" s="58">
        <f t="shared" si="88"/>
        <v>3.4931624035943041</v>
      </c>
      <c r="BD122" s="38">
        <f t="shared" si="89"/>
        <v>3.0673463639494423</v>
      </c>
      <c r="BE122" s="38">
        <f t="shared" si="90"/>
        <v>878.10013092814779</v>
      </c>
    </row>
    <row r="123" spans="1:57" ht="15.75">
      <c r="A123" s="138">
        <v>63</v>
      </c>
      <c r="B123" s="139">
        <v>2</v>
      </c>
      <c r="C123" s="140" t="s">
        <v>423</v>
      </c>
      <c r="D123" s="140" t="s">
        <v>414</v>
      </c>
      <c r="E123" s="140" t="s">
        <v>410</v>
      </c>
      <c r="F123" s="140" t="s">
        <v>480</v>
      </c>
      <c r="G123" s="140"/>
      <c r="H123" s="140" t="s">
        <v>482</v>
      </c>
      <c r="I123" s="140">
        <v>100</v>
      </c>
      <c r="J123" s="141">
        <v>11.79</v>
      </c>
      <c r="K123" s="140">
        <v>15</v>
      </c>
      <c r="L123" s="140" t="s">
        <v>76</v>
      </c>
      <c r="M123" s="140">
        <v>3</v>
      </c>
      <c r="N123"/>
      <c r="O123"/>
      <c r="P123"/>
      <c r="Q123" s="108">
        <v>10</v>
      </c>
      <c r="R123" s="53">
        <v>8</v>
      </c>
      <c r="S123" s="53">
        <f t="shared" si="69"/>
        <v>2</v>
      </c>
      <c r="T123" s="80">
        <v>39</v>
      </c>
      <c r="U123" s="80" t="s">
        <v>308</v>
      </c>
      <c r="V123" s="81">
        <v>11.87978</v>
      </c>
      <c r="W123" s="81">
        <v>1457.311483835095</v>
      </c>
      <c r="X123" s="83">
        <v>3.2228759999999999</v>
      </c>
      <c r="Y123" s="83">
        <v>18.777355677723996</v>
      </c>
      <c r="Z123" s="71" t="s">
        <v>54</v>
      </c>
      <c r="AA123" s="75">
        <v>2.9111787500000004</v>
      </c>
      <c r="AB123" s="75">
        <v>7.1289713486518078</v>
      </c>
      <c r="AC123" s="75">
        <v>2.0592423593750002</v>
      </c>
      <c r="AD123" s="75">
        <v>-26.716135928040213</v>
      </c>
      <c r="AE123" s="75">
        <v>2.375375</v>
      </c>
      <c r="AF123" s="75">
        <v>2.375375</v>
      </c>
      <c r="AG123" s="32">
        <f t="shared" si="70"/>
        <v>2.3009777396870598E-2</v>
      </c>
      <c r="AH123" s="32">
        <f t="shared" si="71"/>
        <v>0.53073405008612418</v>
      </c>
      <c r="AI123" s="33">
        <f t="shared" si="72"/>
        <v>0.27335109332379537</v>
      </c>
      <c r="AJ123" s="34">
        <f t="shared" si="73"/>
        <v>1.7104900324053676</v>
      </c>
      <c r="AK123" s="16">
        <f t="shared" si="74"/>
        <v>0.23234842932522606</v>
      </c>
      <c r="AL123" s="16">
        <f t="shared" si="75"/>
        <v>1.4539165275445625</v>
      </c>
      <c r="AM123" s="27">
        <f t="shared" si="76"/>
        <v>232.34842932522605</v>
      </c>
      <c r="AN123" s="27">
        <f t="shared" si="77"/>
        <v>1453.9165275445625</v>
      </c>
      <c r="AO123" s="29" t="e">
        <f t="shared" si="78"/>
        <v>#VALUE!</v>
      </c>
      <c r="AP123" s="29" t="e">
        <f t="shared" si="79"/>
        <v>#VALUE!</v>
      </c>
      <c r="AQ123" s="27">
        <f t="shared" si="80"/>
        <v>6.2574837788529472</v>
      </c>
      <c r="AR123" s="14">
        <f t="shared" si="81"/>
        <v>1452.1625124864431</v>
      </c>
      <c r="AS123" s="25">
        <v>0.36620000000000003</v>
      </c>
      <c r="AT123" s="22">
        <f t="shared" si="82"/>
        <v>0.89336204069060499</v>
      </c>
      <c r="AU123" s="22">
        <f t="shared" si="83"/>
        <v>0.52716204069060502</v>
      </c>
      <c r="AV123" s="15"/>
      <c r="AW123" s="22"/>
      <c r="AX123" s="34">
        <f t="shared" si="84"/>
        <v>5271.6204069060495</v>
      </c>
      <c r="AY123" s="14">
        <f t="shared" si="85"/>
        <v>19.463491605764208</v>
      </c>
      <c r="AZ123" s="25">
        <v>1.0819000000000001</v>
      </c>
      <c r="BA123" s="22">
        <f t="shared" si="86"/>
        <v>1.132596427871065</v>
      </c>
      <c r="BB123" s="38">
        <f t="shared" si="87"/>
        <v>5.0696427871064875E-2</v>
      </c>
      <c r="BC123" s="58">
        <f t="shared" si="88"/>
        <v>1.6427890660418907</v>
      </c>
      <c r="BD123" s="38">
        <f t="shared" si="89"/>
        <v>0.83283537393966756</v>
      </c>
      <c r="BE123" s="38">
        <f t="shared" si="90"/>
        <v>506.96427871064873</v>
      </c>
    </row>
    <row r="124" spans="1:57" ht="15.75">
      <c r="A124" s="138">
        <v>64</v>
      </c>
      <c r="B124" s="139">
        <v>2</v>
      </c>
      <c r="C124" s="140" t="s">
        <v>425</v>
      </c>
      <c r="D124" s="140" t="s">
        <v>420</v>
      </c>
      <c r="E124" s="140" t="s">
        <v>410</v>
      </c>
      <c r="F124" s="140" t="s">
        <v>480</v>
      </c>
      <c r="G124" s="140"/>
      <c r="H124" s="140" t="s">
        <v>482</v>
      </c>
      <c r="I124" s="140">
        <v>100</v>
      </c>
      <c r="J124" s="141">
        <v>10.14</v>
      </c>
      <c r="K124" s="140">
        <v>15</v>
      </c>
      <c r="L124" s="140" t="s">
        <v>77</v>
      </c>
      <c r="M124" s="140">
        <v>3</v>
      </c>
      <c r="N124"/>
      <c r="O124"/>
      <c r="P124"/>
      <c r="Q124" s="108">
        <v>10</v>
      </c>
      <c r="R124" s="53">
        <v>8</v>
      </c>
      <c r="S124" s="53">
        <f t="shared" si="69"/>
        <v>2</v>
      </c>
      <c r="T124" s="82">
        <v>40</v>
      </c>
      <c r="U124" s="82" t="s">
        <v>309</v>
      </c>
      <c r="V124" s="83">
        <v>19.738157999999999</v>
      </c>
      <c r="W124" s="83">
        <v>1274.7858424874198</v>
      </c>
      <c r="X124" s="81">
        <v>7.4771890000000001</v>
      </c>
      <c r="Y124" s="81">
        <v>30.742017585905174</v>
      </c>
      <c r="Z124" s="71" t="s">
        <v>54</v>
      </c>
      <c r="AA124" s="75">
        <v>2.9111787500000004</v>
      </c>
      <c r="AB124" s="75">
        <v>7.1289713486518078</v>
      </c>
      <c r="AC124" s="75">
        <v>2.0592423593750002</v>
      </c>
      <c r="AD124" s="75">
        <v>-26.716135928040213</v>
      </c>
      <c r="AE124" s="75">
        <v>2.375375</v>
      </c>
      <c r="AF124" s="75">
        <v>2.375375</v>
      </c>
      <c r="AG124" s="32">
        <f t="shared" si="70"/>
        <v>2.3009777396870598E-2</v>
      </c>
      <c r="AH124" s="32">
        <f t="shared" si="71"/>
        <v>0.53073405008612418</v>
      </c>
      <c r="AI124" s="33">
        <f t="shared" si="72"/>
        <v>0.45417062180426054</v>
      </c>
      <c r="AJ124" s="34">
        <f t="shared" si="73"/>
        <v>3.9683988012294167</v>
      </c>
      <c r="AK124" s="16">
        <f t="shared" si="74"/>
        <v>0.38604502853362144</v>
      </c>
      <c r="AL124" s="16">
        <f t="shared" si="75"/>
        <v>3.3731389810450043</v>
      </c>
      <c r="AM124" s="27">
        <f t="shared" si="76"/>
        <v>386.04502853362146</v>
      </c>
      <c r="AN124" s="27">
        <f t="shared" si="77"/>
        <v>3373.1389810450041</v>
      </c>
      <c r="AO124" s="29" t="e">
        <f t="shared" si="78"/>
        <v>#VALUE!</v>
      </c>
      <c r="AP124" s="29" t="e">
        <f t="shared" si="79"/>
        <v>#VALUE!</v>
      </c>
      <c r="AQ124" s="27">
        <f t="shared" si="80"/>
        <v>8.7376827357620801</v>
      </c>
      <c r="AR124" s="14">
        <f t="shared" si="81"/>
        <v>1269.6368711387679</v>
      </c>
      <c r="AS124" s="25">
        <v>0.36620000000000003</v>
      </c>
      <c r="AT124" s="22">
        <f t="shared" si="82"/>
        <v>0.82741523533594818</v>
      </c>
      <c r="AU124" s="22">
        <f t="shared" si="83"/>
        <v>0.46121523533594816</v>
      </c>
      <c r="AV124" s="15"/>
      <c r="AW124" s="22"/>
      <c r="AX124" s="34">
        <f t="shared" si="84"/>
        <v>4612.1523533594818</v>
      </c>
      <c r="AY124" s="14">
        <f t="shared" si="85"/>
        <v>31.428153513945386</v>
      </c>
      <c r="AZ124" s="25">
        <v>1.0819000000000001</v>
      </c>
      <c r="BA124" s="22">
        <f t="shared" si="86"/>
        <v>1.1457365482979673</v>
      </c>
      <c r="BB124" s="38">
        <f t="shared" si="87"/>
        <v>6.3836548297967255E-2</v>
      </c>
      <c r="BC124" s="58">
        <f t="shared" si="88"/>
        <v>3.8011658294730224</v>
      </c>
      <c r="BD124" s="38">
        <f t="shared" si="89"/>
        <v>2.4265330606173734</v>
      </c>
      <c r="BE124" s="38">
        <f t="shared" si="90"/>
        <v>638.36548297967261</v>
      </c>
    </row>
    <row r="125" spans="1:57" ht="15.75">
      <c r="A125" s="138">
        <v>65</v>
      </c>
      <c r="B125" s="139">
        <v>3</v>
      </c>
      <c r="C125" s="140" t="s">
        <v>408</v>
      </c>
      <c r="D125" s="140" t="s">
        <v>418</v>
      </c>
      <c r="E125" s="140" t="s">
        <v>410</v>
      </c>
      <c r="F125" s="140" t="s">
        <v>480</v>
      </c>
      <c r="G125" s="140"/>
      <c r="H125" s="140" t="s">
        <v>483</v>
      </c>
      <c r="I125" s="140">
        <v>100</v>
      </c>
      <c r="J125" s="141">
        <v>16.96</v>
      </c>
      <c r="K125" s="140">
        <v>15</v>
      </c>
      <c r="L125" s="140" t="s">
        <v>78</v>
      </c>
      <c r="M125" s="140">
        <v>3</v>
      </c>
      <c r="N125"/>
      <c r="O125"/>
      <c r="P125"/>
      <c r="Q125" s="108">
        <v>10</v>
      </c>
      <c r="R125" s="53">
        <v>8</v>
      </c>
      <c r="S125" s="53">
        <f t="shared" si="69"/>
        <v>2</v>
      </c>
      <c r="T125" s="80">
        <v>41</v>
      </c>
      <c r="U125" s="80" t="s">
        <v>310</v>
      </c>
      <c r="V125" s="81">
        <v>9.3864280000000004</v>
      </c>
      <c r="W125" s="81">
        <v>2303.0287758012437</v>
      </c>
      <c r="X125" s="83">
        <v>3.8332655</v>
      </c>
      <c r="Y125" s="83">
        <v>34.826762292629027</v>
      </c>
      <c r="Z125" s="71" t="s">
        <v>54</v>
      </c>
      <c r="AA125" s="75">
        <v>2.9111787500000004</v>
      </c>
      <c r="AB125" s="75">
        <v>7.1289713486518078</v>
      </c>
      <c r="AC125" s="75">
        <v>2.0592423593750002</v>
      </c>
      <c r="AD125" s="75">
        <v>-26.716135928040213</v>
      </c>
      <c r="AE125" s="75">
        <v>2.375375</v>
      </c>
      <c r="AF125" s="75">
        <v>2.375375</v>
      </c>
      <c r="AG125" s="32">
        <f t="shared" si="70"/>
        <v>2.3009777396870598E-2</v>
      </c>
      <c r="AH125" s="32">
        <f t="shared" si="71"/>
        <v>0.53073405008612418</v>
      </c>
      <c r="AI125" s="33">
        <f t="shared" si="72"/>
        <v>0.21597961883175329</v>
      </c>
      <c r="AJ125" s="34">
        <f t="shared" si="73"/>
        <v>2.0344445238704116</v>
      </c>
      <c r="AK125" s="16">
        <f t="shared" si="74"/>
        <v>0.1835826760069903</v>
      </c>
      <c r="AL125" s="16">
        <f t="shared" si="75"/>
        <v>1.7292778452898498</v>
      </c>
      <c r="AM125" s="27">
        <f t="shared" si="76"/>
        <v>183.58267600699031</v>
      </c>
      <c r="AN125" s="27">
        <f t="shared" si="77"/>
        <v>1729.2778452898499</v>
      </c>
      <c r="AO125" s="29" t="e">
        <f t="shared" si="78"/>
        <v>#VALUE!</v>
      </c>
      <c r="AP125" s="29" t="e">
        <f t="shared" si="79"/>
        <v>#VALUE!</v>
      </c>
      <c r="AQ125" s="27">
        <f t="shared" si="80"/>
        <v>9.4196134564679941</v>
      </c>
      <c r="AR125" s="14">
        <f t="shared" si="81"/>
        <v>2297.879804452592</v>
      </c>
      <c r="AS125" s="25">
        <v>0.36620000000000003</v>
      </c>
      <c r="AT125" s="22">
        <f t="shared" si="82"/>
        <v>1.1977799227337487</v>
      </c>
      <c r="AU125" s="22">
        <f t="shared" si="83"/>
        <v>0.83157992273374859</v>
      </c>
      <c r="AV125" s="15"/>
      <c r="AW125" s="22"/>
      <c r="AX125" s="34">
        <f t="shared" si="84"/>
        <v>8315.7992273374857</v>
      </c>
      <c r="AY125" s="14">
        <f t="shared" si="85"/>
        <v>35.512898220669243</v>
      </c>
      <c r="AZ125" s="25">
        <v>1.0819000000000001</v>
      </c>
      <c r="BA125" s="22">
        <f t="shared" si="86"/>
        <v>1.150221795699939</v>
      </c>
      <c r="BB125" s="38">
        <f t="shared" si="87"/>
        <v>6.8321795699938903E-2</v>
      </c>
      <c r="BC125" s="58">
        <f t="shared" si="88"/>
        <v>1.9524631575914182</v>
      </c>
      <c r="BD125" s="38">
        <f t="shared" si="89"/>
        <v>1.3339578896461848</v>
      </c>
      <c r="BE125" s="38">
        <f t="shared" si="90"/>
        <v>683.217956999389</v>
      </c>
    </row>
    <row r="126" spans="1:57" ht="15.75">
      <c r="A126" s="138">
        <v>66</v>
      </c>
      <c r="B126" s="139">
        <v>3</v>
      </c>
      <c r="C126" s="140" t="s">
        <v>413</v>
      </c>
      <c r="D126" s="140" t="s">
        <v>416</v>
      </c>
      <c r="E126" s="140" t="s">
        <v>410</v>
      </c>
      <c r="F126" s="140" t="s">
        <v>480</v>
      </c>
      <c r="G126" s="140"/>
      <c r="H126" s="140" t="s">
        <v>483</v>
      </c>
      <c r="I126" s="140">
        <v>100</v>
      </c>
      <c r="J126" s="141">
        <v>10.96</v>
      </c>
      <c r="K126" s="140">
        <v>15</v>
      </c>
      <c r="L126" s="140" t="s">
        <v>79</v>
      </c>
      <c r="M126" s="140">
        <v>3</v>
      </c>
      <c r="N126"/>
      <c r="O126"/>
      <c r="P126"/>
      <c r="Q126" s="108">
        <v>10</v>
      </c>
      <c r="R126" s="53">
        <v>8</v>
      </c>
      <c r="S126" s="53">
        <f t="shared" si="69"/>
        <v>2</v>
      </c>
      <c r="T126" s="82">
        <v>42</v>
      </c>
      <c r="U126" s="82" t="s">
        <v>311</v>
      </c>
      <c r="V126" s="83">
        <v>12.711357</v>
      </c>
      <c r="W126" s="83">
        <v>1743.5570342655069</v>
      </c>
      <c r="X126" s="81">
        <v>3.9130807500000002</v>
      </c>
      <c r="Y126" s="81">
        <v>50.872136934620222</v>
      </c>
      <c r="Z126" s="71" t="s">
        <v>54</v>
      </c>
      <c r="AA126" s="75">
        <v>2.9111787500000004</v>
      </c>
      <c r="AB126" s="75">
        <v>7.1289713486518078</v>
      </c>
      <c r="AC126" s="75">
        <v>2.0592423593750002</v>
      </c>
      <c r="AD126" s="75">
        <v>-26.716135928040213</v>
      </c>
      <c r="AE126" s="75">
        <v>2.375375</v>
      </c>
      <c r="AF126" s="75">
        <v>2.375375</v>
      </c>
      <c r="AG126" s="32">
        <f t="shared" si="70"/>
        <v>2.3009777396870598E-2</v>
      </c>
      <c r="AH126" s="32">
        <f t="shared" si="71"/>
        <v>0.53073405008612418</v>
      </c>
      <c r="AI126" s="33">
        <f t="shared" si="72"/>
        <v>0.29248549498215282</v>
      </c>
      <c r="AJ126" s="34">
        <f t="shared" si="73"/>
        <v>2.0768051947615485</v>
      </c>
      <c r="AK126" s="16">
        <f t="shared" si="74"/>
        <v>0.24861267073482987</v>
      </c>
      <c r="AL126" s="16">
        <f t="shared" si="75"/>
        <v>1.7652844155473164</v>
      </c>
      <c r="AM126" s="27">
        <f t="shared" si="76"/>
        <v>248.61267073482986</v>
      </c>
      <c r="AN126" s="27">
        <f t="shared" si="77"/>
        <v>1765.2844155473165</v>
      </c>
      <c r="AO126" s="29" t="e">
        <f t="shared" si="78"/>
        <v>#VALUE!</v>
      </c>
      <c r="AP126" s="29" t="e">
        <f t="shared" si="79"/>
        <v>#VALUE!</v>
      </c>
      <c r="AQ126" s="27">
        <f t="shared" si="80"/>
        <v>7.1005408144710671</v>
      </c>
      <c r="AR126" s="14">
        <f t="shared" si="81"/>
        <v>1738.408062916855</v>
      </c>
      <c r="AS126" s="25">
        <v>0.36620000000000003</v>
      </c>
      <c r="AT126" s="22">
        <f t="shared" si="82"/>
        <v>0.99660657541758213</v>
      </c>
      <c r="AU126" s="22">
        <f t="shared" si="83"/>
        <v>0.63040657541758205</v>
      </c>
      <c r="AV126" s="15"/>
      <c r="AW126" s="22"/>
      <c r="AX126" s="34">
        <f t="shared" si="84"/>
        <v>6304.0657541758201</v>
      </c>
      <c r="AY126" s="14">
        <f t="shared" si="85"/>
        <v>51.558272862660431</v>
      </c>
      <c r="AZ126" s="25">
        <v>1.0819000000000001</v>
      </c>
      <c r="BA126" s="22">
        <f t="shared" si="86"/>
        <v>1.1678364548792455</v>
      </c>
      <c r="BB126" s="38">
        <f t="shared" si="87"/>
        <v>8.5936454879245394E-2</v>
      </c>
      <c r="BC126" s="58">
        <f t="shared" si="88"/>
        <v>1.9929565065686679</v>
      </c>
      <c r="BD126" s="38">
        <f t="shared" si="89"/>
        <v>1.7126761690303685</v>
      </c>
      <c r="BE126" s="38">
        <f t="shared" si="90"/>
        <v>859.36454879245389</v>
      </c>
    </row>
    <row r="127" spans="1:57" ht="15.75">
      <c r="A127" s="138">
        <v>67</v>
      </c>
      <c r="B127" s="139">
        <v>3</v>
      </c>
      <c r="C127" s="140" t="s">
        <v>415</v>
      </c>
      <c r="D127" s="140" t="s">
        <v>426</v>
      </c>
      <c r="E127" s="140" t="s">
        <v>410</v>
      </c>
      <c r="F127" s="140" t="s">
        <v>480</v>
      </c>
      <c r="G127" s="140"/>
      <c r="H127" s="140" t="s">
        <v>483</v>
      </c>
      <c r="I127" s="140">
        <v>100</v>
      </c>
      <c r="J127" s="141">
        <v>12.73</v>
      </c>
      <c r="K127" s="140">
        <v>15</v>
      </c>
      <c r="L127" s="140" t="s">
        <v>80</v>
      </c>
      <c r="M127" s="140">
        <v>3</v>
      </c>
      <c r="N127"/>
      <c r="O127"/>
      <c r="P127"/>
      <c r="Q127" s="108">
        <v>10</v>
      </c>
      <c r="R127" s="53">
        <v>8</v>
      </c>
      <c r="S127" s="53">
        <f t="shared" si="69"/>
        <v>2</v>
      </c>
      <c r="T127" s="80">
        <v>43</v>
      </c>
      <c r="U127" s="80" t="s">
        <v>312</v>
      </c>
      <c r="V127" s="81">
        <v>15.473865999999999</v>
      </c>
      <c r="W127" s="81">
        <v>1432.8610986827366</v>
      </c>
      <c r="X127" s="83">
        <v>6.0472324999999998</v>
      </c>
      <c r="Y127" s="83">
        <v>10.865630337718757</v>
      </c>
      <c r="Z127" s="71" t="s">
        <v>54</v>
      </c>
      <c r="AA127" s="75">
        <v>2.9111787500000004</v>
      </c>
      <c r="AB127" s="75">
        <v>7.1289713486518078</v>
      </c>
      <c r="AC127" s="75">
        <v>2.0592423593750002</v>
      </c>
      <c r="AD127" s="75">
        <v>-26.716135928040213</v>
      </c>
      <c r="AE127" s="75">
        <v>2.375375</v>
      </c>
      <c r="AF127" s="75">
        <v>2.375375</v>
      </c>
      <c r="AG127" s="32">
        <f t="shared" si="70"/>
        <v>2.3009777396870598E-2</v>
      </c>
      <c r="AH127" s="32">
        <f t="shared" si="71"/>
        <v>0.53073405008612418</v>
      </c>
      <c r="AI127" s="33">
        <f t="shared" si="72"/>
        <v>0.35605021212900445</v>
      </c>
      <c r="AJ127" s="34">
        <f t="shared" si="73"/>
        <v>3.2094721965374378</v>
      </c>
      <c r="AK127" s="16">
        <f t="shared" si="74"/>
        <v>0.3026426803096538</v>
      </c>
      <c r="AL127" s="16">
        <f t="shared" si="75"/>
        <v>2.7280513670568221</v>
      </c>
      <c r="AM127" s="27">
        <f t="shared" si="76"/>
        <v>302.64268030965383</v>
      </c>
      <c r="AN127" s="27">
        <f t="shared" si="77"/>
        <v>2728.0513670568221</v>
      </c>
      <c r="AO127" s="29" t="e">
        <f t="shared" si="78"/>
        <v>#VALUE!</v>
      </c>
      <c r="AP127" s="29" t="e">
        <f t="shared" si="79"/>
        <v>#VALUE!</v>
      </c>
      <c r="AQ127" s="27">
        <f t="shared" si="80"/>
        <v>9.014099942101927</v>
      </c>
      <c r="AR127" s="14">
        <f t="shared" si="81"/>
        <v>1427.7121273340847</v>
      </c>
      <c r="AS127" s="25">
        <v>0.36620000000000003</v>
      </c>
      <c r="AT127" s="22">
        <f t="shared" si="82"/>
        <v>0.88453316541045846</v>
      </c>
      <c r="AU127" s="22">
        <f t="shared" si="83"/>
        <v>0.51833316541045837</v>
      </c>
      <c r="AV127" s="15"/>
      <c r="AW127" s="22"/>
      <c r="AX127" s="34">
        <f t="shared" si="84"/>
        <v>5183.3316541045833</v>
      </c>
      <c r="AY127" s="14">
        <f t="shared" si="85"/>
        <v>11.551766265758969</v>
      </c>
      <c r="AZ127" s="25">
        <v>1.0819000000000001</v>
      </c>
      <c r="BA127" s="22">
        <f t="shared" si="86"/>
        <v>1.123905502596577</v>
      </c>
      <c r="BB127" s="38">
        <f t="shared" si="87"/>
        <v>4.2005502596576871E-2</v>
      </c>
      <c r="BC127" s="58">
        <f t="shared" si="88"/>
        <v>3.0756938479057729</v>
      </c>
      <c r="BD127" s="38">
        <f t="shared" si="89"/>
        <v>1.2919606591448147</v>
      </c>
      <c r="BE127" s="38">
        <f t="shared" si="90"/>
        <v>420.05502596576872</v>
      </c>
    </row>
    <row r="128" spans="1:57" ht="15.75">
      <c r="A128" s="138">
        <v>68</v>
      </c>
      <c r="B128" s="139">
        <v>3</v>
      </c>
      <c r="C128" s="140" t="s">
        <v>417</v>
      </c>
      <c r="D128" s="140" t="s">
        <v>420</v>
      </c>
      <c r="E128" s="140" t="s">
        <v>410</v>
      </c>
      <c r="F128" s="140" t="s">
        <v>480</v>
      </c>
      <c r="G128" s="140"/>
      <c r="H128" s="140" t="s">
        <v>483</v>
      </c>
      <c r="I128" s="140">
        <v>100</v>
      </c>
      <c r="J128" s="141">
        <v>7.98</v>
      </c>
      <c r="K128" s="140">
        <v>15</v>
      </c>
      <c r="L128" s="140" t="s">
        <v>81</v>
      </c>
      <c r="M128" s="140">
        <v>3</v>
      </c>
      <c r="N128"/>
      <c r="O128"/>
      <c r="P128"/>
      <c r="Q128" s="108">
        <v>10</v>
      </c>
      <c r="R128" s="53">
        <v>8</v>
      </c>
      <c r="S128" s="53">
        <f t="shared" si="69"/>
        <v>2</v>
      </c>
      <c r="T128" s="82">
        <v>44</v>
      </c>
      <c r="U128" s="82" t="s">
        <v>313</v>
      </c>
      <c r="V128" s="83">
        <v>19.690272</v>
      </c>
      <c r="W128" s="83">
        <v>1071.4092817702669</v>
      </c>
      <c r="X128" s="130">
        <v>8.0345134999999992</v>
      </c>
      <c r="Y128" s="130">
        <v>125.71148348394676</v>
      </c>
      <c r="Z128" s="71" t="s">
        <v>54</v>
      </c>
      <c r="AA128" s="75">
        <v>2.9111787500000004</v>
      </c>
      <c r="AB128" s="75">
        <v>7.1289713486518078</v>
      </c>
      <c r="AC128" s="75">
        <v>2.0592423593750002</v>
      </c>
      <c r="AD128" s="75">
        <v>-26.716135928040213</v>
      </c>
      <c r="AE128" s="75">
        <v>2.375375</v>
      </c>
      <c r="AF128" s="75">
        <v>2.375375</v>
      </c>
      <c r="AG128" s="32">
        <f t="shared" si="70"/>
        <v>2.3009777396870598E-2</v>
      </c>
      <c r="AH128" s="32">
        <f t="shared" si="71"/>
        <v>0.53073405008612418</v>
      </c>
      <c r="AI128" s="33">
        <f t="shared" si="72"/>
        <v>0.45306877560383402</v>
      </c>
      <c r="AJ128" s="34">
        <f t="shared" si="73"/>
        <v>4.2641898903266409</v>
      </c>
      <c r="AK128" s="16">
        <f t="shared" si="74"/>
        <v>0.38510845926325887</v>
      </c>
      <c r="AL128" s="16">
        <f t="shared" si="75"/>
        <v>3.6245614067776448</v>
      </c>
      <c r="AM128" s="27">
        <f t="shared" si="76"/>
        <v>385.10845926325885</v>
      </c>
      <c r="AN128" s="27">
        <f t="shared" si="77"/>
        <v>3624.5614067776446</v>
      </c>
      <c r="AO128" s="29" t="e">
        <f t="shared" si="78"/>
        <v>#VALUE!</v>
      </c>
      <c r="AP128" s="29" t="e">
        <f t="shared" si="79"/>
        <v>#VALUE!</v>
      </c>
      <c r="AQ128" s="27">
        <f t="shared" si="80"/>
        <v>9.4117937936541303</v>
      </c>
      <c r="AR128" s="14">
        <f t="shared" si="81"/>
        <v>1066.260310421615</v>
      </c>
      <c r="AS128" s="25">
        <v>0.36620000000000003</v>
      </c>
      <c r="AT128" s="22">
        <f t="shared" si="82"/>
        <v>0.75383150793729437</v>
      </c>
      <c r="AU128" s="22">
        <f t="shared" si="83"/>
        <v>0.38763150793729434</v>
      </c>
      <c r="AV128" s="15"/>
      <c r="AW128" s="22"/>
      <c r="AX128" s="34">
        <f t="shared" si="84"/>
        <v>3876.3150793729437</v>
      </c>
      <c r="AY128" s="14">
        <f t="shared" si="85"/>
        <v>126.39761941198698</v>
      </c>
      <c r="AZ128" s="25">
        <v>1.0819000000000001</v>
      </c>
      <c r="BA128" s="22">
        <f t="shared" si="86"/>
        <v>1.2499124505143202</v>
      </c>
      <c r="BB128" s="38">
        <f t="shared" si="87"/>
        <v>0.16801245051432012</v>
      </c>
      <c r="BC128" s="58">
        <f t="shared" si="88"/>
        <v>4.0839180036762075</v>
      </c>
      <c r="BD128" s="38">
        <f t="shared" si="89"/>
        <v>6.8614907149718984</v>
      </c>
      <c r="BE128" s="38">
        <f t="shared" si="90"/>
        <v>1680.1245051432013</v>
      </c>
    </row>
    <row r="129" spans="1:57" ht="15.75">
      <c r="A129" s="138">
        <v>69</v>
      </c>
      <c r="B129" s="139">
        <v>3</v>
      </c>
      <c r="C129" s="140" t="s">
        <v>419</v>
      </c>
      <c r="D129" s="140" t="s">
        <v>422</v>
      </c>
      <c r="E129" s="140" t="s">
        <v>410</v>
      </c>
      <c r="F129" s="140" t="s">
        <v>480</v>
      </c>
      <c r="G129" s="140"/>
      <c r="H129" s="140" t="s">
        <v>483</v>
      </c>
      <c r="I129" s="140">
        <v>100</v>
      </c>
      <c r="J129" s="141">
        <v>4.74</v>
      </c>
      <c r="K129" s="140">
        <v>15</v>
      </c>
      <c r="L129" s="140" t="s">
        <v>82</v>
      </c>
      <c r="M129" s="140">
        <v>3</v>
      </c>
      <c r="N129"/>
      <c r="O129"/>
      <c r="P129"/>
      <c r="Q129" s="108">
        <v>10</v>
      </c>
      <c r="R129" s="53">
        <v>8</v>
      </c>
      <c r="S129" s="53">
        <f t="shared" si="69"/>
        <v>2</v>
      </c>
      <c r="T129" s="80">
        <v>45</v>
      </c>
      <c r="U129" s="80" t="s">
        <v>314</v>
      </c>
      <c r="V129" s="81">
        <v>9.517944</v>
      </c>
      <c r="W129" s="81">
        <v>3278.0857599163505</v>
      </c>
      <c r="X129" s="83">
        <v>5.2402815</v>
      </c>
      <c r="Y129" s="83">
        <v>72.853779024653832</v>
      </c>
      <c r="Z129" s="71" t="s">
        <v>54</v>
      </c>
      <c r="AA129" s="75">
        <v>2.9111787500000004</v>
      </c>
      <c r="AB129" s="75">
        <v>7.1289713486518078</v>
      </c>
      <c r="AC129" s="75">
        <v>2.0592423593750002</v>
      </c>
      <c r="AD129" s="75">
        <v>-26.716135928040213</v>
      </c>
      <c r="AE129" s="75">
        <v>2.375375</v>
      </c>
      <c r="AF129" s="75">
        <v>2.375375</v>
      </c>
      <c r="AG129" s="32">
        <f t="shared" si="70"/>
        <v>2.3009777396870598E-2</v>
      </c>
      <c r="AH129" s="32">
        <f t="shared" si="71"/>
        <v>0.53073405008612418</v>
      </c>
      <c r="AI129" s="33">
        <f t="shared" si="72"/>
        <v>0.21900577271588012</v>
      </c>
      <c r="AJ129" s="34">
        <f t="shared" si="73"/>
        <v>2.7811958240863901</v>
      </c>
      <c r="AK129" s="16">
        <f t="shared" si="74"/>
        <v>0.18615490680849808</v>
      </c>
      <c r="AL129" s="16">
        <f t="shared" si="75"/>
        <v>2.3640164504734318</v>
      </c>
      <c r="AM129" s="27">
        <f t="shared" si="76"/>
        <v>186.15490680849808</v>
      </c>
      <c r="AN129" s="27">
        <f t="shared" si="77"/>
        <v>2364.0164504734316</v>
      </c>
      <c r="AO129" s="29" t="e">
        <f t="shared" si="78"/>
        <v>#VALUE!</v>
      </c>
      <c r="AP129" s="29" t="e">
        <f t="shared" si="79"/>
        <v>#VALUE!</v>
      </c>
      <c r="AQ129" s="27">
        <f t="shared" si="80"/>
        <v>12.69918956745712</v>
      </c>
      <c r="AR129" s="14">
        <f t="shared" si="81"/>
        <v>3272.9367885676988</v>
      </c>
      <c r="AS129" s="25">
        <v>0.36620000000000003</v>
      </c>
      <c r="AT129" s="22">
        <f t="shared" si="82"/>
        <v>1.546441124622445</v>
      </c>
      <c r="AU129" s="22">
        <f t="shared" si="83"/>
        <v>1.1802411246224449</v>
      </c>
      <c r="AV129" s="15"/>
      <c r="AW129" s="22"/>
      <c r="AX129" s="34">
        <f t="shared" si="84"/>
        <v>11802.41124622445</v>
      </c>
      <c r="AY129" s="14">
        <f t="shared" si="85"/>
        <v>73.539914952694048</v>
      </c>
      <c r="AZ129" s="25">
        <v>1.0819000000000001</v>
      </c>
      <c r="BA129" s="22">
        <f t="shared" si="86"/>
        <v>1.1919577770977576</v>
      </c>
      <c r="BB129" s="38">
        <f t="shared" si="87"/>
        <v>0.11005777709775755</v>
      </c>
      <c r="BC129" s="58">
        <f t="shared" si="88"/>
        <v>2.6662965403669263</v>
      </c>
      <c r="BD129" s="38">
        <f t="shared" si="89"/>
        <v>2.9344667031622529</v>
      </c>
      <c r="BE129" s="38">
        <f t="shared" si="90"/>
        <v>1100.5777709775755</v>
      </c>
    </row>
    <row r="130" spans="1:57" ht="15.75">
      <c r="A130" s="138">
        <v>70</v>
      </c>
      <c r="B130" s="139">
        <v>3</v>
      </c>
      <c r="C130" s="140" t="s">
        <v>421</v>
      </c>
      <c r="D130" s="140" t="s">
        <v>424</v>
      </c>
      <c r="E130" s="140" t="s">
        <v>410</v>
      </c>
      <c r="F130" s="140" t="s">
        <v>480</v>
      </c>
      <c r="G130" s="140"/>
      <c r="H130" s="140" t="s">
        <v>483</v>
      </c>
      <c r="I130" s="140">
        <v>100</v>
      </c>
      <c r="J130" s="141">
        <v>5.69</v>
      </c>
      <c r="K130" s="140">
        <v>15</v>
      </c>
      <c r="L130" s="140" t="s">
        <v>83</v>
      </c>
      <c r="M130" s="140">
        <v>3</v>
      </c>
      <c r="N130"/>
      <c r="O130"/>
      <c r="P130"/>
      <c r="Q130" s="108">
        <v>10</v>
      </c>
      <c r="R130" s="53">
        <v>8</v>
      </c>
      <c r="S130" s="53">
        <f t="shared" si="69"/>
        <v>2</v>
      </c>
      <c r="T130" s="82">
        <v>46</v>
      </c>
      <c r="U130" s="82" t="s">
        <v>315</v>
      </c>
      <c r="V130" s="83">
        <v>5.3466639999999996</v>
      </c>
      <c r="W130" s="83">
        <v>2410.5302753931905</v>
      </c>
      <c r="X130" s="81">
        <v>4.2009005000000004</v>
      </c>
      <c r="Y130" s="81">
        <v>1.1727573295017126</v>
      </c>
      <c r="Z130" s="71" t="s">
        <v>54</v>
      </c>
      <c r="AA130" s="75">
        <v>2.9111787500000004</v>
      </c>
      <c r="AB130" s="75">
        <v>7.1289713486518078</v>
      </c>
      <c r="AC130" s="75">
        <v>2.0592423593750002</v>
      </c>
      <c r="AD130" s="75">
        <v>-26.716135928040213</v>
      </c>
      <c r="AE130" s="75">
        <v>2.375375</v>
      </c>
      <c r="AF130" s="75">
        <v>2.375375</v>
      </c>
      <c r="AG130" s="32">
        <f t="shared" si="70"/>
        <v>2.3009777396870598E-2</v>
      </c>
      <c r="AH130" s="32">
        <f t="shared" si="71"/>
        <v>0.53073405008612418</v>
      </c>
      <c r="AI130" s="33">
        <f t="shared" si="72"/>
        <v>0.12302554845586172</v>
      </c>
      <c r="AJ130" s="34">
        <f t="shared" si="73"/>
        <v>2.2295609363738245</v>
      </c>
      <c r="AK130" s="16">
        <f t="shared" si="74"/>
        <v>0.10457171618748247</v>
      </c>
      <c r="AL130" s="16">
        <f t="shared" si="75"/>
        <v>1.8951267959177507</v>
      </c>
      <c r="AM130" s="27">
        <f t="shared" si="76"/>
        <v>104.57171618748247</v>
      </c>
      <c r="AN130" s="27">
        <f t="shared" si="77"/>
        <v>1895.1267959177508</v>
      </c>
      <c r="AO130" s="29" t="e">
        <f t="shared" si="78"/>
        <v>#VALUE!</v>
      </c>
      <c r="AP130" s="29" t="e">
        <f t="shared" si="79"/>
        <v>#VALUE!</v>
      </c>
      <c r="AQ130" s="27">
        <f t="shared" si="80"/>
        <v>18.122747383432568</v>
      </c>
      <c r="AR130" s="14">
        <f t="shared" si="81"/>
        <v>2405.3813040445389</v>
      </c>
      <c r="AS130" s="25">
        <v>0.36620000000000003</v>
      </c>
      <c r="AT130" s="22">
        <f t="shared" si="82"/>
        <v>1.2363414208498928</v>
      </c>
      <c r="AU130" s="22">
        <f t="shared" si="83"/>
        <v>0.87014142084989277</v>
      </c>
      <c r="AV130" s="15"/>
      <c r="AW130" s="22"/>
      <c r="AX130" s="34">
        <f t="shared" si="84"/>
        <v>8701.4142084989289</v>
      </c>
      <c r="AY130" s="14">
        <f t="shared" si="85"/>
        <v>1.8588932575419246</v>
      </c>
      <c r="AZ130" s="25">
        <v>1.0819000000000001</v>
      </c>
      <c r="BA130" s="22">
        <f t="shared" si="86"/>
        <v>1.1132559273807388</v>
      </c>
      <c r="BB130" s="38">
        <f t="shared" si="87"/>
        <v>3.1355927380738668E-2</v>
      </c>
      <c r="BC130" s="58">
        <f t="shared" si="88"/>
        <v>2.1389785459570616</v>
      </c>
      <c r="BD130" s="38">
        <f t="shared" si="89"/>
        <v>0.67069655955987606</v>
      </c>
      <c r="BE130" s="38">
        <f t="shared" si="90"/>
        <v>313.55927380738666</v>
      </c>
    </row>
    <row r="131" spans="1:57" ht="15.75">
      <c r="A131" s="135"/>
      <c r="B131" s="136"/>
      <c r="C131" s="135"/>
      <c r="D131" s="135" t="s">
        <v>116</v>
      </c>
      <c r="E131" s="135"/>
      <c r="F131" s="135" t="s">
        <v>55</v>
      </c>
      <c r="G131" s="135"/>
      <c r="H131" s="135"/>
      <c r="I131" s="135"/>
      <c r="J131" s="135"/>
      <c r="K131" s="135"/>
      <c r="L131" s="135" t="s">
        <v>129</v>
      </c>
      <c r="M131" s="137"/>
      <c r="N131"/>
      <c r="O131"/>
      <c r="P131"/>
      <c r="Q131" s="108">
        <v>10</v>
      </c>
      <c r="R131" s="53">
        <v>8</v>
      </c>
      <c r="S131" s="53">
        <f t="shared" si="69"/>
        <v>2</v>
      </c>
      <c r="T131" s="80">
        <v>47</v>
      </c>
      <c r="U131" s="80" t="s">
        <v>316</v>
      </c>
      <c r="V131" s="81">
        <v>3.192345</v>
      </c>
      <c r="W131" s="81">
        <v>10.287097333154321</v>
      </c>
      <c r="X131" s="83">
        <v>2.2990522499999999</v>
      </c>
      <c r="Y131" s="83">
        <v>-26.030610056100532</v>
      </c>
      <c r="Z131" s="71">
        <v>1.9970000000000001</v>
      </c>
      <c r="AA131" s="75">
        <v>2.9111787500000004</v>
      </c>
      <c r="AB131" s="75">
        <v>7.1289713486518078</v>
      </c>
      <c r="AC131" s="75">
        <v>2.0592423593750002</v>
      </c>
      <c r="AD131" s="75">
        <v>-26.716135928040213</v>
      </c>
      <c r="AE131" s="75">
        <v>2.375375</v>
      </c>
      <c r="AF131" s="75">
        <v>2.375375</v>
      </c>
      <c r="AG131" s="32">
        <f t="shared" si="70"/>
        <v>2.3009777396870598E-2</v>
      </c>
      <c r="AH131" s="32">
        <f t="shared" si="71"/>
        <v>0.53073405008612418</v>
      </c>
      <c r="AI131" s="33">
        <f t="shared" si="72"/>
        <v>7.345514782401287E-2</v>
      </c>
      <c r="AJ131" s="34">
        <f t="shared" si="73"/>
        <v>1.2201853120021164</v>
      </c>
      <c r="AK131" s="16" t="e">
        <f t="shared" si="74"/>
        <v>#DIV/0!</v>
      </c>
      <c r="AL131" s="16" t="e">
        <f t="shared" si="75"/>
        <v>#DIV/0!</v>
      </c>
      <c r="AM131" s="27" t="e">
        <f t="shared" si="76"/>
        <v>#DIV/0!</v>
      </c>
      <c r="AN131" s="27" t="e">
        <f t="shared" si="77"/>
        <v>#DIV/0!</v>
      </c>
      <c r="AO131" s="29">
        <f t="shared" si="78"/>
        <v>3.6782748034057522</v>
      </c>
      <c r="AP131" s="29">
        <f t="shared" si="79"/>
        <v>61.10091697556917</v>
      </c>
      <c r="AQ131" s="27">
        <f t="shared" si="80"/>
        <v>16.611297480817697</v>
      </c>
      <c r="AR131" s="14">
        <f t="shared" si="81"/>
        <v>5.1381259845025138</v>
      </c>
      <c r="AS131" s="25">
        <v>0.36620000000000003</v>
      </c>
      <c r="AT131" s="22">
        <f t="shared" si="82"/>
        <v>0.36812858132592513</v>
      </c>
      <c r="AU131" s="22">
        <f t="shared" si="83"/>
        <v>1.928581325925105E-3</v>
      </c>
      <c r="AV131" s="15"/>
      <c r="AW131" s="22"/>
      <c r="AX131" s="34">
        <f t="shared" si="84"/>
        <v>19.28581325925105</v>
      </c>
      <c r="AY131" s="14">
        <f t="shared" si="85"/>
        <v>-25.34447412806032</v>
      </c>
      <c r="AZ131" s="25">
        <v>1.0819000000000001</v>
      </c>
      <c r="BA131" s="22">
        <f t="shared" si="86"/>
        <v>1.0833552861674696</v>
      </c>
      <c r="BB131" s="38">
        <f t="shared" si="87"/>
        <v>1.4552861674694828E-3</v>
      </c>
      <c r="BC131" s="58" t="e">
        <f t="shared" si="88"/>
        <v>#DIV/0!</v>
      </c>
      <c r="BD131" s="38" t="e">
        <f t="shared" si="89"/>
        <v>#DIV/0!</v>
      </c>
      <c r="BE131" s="38">
        <f t="shared" si="90"/>
        <v>14.552861674694828</v>
      </c>
    </row>
    <row r="132" spans="1:57" ht="15.75">
      <c r="A132" s="138">
        <v>71</v>
      </c>
      <c r="B132" s="139">
        <v>3</v>
      </c>
      <c r="C132" s="140" t="s">
        <v>423</v>
      </c>
      <c r="D132" s="140" t="s">
        <v>414</v>
      </c>
      <c r="E132" s="140" t="s">
        <v>410</v>
      </c>
      <c r="F132" s="140" t="s">
        <v>480</v>
      </c>
      <c r="G132" s="140"/>
      <c r="H132" s="140" t="s">
        <v>483</v>
      </c>
      <c r="I132" s="140">
        <v>100</v>
      </c>
      <c r="J132" s="141">
        <v>11.82</v>
      </c>
      <c r="K132" s="140">
        <v>15</v>
      </c>
      <c r="L132" s="140" t="s">
        <v>84</v>
      </c>
      <c r="M132" s="140">
        <v>3</v>
      </c>
      <c r="N132"/>
      <c r="O132"/>
      <c r="P132"/>
      <c r="Q132" s="108">
        <v>10</v>
      </c>
      <c r="R132" s="53">
        <v>8</v>
      </c>
      <c r="S132" s="53">
        <f t="shared" ref="S132:S195" si="91">Q132-R132</f>
        <v>2</v>
      </c>
      <c r="T132" s="82">
        <v>48</v>
      </c>
      <c r="U132" s="82" t="s">
        <v>317</v>
      </c>
      <c r="V132" s="83">
        <v>15.075529</v>
      </c>
      <c r="W132" s="83">
        <v>1091.9791013905324</v>
      </c>
      <c r="X132" s="81">
        <v>4.4561760000000001</v>
      </c>
      <c r="Y132" s="81">
        <v>7.4982455973012563</v>
      </c>
      <c r="Z132" s="71" t="s">
        <v>54</v>
      </c>
      <c r="AA132" s="75">
        <v>2.9111787500000004</v>
      </c>
      <c r="AB132" s="75">
        <v>7.1289713486518078</v>
      </c>
      <c r="AC132" s="75">
        <v>2.0592423593750002</v>
      </c>
      <c r="AD132" s="75">
        <v>-26.716135928040213</v>
      </c>
      <c r="AE132" s="75">
        <v>2.375375</v>
      </c>
      <c r="AF132" s="75">
        <v>2.375375</v>
      </c>
      <c r="AG132" s="32">
        <f t="shared" si="70"/>
        <v>2.3009777396870598E-2</v>
      </c>
      <c r="AH132" s="32">
        <f t="shared" si="71"/>
        <v>0.53073405008612418</v>
      </c>
      <c r="AI132" s="33">
        <f t="shared" si="72"/>
        <v>0.34688456643006721</v>
      </c>
      <c r="AJ132" s="34">
        <f t="shared" si="73"/>
        <v>2.3650443363765845</v>
      </c>
      <c r="AK132" s="16">
        <f t="shared" si="74"/>
        <v>0.29485188146555713</v>
      </c>
      <c r="AL132" s="16">
        <f t="shared" si="75"/>
        <v>2.0102876859200967</v>
      </c>
      <c r="AM132" s="27">
        <f t="shared" si="76"/>
        <v>294.85188146555714</v>
      </c>
      <c r="AN132" s="27">
        <f t="shared" si="77"/>
        <v>2010.2876859200967</v>
      </c>
      <c r="AO132" s="29" t="e">
        <f t="shared" si="78"/>
        <v>#VALUE!</v>
      </c>
      <c r="AP132" s="29" t="e">
        <f t="shared" si="79"/>
        <v>#VALUE!</v>
      </c>
      <c r="AQ132" s="27">
        <f t="shared" si="80"/>
        <v>6.8179578028398193</v>
      </c>
      <c r="AR132" s="14">
        <f t="shared" si="81"/>
        <v>1086.8301300418805</v>
      </c>
      <c r="AS132" s="25">
        <v>0.36620000000000003</v>
      </c>
      <c r="AT132" s="22">
        <f t="shared" si="82"/>
        <v>0.76127884301466653</v>
      </c>
      <c r="AU132" s="22">
        <f t="shared" si="83"/>
        <v>0.3950788430146665</v>
      </c>
      <c r="AV132" s="15"/>
      <c r="AW132" s="22"/>
      <c r="AX132" s="34">
        <f t="shared" si="84"/>
        <v>3950.7884301466652</v>
      </c>
      <c r="AY132" s="14">
        <f t="shared" si="85"/>
        <v>8.1843815253414682</v>
      </c>
      <c r="AZ132" s="25">
        <v>1.0819000000000001</v>
      </c>
      <c r="BA132" s="22">
        <f t="shared" si="86"/>
        <v>1.1202060115788395</v>
      </c>
      <c r="BB132" s="38">
        <f t="shared" si="87"/>
        <v>3.8306011578839394E-2</v>
      </c>
      <c r="BC132" s="58">
        <f t="shared" si="88"/>
        <v>2.2684896344626</v>
      </c>
      <c r="BD132" s="38">
        <f t="shared" si="89"/>
        <v>0.86896790204201513</v>
      </c>
      <c r="BE132" s="38">
        <f t="shared" si="90"/>
        <v>383.06011578839394</v>
      </c>
    </row>
    <row r="133" spans="1:57" ht="15.75">
      <c r="A133" s="138">
        <v>72</v>
      </c>
      <c r="B133" s="139">
        <v>3</v>
      </c>
      <c r="C133" s="140" t="s">
        <v>425</v>
      </c>
      <c r="D133" s="140" t="s">
        <v>409</v>
      </c>
      <c r="E133" s="140" t="s">
        <v>410</v>
      </c>
      <c r="F133" s="140" t="s">
        <v>480</v>
      </c>
      <c r="G133" s="140"/>
      <c r="H133" s="140" t="s">
        <v>483</v>
      </c>
      <c r="I133" s="140">
        <v>100</v>
      </c>
      <c r="J133" s="141">
        <v>8.3800000000000008</v>
      </c>
      <c r="K133" s="140">
        <v>15</v>
      </c>
      <c r="L133" s="140" t="s">
        <v>85</v>
      </c>
      <c r="M133" s="140">
        <v>3</v>
      </c>
      <c r="N133"/>
      <c r="O133"/>
      <c r="P133"/>
      <c r="Q133" s="108">
        <v>10</v>
      </c>
      <c r="R133" s="53">
        <v>8</v>
      </c>
      <c r="S133" s="53">
        <f t="shared" si="91"/>
        <v>2</v>
      </c>
      <c r="T133" s="80">
        <v>49</v>
      </c>
      <c r="U133" s="80" t="s">
        <v>318</v>
      </c>
      <c r="V133" s="81">
        <v>8.9974450000000008</v>
      </c>
      <c r="W133" s="81">
        <v>1414.5839607638891</v>
      </c>
      <c r="X133" s="83">
        <v>4.6198594999999996</v>
      </c>
      <c r="Y133" s="83">
        <v>-2.5895597228440437</v>
      </c>
      <c r="Z133" s="71" t="s">
        <v>54</v>
      </c>
      <c r="AA133" s="75">
        <v>2.9111787500000004</v>
      </c>
      <c r="AB133" s="75">
        <v>7.1289713486518078</v>
      </c>
      <c r="AC133" s="75">
        <v>2.0592423593750002</v>
      </c>
      <c r="AD133" s="75">
        <v>-26.716135928040213</v>
      </c>
      <c r="AE133" s="75">
        <v>2.375375</v>
      </c>
      <c r="AF133" s="75">
        <v>2.375375</v>
      </c>
      <c r="AG133" s="32">
        <f t="shared" ref="AG133:AG145" si="92">((2.82/100)*AE133)/AA133</f>
        <v>2.3009777396870598E-2</v>
      </c>
      <c r="AH133" s="32">
        <f t="shared" ref="AH133:AH145" si="93">((46.01/100)*AF133)/AC133</f>
        <v>0.53073405008612418</v>
      </c>
      <c r="AI133" s="33">
        <f t="shared" ref="AI133:AI145" si="94">V133*AG133</f>
        <v>0.20702920659058638</v>
      </c>
      <c r="AJ133" s="34">
        <f t="shared" ref="AJ133:AJ145" si="95">X133*AH133</f>
        <v>2.4519167432638564</v>
      </c>
      <c r="AK133" s="16">
        <f t="shared" ref="AK133:AK145" si="96">((AI133/K133)*(100+S133))/(R133)</f>
        <v>0.17597482560199842</v>
      </c>
      <c r="AL133" s="16">
        <f t="shared" ref="AL133:AL145" si="97">((AJ133/K133)*(100+S133))/(R133)</f>
        <v>2.0841292317742779</v>
      </c>
      <c r="AM133" s="27">
        <f t="shared" ref="AM133:AM145" si="98">AK133*1000</f>
        <v>175.97482560199842</v>
      </c>
      <c r="AN133" s="27">
        <f t="shared" ref="AN133:AN145" si="99">AL133*1000</f>
        <v>2084.1292317742777</v>
      </c>
      <c r="AO133" s="29" t="e">
        <f t="shared" ref="AO133:AO145" si="100">AI133*100/Z133</f>
        <v>#VALUE!</v>
      </c>
      <c r="AP133" s="29" t="e">
        <f t="shared" ref="AP133:AP145" si="101">AJ133*100/Z133</f>
        <v>#VALUE!</v>
      </c>
      <c r="AQ133" s="27">
        <f t="shared" ref="AQ133:AQ145" si="102">AJ133/AI133</f>
        <v>11.843337390132978</v>
      </c>
      <c r="AR133" s="14">
        <f t="shared" ref="AR133:AR145" si="103">W133+(1.98-AB133)</f>
        <v>1409.4349894152372</v>
      </c>
      <c r="AS133" s="25">
        <v>0.36620000000000003</v>
      </c>
      <c r="AT133" s="22">
        <f t="shared" ref="AT133:AT145" si="104">100*0.003676*(AR133/1000+1)/(1+0.003676*(AR133/1000+1))</f>
        <v>0.8779323821137559</v>
      </c>
      <c r="AU133" s="22">
        <f t="shared" ref="AU133:AU145" si="105">AT133-AS133</f>
        <v>0.51173238211375582</v>
      </c>
      <c r="AV133" s="15"/>
      <c r="AW133" s="22"/>
      <c r="AX133" s="34">
        <f t="shared" ref="AX133:AX145" si="106">(((AI133*(AU133%))/AI133)*1000)*1000</f>
        <v>5117.3238211375574</v>
      </c>
      <c r="AY133" s="14">
        <f t="shared" ref="AY133:AY145" si="107">Y133+(-26.03-AD133)</f>
        <v>-1.9034237948038317</v>
      </c>
      <c r="AZ133" s="25">
        <v>1.0819000000000001</v>
      </c>
      <c r="BA133" s="22">
        <f t="shared" ref="BA133:BA145" si="108">100*0.011237*(AY133/1000+1)/(1+0.011237*(AY133/1000+1))</f>
        <v>1.1091216455025739</v>
      </c>
      <c r="BB133" s="38">
        <f t="shared" ref="BB133:BB145" si="109">BA133-AZ133</f>
        <v>2.7221645502573777E-2</v>
      </c>
      <c r="BC133" s="58">
        <f t="shared" ref="BC133:BC145" si="110">1.12461*AL133+0.0077</f>
        <v>2.3515325753456708</v>
      </c>
      <c r="BD133" s="38">
        <f t="shared" ref="BD133:BD145" si="111">((BB133%)*BC133)*1000</f>
        <v>0.6401258615381421</v>
      </c>
      <c r="BE133" s="38">
        <f t="shared" ref="BE133:BE145" si="112">(((AJ133*(BB133%))/AJ133)*1000)*1000</f>
        <v>272.21645502573779</v>
      </c>
    </row>
    <row r="134" spans="1:57" ht="15.75">
      <c r="A134" s="138">
        <v>73</v>
      </c>
      <c r="B134" s="139">
        <v>4</v>
      </c>
      <c r="C134" s="140" t="s">
        <v>408</v>
      </c>
      <c r="D134" s="140" t="s">
        <v>416</v>
      </c>
      <c r="E134" s="140" t="s">
        <v>410</v>
      </c>
      <c r="F134" s="140" t="s">
        <v>480</v>
      </c>
      <c r="G134" s="140"/>
      <c r="H134" s="140" t="s">
        <v>484</v>
      </c>
      <c r="I134" s="140">
        <v>100</v>
      </c>
      <c r="J134" s="141">
        <v>8.2200000000000006</v>
      </c>
      <c r="K134" s="140">
        <v>15</v>
      </c>
      <c r="L134" s="140" t="s">
        <v>86</v>
      </c>
      <c r="M134" s="140">
        <v>3</v>
      </c>
      <c r="N134"/>
      <c r="O134"/>
      <c r="P134"/>
      <c r="Q134" s="108">
        <v>10</v>
      </c>
      <c r="R134" s="53">
        <v>8</v>
      </c>
      <c r="S134" s="53">
        <f t="shared" si="91"/>
        <v>2</v>
      </c>
      <c r="T134" s="82">
        <v>50</v>
      </c>
      <c r="U134" s="82" t="s">
        <v>319</v>
      </c>
      <c r="V134" s="83">
        <v>4.6619675000000003</v>
      </c>
      <c r="W134" s="83">
        <v>1303.348876383104</v>
      </c>
      <c r="X134" s="81">
        <v>2.0741143750000002</v>
      </c>
      <c r="Y134" s="81">
        <v>11.019549195145757</v>
      </c>
      <c r="Z134" s="71" t="s">
        <v>54</v>
      </c>
      <c r="AA134" s="75">
        <v>2.9111787500000004</v>
      </c>
      <c r="AB134" s="75">
        <v>7.1289713486518078</v>
      </c>
      <c r="AC134" s="75">
        <v>2.0592423593750002</v>
      </c>
      <c r="AD134" s="75">
        <v>-26.716135928040213</v>
      </c>
      <c r="AE134" s="75">
        <v>2.375375</v>
      </c>
      <c r="AF134" s="75">
        <v>2.375375</v>
      </c>
      <c r="AG134" s="32">
        <f t="shared" si="92"/>
        <v>2.3009777396870598E-2</v>
      </c>
      <c r="AH134" s="32">
        <f t="shared" si="93"/>
        <v>0.53073405008612418</v>
      </c>
      <c r="AI134" s="33">
        <f t="shared" si="94"/>
        <v>0.10727083440644533</v>
      </c>
      <c r="AJ134" s="34">
        <f t="shared" si="95"/>
        <v>1.1008031225856003</v>
      </c>
      <c r="AK134" s="16">
        <f t="shared" si="96"/>
        <v>9.1180209245478538E-2</v>
      </c>
      <c r="AL134" s="16">
        <f t="shared" si="97"/>
        <v>0.93568265419776031</v>
      </c>
      <c r="AM134" s="27">
        <f t="shared" si="98"/>
        <v>91.180209245478537</v>
      </c>
      <c r="AN134" s="27">
        <f t="shared" si="99"/>
        <v>935.68265419776026</v>
      </c>
      <c r="AO134" s="29" t="e">
        <f t="shared" si="100"/>
        <v>#VALUE!</v>
      </c>
      <c r="AP134" s="29" t="e">
        <f t="shared" si="101"/>
        <v>#VALUE!</v>
      </c>
      <c r="AQ134" s="27">
        <f t="shared" si="102"/>
        <v>10.261905099150221</v>
      </c>
      <c r="AR134" s="14">
        <f t="shared" si="103"/>
        <v>1298.1999050344521</v>
      </c>
      <c r="AS134" s="25">
        <v>0.36620000000000003</v>
      </c>
      <c r="AT134" s="22">
        <f t="shared" si="104"/>
        <v>0.83774089681270836</v>
      </c>
      <c r="AU134" s="22">
        <f t="shared" si="105"/>
        <v>0.47154089681270833</v>
      </c>
      <c r="AV134" s="15"/>
      <c r="AW134" s="22"/>
      <c r="AX134" s="34">
        <f t="shared" si="106"/>
        <v>4715.4089681270825</v>
      </c>
      <c r="AY134" s="14">
        <f t="shared" si="107"/>
        <v>11.705685123185969</v>
      </c>
      <c r="AZ134" s="25">
        <v>1.0819000000000001</v>
      </c>
      <c r="BA134" s="22">
        <f t="shared" si="108"/>
        <v>1.1240745949921012</v>
      </c>
      <c r="BB134" s="38">
        <f t="shared" si="109"/>
        <v>4.2174594992101078E-2</v>
      </c>
      <c r="BC134" s="58">
        <f t="shared" si="110"/>
        <v>1.0599780697373433</v>
      </c>
      <c r="BD134" s="38">
        <f t="shared" si="111"/>
        <v>0.44704145791681527</v>
      </c>
      <c r="BE134" s="38">
        <f t="shared" si="112"/>
        <v>421.74594992101078</v>
      </c>
    </row>
    <row r="135" spans="1:57" ht="15.75">
      <c r="A135" s="138">
        <v>74</v>
      </c>
      <c r="B135" s="139">
        <v>4</v>
      </c>
      <c r="C135" s="140" t="s">
        <v>413</v>
      </c>
      <c r="D135" s="140" t="s">
        <v>409</v>
      </c>
      <c r="E135" s="140" t="s">
        <v>410</v>
      </c>
      <c r="F135" s="140" t="s">
        <v>480</v>
      </c>
      <c r="G135" s="140"/>
      <c r="H135" s="140" t="s">
        <v>484</v>
      </c>
      <c r="I135" s="140">
        <v>100</v>
      </c>
      <c r="J135" s="141">
        <v>5.08</v>
      </c>
      <c r="K135" s="140">
        <v>15</v>
      </c>
      <c r="L135" s="140" t="s">
        <v>87</v>
      </c>
      <c r="M135" s="140">
        <v>3</v>
      </c>
      <c r="N135"/>
      <c r="O135"/>
      <c r="P135"/>
      <c r="Q135" s="108">
        <v>10</v>
      </c>
      <c r="R135" s="53">
        <v>8</v>
      </c>
      <c r="S135" s="53">
        <f t="shared" si="91"/>
        <v>2</v>
      </c>
      <c r="T135" s="80">
        <v>51</v>
      </c>
      <c r="U135" s="80" t="s">
        <v>320</v>
      </c>
      <c r="V135" s="81">
        <v>13.071929000000001</v>
      </c>
      <c r="W135" s="81">
        <v>79.752210832282586</v>
      </c>
      <c r="X135" s="83">
        <v>7.9719800000000003</v>
      </c>
      <c r="Y135" s="83">
        <v>-27.168087400658305</v>
      </c>
      <c r="Z135" s="71" t="s">
        <v>54</v>
      </c>
      <c r="AA135" s="75">
        <v>2.9111787500000004</v>
      </c>
      <c r="AB135" s="75">
        <v>7.1289713486518078</v>
      </c>
      <c r="AC135" s="75">
        <v>2.0592423593750002</v>
      </c>
      <c r="AD135" s="75">
        <v>-26.716135928040213</v>
      </c>
      <c r="AE135" s="75">
        <v>2.375375</v>
      </c>
      <c r="AF135" s="75">
        <v>2.375375</v>
      </c>
      <c r="AG135" s="32">
        <f t="shared" si="92"/>
        <v>2.3009777396870598E-2</v>
      </c>
      <c r="AH135" s="32">
        <f t="shared" si="93"/>
        <v>0.53073405008612418</v>
      </c>
      <c r="AI135" s="33">
        <f t="shared" si="94"/>
        <v>0.30078217643769728</v>
      </c>
      <c r="AJ135" s="34">
        <f t="shared" si="95"/>
        <v>4.2310012326055801</v>
      </c>
      <c r="AK135" s="16">
        <f t="shared" si="96"/>
        <v>0.2556648499720427</v>
      </c>
      <c r="AL135" s="16">
        <f t="shared" si="97"/>
        <v>3.5963510477147436</v>
      </c>
      <c r="AM135" s="27">
        <f t="shared" si="98"/>
        <v>255.6648499720427</v>
      </c>
      <c r="AN135" s="27">
        <f t="shared" si="99"/>
        <v>3596.3510477147433</v>
      </c>
      <c r="AO135" s="29" t="e">
        <f t="shared" si="100"/>
        <v>#VALUE!</v>
      </c>
      <c r="AP135" s="29" t="e">
        <f t="shared" si="101"/>
        <v>#VALUE!</v>
      </c>
      <c r="AQ135" s="27">
        <f t="shared" si="102"/>
        <v>14.066662069924783</v>
      </c>
      <c r="AR135" s="14">
        <f t="shared" si="103"/>
        <v>74.603239483630773</v>
      </c>
      <c r="AS135" s="25">
        <v>0.36620000000000003</v>
      </c>
      <c r="AT135" s="22">
        <f t="shared" si="104"/>
        <v>0.39346984990082334</v>
      </c>
      <c r="AU135" s="22">
        <f t="shared" si="105"/>
        <v>2.7269849900823318E-2</v>
      </c>
      <c r="AV135" s="15"/>
      <c r="AW135" s="22"/>
      <c r="AX135" s="34">
        <f t="shared" si="106"/>
        <v>272.69849900823317</v>
      </c>
      <c r="AY135" s="14">
        <f t="shared" si="107"/>
        <v>-26.481951472618093</v>
      </c>
      <c r="AZ135" s="25">
        <v>1.0819000000000001</v>
      </c>
      <c r="BA135" s="22">
        <f t="shared" si="108"/>
        <v>1.0821046315803458</v>
      </c>
      <c r="BB135" s="38">
        <f t="shared" si="109"/>
        <v>2.0463158034567108E-4</v>
      </c>
      <c r="BC135" s="58">
        <f t="shared" si="110"/>
        <v>4.0521923517704783</v>
      </c>
      <c r="BD135" s="38">
        <f t="shared" si="111"/>
        <v>8.2920652480743453E-3</v>
      </c>
      <c r="BE135" s="38">
        <f t="shared" si="112"/>
        <v>2.0463158034567108</v>
      </c>
    </row>
    <row r="136" spans="1:57" ht="15.75">
      <c r="A136" s="138">
        <v>75</v>
      </c>
      <c r="B136" s="139">
        <v>4</v>
      </c>
      <c r="C136" s="140" t="s">
        <v>415</v>
      </c>
      <c r="D136" s="140" t="s">
        <v>418</v>
      </c>
      <c r="E136" s="140" t="s">
        <v>410</v>
      </c>
      <c r="F136" s="140" t="s">
        <v>480</v>
      </c>
      <c r="G136" s="140"/>
      <c r="H136" s="140" t="s">
        <v>484</v>
      </c>
      <c r="I136" s="140">
        <v>100</v>
      </c>
      <c r="J136" s="141">
        <v>8.86</v>
      </c>
      <c r="K136" s="140">
        <v>15</v>
      </c>
      <c r="L136" s="140" t="s">
        <v>88</v>
      </c>
      <c r="M136" s="140">
        <v>3</v>
      </c>
      <c r="N136"/>
      <c r="O136"/>
      <c r="P136"/>
      <c r="Q136" s="108">
        <v>10</v>
      </c>
      <c r="R136" s="53">
        <v>8</v>
      </c>
      <c r="S136" s="53">
        <f t="shared" si="91"/>
        <v>2</v>
      </c>
      <c r="T136" s="82">
        <v>52</v>
      </c>
      <c r="U136" s="82" t="s">
        <v>321</v>
      </c>
      <c r="V136" s="83">
        <v>2.2052965000000002</v>
      </c>
      <c r="W136" s="83">
        <v>3103.1346660269296</v>
      </c>
      <c r="X136" s="81">
        <v>1.0712729999999999</v>
      </c>
      <c r="Y136" s="81">
        <v>53.75442485990542</v>
      </c>
      <c r="Z136" s="71" t="s">
        <v>54</v>
      </c>
      <c r="AA136" s="75">
        <v>2.9111787500000004</v>
      </c>
      <c r="AB136" s="75">
        <v>7.1289713486518078</v>
      </c>
      <c r="AC136" s="75">
        <v>2.0592423593750002</v>
      </c>
      <c r="AD136" s="75">
        <v>-26.716135928040213</v>
      </c>
      <c r="AE136" s="75">
        <v>2.375375</v>
      </c>
      <c r="AF136" s="75">
        <v>2.375375</v>
      </c>
      <c r="AG136" s="32">
        <f t="shared" si="92"/>
        <v>2.3009777396870598E-2</v>
      </c>
      <c r="AH136" s="32">
        <f t="shared" si="93"/>
        <v>0.53073405008612418</v>
      </c>
      <c r="AI136" s="33">
        <f t="shared" si="94"/>
        <v>5.0743381559097842E-2</v>
      </c>
      <c r="AJ136" s="34">
        <f t="shared" si="95"/>
        <v>0.56856105803791246</v>
      </c>
      <c r="AK136" s="16">
        <f t="shared" si="96"/>
        <v>4.3131874325233167E-2</v>
      </c>
      <c r="AL136" s="16">
        <f t="shared" si="97"/>
        <v>0.48327689933222562</v>
      </c>
      <c r="AM136" s="27">
        <f t="shared" si="98"/>
        <v>43.13187432523317</v>
      </c>
      <c r="AN136" s="27">
        <f t="shared" si="99"/>
        <v>483.27689933222564</v>
      </c>
      <c r="AO136" s="29" t="e">
        <f t="shared" si="100"/>
        <v>#VALUE!</v>
      </c>
      <c r="AP136" s="29" t="e">
        <f t="shared" si="101"/>
        <v>#VALUE!</v>
      </c>
      <c r="AQ136" s="27">
        <f t="shared" si="102"/>
        <v>11.204634783272036</v>
      </c>
      <c r="AR136" s="14">
        <f t="shared" si="103"/>
        <v>3097.9856946782779</v>
      </c>
      <c r="AS136" s="25">
        <v>0.36620000000000003</v>
      </c>
      <c r="AT136" s="22">
        <f t="shared" si="104"/>
        <v>1.4840633214827075</v>
      </c>
      <c r="AU136" s="22">
        <f t="shared" si="105"/>
        <v>1.1178633214827074</v>
      </c>
      <c r="AV136" s="15"/>
      <c r="AW136" s="22"/>
      <c r="AX136" s="34">
        <f t="shared" si="106"/>
        <v>11178.633214827074</v>
      </c>
      <c r="AY136" s="14">
        <f t="shared" si="107"/>
        <v>54.440560787945628</v>
      </c>
      <c r="AZ136" s="25">
        <v>1.0819000000000001</v>
      </c>
      <c r="BA136" s="22">
        <f t="shared" si="108"/>
        <v>1.1709999738779056</v>
      </c>
      <c r="BB136" s="38">
        <f t="shared" si="109"/>
        <v>8.909997387790547E-2</v>
      </c>
      <c r="BC136" s="58">
        <f t="shared" si="110"/>
        <v>0.55119803375801435</v>
      </c>
      <c r="BD136" s="38">
        <f t="shared" si="111"/>
        <v>0.49111730409391935</v>
      </c>
      <c r="BE136" s="38">
        <f t="shared" si="112"/>
        <v>890.99973877905461</v>
      </c>
    </row>
    <row r="137" spans="1:57" ht="15.75">
      <c r="A137" s="138">
        <v>76</v>
      </c>
      <c r="B137" s="139">
        <v>4</v>
      </c>
      <c r="C137" s="140" t="s">
        <v>417</v>
      </c>
      <c r="D137" s="140" t="s">
        <v>424</v>
      </c>
      <c r="E137" s="140" t="s">
        <v>410</v>
      </c>
      <c r="F137" s="140" t="s">
        <v>480</v>
      </c>
      <c r="G137" s="140"/>
      <c r="H137" s="140" t="s">
        <v>484</v>
      </c>
      <c r="I137" s="140">
        <v>100</v>
      </c>
      <c r="J137" s="141">
        <v>4.2300000000000004</v>
      </c>
      <c r="K137" s="140">
        <v>15</v>
      </c>
      <c r="L137" s="140" t="s">
        <v>89</v>
      </c>
      <c r="M137" s="140">
        <v>3</v>
      </c>
      <c r="N137"/>
      <c r="O137"/>
      <c r="P137"/>
      <c r="Q137" s="108">
        <v>10</v>
      </c>
      <c r="R137" s="53">
        <v>8</v>
      </c>
      <c r="S137" s="53">
        <f t="shared" si="91"/>
        <v>2</v>
      </c>
      <c r="T137" s="80">
        <v>53</v>
      </c>
      <c r="U137" s="80" t="s">
        <v>322</v>
      </c>
      <c r="V137" s="81">
        <v>12.106196000000001</v>
      </c>
      <c r="W137" s="81">
        <v>1782.8365857901185</v>
      </c>
      <c r="X137" s="83">
        <v>5.2109505</v>
      </c>
      <c r="Y137" s="83">
        <v>4.6004039776149277</v>
      </c>
      <c r="Z137" s="71" t="s">
        <v>54</v>
      </c>
      <c r="AA137" s="75">
        <v>2.9111787500000004</v>
      </c>
      <c r="AB137" s="75">
        <v>7.1289713486518078</v>
      </c>
      <c r="AC137" s="75">
        <v>2.0592423593750002</v>
      </c>
      <c r="AD137" s="75">
        <v>-26.716135928040213</v>
      </c>
      <c r="AE137" s="75">
        <v>2.375375</v>
      </c>
      <c r="AF137" s="75">
        <v>2.375375</v>
      </c>
      <c r="AG137" s="32">
        <f t="shared" si="92"/>
        <v>2.3009777396870598E-2</v>
      </c>
      <c r="AH137" s="32">
        <f t="shared" si="93"/>
        <v>0.53073405008612418</v>
      </c>
      <c r="AI137" s="33">
        <f t="shared" si="94"/>
        <v>0.27856087508288524</v>
      </c>
      <c r="AJ137" s="34">
        <f t="shared" si="95"/>
        <v>2.7656288636633137</v>
      </c>
      <c r="AK137" s="16">
        <f t="shared" si="96"/>
        <v>0.23677674382045247</v>
      </c>
      <c r="AL137" s="16">
        <f t="shared" si="97"/>
        <v>2.3507845341138167</v>
      </c>
      <c r="AM137" s="27">
        <f t="shared" si="98"/>
        <v>236.77674382045248</v>
      </c>
      <c r="AN137" s="27">
        <f t="shared" si="99"/>
        <v>2350.7845341138168</v>
      </c>
      <c r="AO137" s="29" t="e">
        <f t="shared" si="100"/>
        <v>#VALUE!</v>
      </c>
      <c r="AP137" s="29" t="e">
        <f t="shared" si="101"/>
        <v>#VALUE!</v>
      </c>
      <c r="AQ137" s="27">
        <f t="shared" si="102"/>
        <v>9.9282746108562669</v>
      </c>
      <c r="AR137" s="14">
        <f t="shared" si="103"/>
        <v>1777.6876144414666</v>
      </c>
      <c r="AS137" s="25">
        <v>0.36620000000000003</v>
      </c>
      <c r="AT137" s="22">
        <f t="shared" si="104"/>
        <v>1.0107573465030129</v>
      </c>
      <c r="AU137" s="22">
        <f t="shared" si="105"/>
        <v>0.64455734650301277</v>
      </c>
      <c r="AV137" s="15"/>
      <c r="AW137" s="22"/>
      <c r="AX137" s="34">
        <f t="shared" si="106"/>
        <v>6445.5734650301274</v>
      </c>
      <c r="AY137" s="14">
        <f t="shared" si="107"/>
        <v>5.2865399056551396</v>
      </c>
      <c r="AZ137" s="25">
        <v>1.0819000000000001</v>
      </c>
      <c r="BA137" s="22">
        <f t="shared" si="108"/>
        <v>1.1170221504552316</v>
      </c>
      <c r="BB137" s="38">
        <f t="shared" si="109"/>
        <v>3.5122150455231482E-2</v>
      </c>
      <c r="BC137" s="58">
        <f t="shared" si="110"/>
        <v>2.6514157949097394</v>
      </c>
      <c r="BD137" s="38">
        <f t="shared" si="111"/>
        <v>0.93123424468197047</v>
      </c>
      <c r="BE137" s="38">
        <f t="shared" si="112"/>
        <v>351.2215045523148</v>
      </c>
    </row>
    <row r="138" spans="1:57" ht="15.75">
      <c r="A138" s="138">
        <v>77</v>
      </c>
      <c r="B138" s="139">
        <v>4</v>
      </c>
      <c r="C138" s="140" t="s">
        <v>419</v>
      </c>
      <c r="D138" s="140" t="s">
        <v>414</v>
      </c>
      <c r="E138" s="140" t="s">
        <v>410</v>
      </c>
      <c r="F138" s="140" t="s">
        <v>480</v>
      </c>
      <c r="G138" s="140"/>
      <c r="H138" s="140" t="s">
        <v>484</v>
      </c>
      <c r="I138" s="140">
        <v>100</v>
      </c>
      <c r="J138" s="141">
        <v>14.36</v>
      </c>
      <c r="K138" s="140">
        <v>15</v>
      </c>
      <c r="L138" s="140" t="s">
        <v>90</v>
      </c>
      <c r="M138" s="140">
        <v>3</v>
      </c>
      <c r="N138"/>
      <c r="O138"/>
      <c r="P138"/>
      <c r="Q138" s="108">
        <v>10</v>
      </c>
      <c r="R138" s="53">
        <v>8</v>
      </c>
      <c r="S138" s="53">
        <f t="shared" si="91"/>
        <v>2</v>
      </c>
      <c r="T138" s="82">
        <v>54</v>
      </c>
      <c r="U138" s="82" t="s">
        <v>323</v>
      </c>
      <c r="V138" s="83">
        <v>5.792948</v>
      </c>
      <c r="W138" s="83">
        <v>1528.1381544399071</v>
      </c>
      <c r="X138" s="81">
        <v>2.7313260000000001</v>
      </c>
      <c r="Y138" s="81">
        <v>6.0788092011114871</v>
      </c>
      <c r="Z138" s="71" t="s">
        <v>54</v>
      </c>
      <c r="AA138" s="75">
        <v>2.9111787500000004</v>
      </c>
      <c r="AB138" s="75">
        <v>7.1289713486518078</v>
      </c>
      <c r="AC138" s="75">
        <v>2.0592423593750002</v>
      </c>
      <c r="AD138" s="75">
        <v>-26.716135928040213</v>
      </c>
      <c r="AE138" s="75">
        <v>2.375375</v>
      </c>
      <c r="AF138" s="75">
        <v>2.375375</v>
      </c>
      <c r="AG138" s="32">
        <f t="shared" si="92"/>
        <v>2.3009777396870598E-2</v>
      </c>
      <c r="AH138" s="32">
        <f t="shared" si="93"/>
        <v>0.53073405008612418</v>
      </c>
      <c r="AI138" s="33">
        <f t="shared" si="94"/>
        <v>0.13329444395164675</v>
      </c>
      <c r="AJ138" s="34">
        <f t="shared" si="95"/>
        <v>1.4496077100855334</v>
      </c>
      <c r="AK138" s="16">
        <f t="shared" si="96"/>
        <v>0.11330027735889973</v>
      </c>
      <c r="AL138" s="16">
        <f t="shared" si="97"/>
        <v>1.2321665535727033</v>
      </c>
      <c r="AM138" s="27">
        <f t="shared" si="98"/>
        <v>113.30027735889973</v>
      </c>
      <c r="AN138" s="27">
        <f t="shared" si="99"/>
        <v>1232.1665535727034</v>
      </c>
      <c r="AO138" s="29" t="e">
        <f t="shared" si="100"/>
        <v>#VALUE!</v>
      </c>
      <c r="AP138" s="29" t="e">
        <f t="shared" si="101"/>
        <v>#VALUE!</v>
      </c>
      <c r="AQ138" s="27">
        <f t="shared" si="102"/>
        <v>10.875229807863455</v>
      </c>
      <c r="AR138" s="14">
        <f t="shared" si="103"/>
        <v>1522.9891830912552</v>
      </c>
      <c r="AS138" s="25">
        <v>0.36620000000000003</v>
      </c>
      <c r="AT138" s="22">
        <f t="shared" si="104"/>
        <v>0.9189282163921646</v>
      </c>
      <c r="AU138" s="22">
        <f t="shared" si="105"/>
        <v>0.55272821639216452</v>
      </c>
      <c r="AV138" s="15"/>
      <c r="AW138" s="22"/>
      <c r="AX138" s="34">
        <f t="shared" si="106"/>
        <v>5527.2821639216445</v>
      </c>
      <c r="AY138" s="14">
        <f t="shared" si="107"/>
        <v>6.7649451291516991</v>
      </c>
      <c r="AZ138" s="25">
        <v>1.0819000000000001</v>
      </c>
      <c r="BA138" s="22">
        <f t="shared" si="108"/>
        <v>1.1186465011866187</v>
      </c>
      <c r="BB138" s="38">
        <f t="shared" si="109"/>
        <v>3.6746501186618596E-2</v>
      </c>
      <c r="BC138" s="58">
        <f t="shared" si="110"/>
        <v>1.393406827813398</v>
      </c>
      <c r="BD138" s="38">
        <f t="shared" si="111"/>
        <v>0.51202825651687478</v>
      </c>
      <c r="BE138" s="38">
        <f t="shared" si="112"/>
        <v>367.46501186618599</v>
      </c>
    </row>
    <row r="139" spans="1:57" ht="15.75">
      <c r="A139" s="138">
        <v>78</v>
      </c>
      <c r="B139" s="139">
        <v>4</v>
      </c>
      <c r="C139" s="140" t="s">
        <v>421</v>
      </c>
      <c r="D139" s="140" t="s">
        <v>420</v>
      </c>
      <c r="E139" s="140" t="s">
        <v>410</v>
      </c>
      <c r="F139" s="140" t="s">
        <v>480</v>
      </c>
      <c r="G139" s="140"/>
      <c r="H139" s="140" t="s">
        <v>484</v>
      </c>
      <c r="I139" s="140">
        <v>100</v>
      </c>
      <c r="J139" s="141">
        <v>10.6</v>
      </c>
      <c r="K139" s="140">
        <v>15</v>
      </c>
      <c r="L139" s="140" t="s">
        <v>91</v>
      </c>
      <c r="M139" s="140">
        <v>3</v>
      </c>
      <c r="N139"/>
      <c r="O139"/>
      <c r="P139"/>
      <c r="Q139" s="108">
        <v>10</v>
      </c>
      <c r="R139" s="53">
        <v>8</v>
      </c>
      <c r="S139" s="53">
        <f t="shared" si="91"/>
        <v>2</v>
      </c>
      <c r="T139" s="80">
        <v>55</v>
      </c>
      <c r="U139" s="80" t="s">
        <v>324</v>
      </c>
      <c r="V139" s="81">
        <v>11.561659000000001</v>
      </c>
      <c r="W139" s="81">
        <v>1851.4776306749529</v>
      </c>
      <c r="X139" s="83">
        <v>4.8508089999999999</v>
      </c>
      <c r="Y139" s="83">
        <v>5.0006863357257565</v>
      </c>
      <c r="Z139" s="71" t="s">
        <v>54</v>
      </c>
      <c r="AA139" s="75">
        <v>2.9111787500000004</v>
      </c>
      <c r="AB139" s="75">
        <v>7.1289713486518078</v>
      </c>
      <c r="AC139" s="75">
        <v>2.0592423593750002</v>
      </c>
      <c r="AD139" s="75">
        <v>-26.716135928040213</v>
      </c>
      <c r="AE139" s="75">
        <v>2.375375</v>
      </c>
      <c r="AF139" s="75">
        <v>2.375375</v>
      </c>
      <c r="AG139" s="32">
        <f t="shared" si="92"/>
        <v>2.3009777396870598E-2</v>
      </c>
      <c r="AH139" s="32">
        <f t="shared" si="93"/>
        <v>0.53073405008612418</v>
      </c>
      <c r="AI139" s="33">
        <f t="shared" si="94"/>
        <v>0.26603119992852553</v>
      </c>
      <c r="AJ139" s="34">
        <f t="shared" si="95"/>
        <v>2.5744895067642219</v>
      </c>
      <c r="AK139" s="16">
        <f t="shared" si="96"/>
        <v>0.22612651993924671</v>
      </c>
      <c r="AL139" s="16">
        <f t="shared" si="97"/>
        <v>2.1883160807495887</v>
      </c>
      <c r="AM139" s="27">
        <f t="shared" si="98"/>
        <v>226.12651993924672</v>
      </c>
      <c r="AN139" s="27">
        <f t="shared" si="99"/>
        <v>2188.3160807495888</v>
      </c>
      <c r="AO139" s="29" t="e">
        <f t="shared" si="100"/>
        <v>#VALUE!</v>
      </c>
      <c r="AP139" s="29" t="e">
        <f t="shared" si="101"/>
        <v>#VALUE!</v>
      </c>
      <c r="AQ139" s="27">
        <f t="shared" si="102"/>
        <v>9.6773968897479268</v>
      </c>
      <c r="AR139" s="14">
        <f t="shared" si="103"/>
        <v>1846.328659326301</v>
      </c>
      <c r="AS139" s="25">
        <v>0.36620000000000003</v>
      </c>
      <c r="AT139" s="22">
        <f t="shared" si="104"/>
        <v>1.0354761206711844</v>
      </c>
      <c r="AU139" s="22">
        <f t="shared" si="105"/>
        <v>0.66927612067118436</v>
      </c>
      <c r="AV139" s="15"/>
      <c r="AW139" s="22"/>
      <c r="AX139" s="34">
        <f t="shared" si="106"/>
        <v>6692.7612067118444</v>
      </c>
      <c r="AY139" s="14">
        <f t="shared" si="107"/>
        <v>5.6868222637659684</v>
      </c>
      <c r="AZ139" s="25">
        <v>1.0819000000000001</v>
      </c>
      <c r="BA139" s="22">
        <f t="shared" si="108"/>
        <v>1.1174619532372261</v>
      </c>
      <c r="BB139" s="38">
        <f t="shared" si="109"/>
        <v>3.5561953237225996E-2</v>
      </c>
      <c r="BC139" s="58">
        <f t="shared" si="110"/>
        <v>2.4687021475717952</v>
      </c>
      <c r="BD139" s="38">
        <f t="shared" si="111"/>
        <v>0.87791870328587562</v>
      </c>
      <c r="BE139" s="38">
        <f t="shared" si="112"/>
        <v>355.61953237225998</v>
      </c>
    </row>
    <row r="140" spans="1:57" ht="15.75">
      <c r="A140" s="138">
        <v>79</v>
      </c>
      <c r="B140" s="139">
        <v>4</v>
      </c>
      <c r="C140" s="140" t="s">
        <v>423</v>
      </c>
      <c r="D140" s="140" t="s">
        <v>426</v>
      </c>
      <c r="E140" s="140" t="s">
        <v>410</v>
      </c>
      <c r="F140" s="140" t="s">
        <v>480</v>
      </c>
      <c r="G140" s="140"/>
      <c r="H140" s="140" t="s">
        <v>484</v>
      </c>
      <c r="I140" s="140">
        <v>100</v>
      </c>
      <c r="J140" s="141">
        <v>15.11</v>
      </c>
      <c r="K140" s="140">
        <v>15</v>
      </c>
      <c r="L140" s="140" t="s">
        <v>92</v>
      </c>
      <c r="M140" s="140">
        <v>3</v>
      </c>
      <c r="N140"/>
      <c r="O140"/>
      <c r="P140"/>
      <c r="Q140" s="108">
        <v>10</v>
      </c>
      <c r="R140" s="53">
        <v>8</v>
      </c>
      <c r="S140" s="53">
        <f t="shared" si="91"/>
        <v>2</v>
      </c>
      <c r="T140" s="82">
        <v>56</v>
      </c>
      <c r="U140" s="82" t="s">
        <v>325</v>
      </c>
      <c r="V140" s="83">
        <v>4.60867</v>
      </c>
      <c r="W140" s="83">
        <v>2410.233307855126</v>
      </c>
      <c r="X140" s="81">
        <v>2.076656625</v>
      </c>
      <c r="Y140" s="81">
        <v>31.747744321602486</v>
      </c>
      <c r="Z140" s="71" t="s">
        <v>54</v>
      </c>
      <c r="AA140" s="75">
        <v>2.9111787500000004</v>
      </c>
      <c r="AB140" s="75">
        <v>7.1289713486518078</v>
      </c>
      <c r="AC140" s="75">
        <v>2.0592423593750002</v>
      </c>
      <c r="AD140" s="75">
        <v>-26.716135928040213</v>
      </c>
      <c r="AE140" s="75">
        <v>2.375375</v>
      </c>
      <c r="AF140" s="75">
        <v>2.375375</v>
      </c>
      <c r="AG140" s="32">
        <f t="shared" si="92"/>
        <v>2.3009777396870598E-2</v>
      </c>
      <c r="AH140" s="32">
        <f t="shared" si="93"/>
        <v>0.53073405008612418</v>
      </c>
      <c r="AI140" s="33">
        <f t="shared" si="94"/>
        <v>0.10604447079563561</v>
      </c>
      <c r="AJ140" s="34">
        <f t="shared" si="95"/>
        <v>1.1021523812244316</v>
      </c>
      <c r="AK140" s="16">
        <f t="shared" si="96"/>
        <v>9.0137800176290264E-2</v>
      </c>
      <c r="AL140" s="16">
        <f t="shared" si="97"/>
        <v>0.9368295240407668</v>
      </c>
      <c r="AM140" s="27">
        <f t="shared" si="98"/>
        <v>90.13780017629027</v>
      </c>
      <c r="AN140" s="27">
        <f t="shared" si="99"/>
        <v>936.82952404076684</v>
      </c>
      <c r="AO140" s="29" t="e">
        <f t="shared" si="100"/>
        <v>#VALUE!</v>
      </c>
      <c r="AP140" s="29" t="e">
        <f t="shared" si="101"/>
        <v>#VALUE!</v>
      </c>
      <c r="AQ140" s="27">
        <f t="shared" si="102"/>
        <v>10.393303610788465</v>
      </c>
      <c r="AR140" s="14">
        <f t="shared" si="103"/>
        <v>2405.0843365064743</v>
      </c>
      <c r="AS140" s="25">
        <v>0.36620000000000003</v>
      </c>
      <c r="AT140" s="22">
        <f t="shared" si="104"/>
        <v>1.2362349380925723</v>
      </c>
      <c r="AU140" s="22">
        <f t="shared" si="105"/>
        <v>0.87003493809257226</v>
      </c>
      <c r="AV140" s="15"/>
      <c r="AW140" s="22"/>
      <c r="AX140" s="34">
        <f t="shared" si="106"/>
        <v>8700.3493809257216</v>
      </c>
      <c r="AY140" s="14">
        <f t="shared" si="107"/>
        <v>32.433880249642698</v>
      </c>
      <c r="AZ140" s="25">
        <v>1.0819000000000001</v>
      </c>
      <c r="BA140" s="22">
        <f t="shared" si="108"/>
        <v>1.1468409227046421</v>
      </c>
      <c r="BB140" s="38">
        <f t="shared" si="109"/>
        <v>6.4940922704642023E-2</v>
      </c>
      <c r="BC140" s="58">
        <f t="shared" si="110"/>
        <v>1.0612678510314868</v>
      </c>
      <c r="BD140" s="38">
        <f t="shared" si="111"/>
        <v>0.68919713482757339</v>
      </c>
      <c r="BE140" s="38">
        <f t="shared" si="112"/>
        <v>649.40922704642026</v>
      </c>
    </row>
    <row r="141" spans="1:57" ht="15.75">
      <c r="A141" s="138">
        <v>80</v>
      </c>
      <c r="B141" s="139">
        <v>4</v>
      </c>
      <c r="C141" s="140" t="s">
        <v>425</v>
      </c>
      <c r="D141" s="140" t="s">
        <v>422</v>
      </c>
      <c r="E141" s="140" t="s">
        <v>410</v>
      </c>
      <c r="F141" s="140" t="s">
        <v>480</v>
      </c>
      <c r="G141" s="140"/>
      <c r="H141" s="140" t="s">
        <v>484</v>
      </c>
      <c r="I141" s="140">
        <v>100</v>
      </c>
      <c r="J141" s="141">
        <v>6.53</v>
      </c>
      <c r="K141" s="140">
        <v>15</v>
      </c>
      <c r="L141" s="140" t="s">
        <v>93</v>
      </c>
      <c r="M141" s="140">
        <v>3</v>
      </c>
      <c r="N141"/>
      <c r="O141"/>
      <c r="P141"/>
      <c r="Q141" s="108">
        <v>10</v>
      </c>
      <c r="R141" s="53">
        <v>8</v>
      </c>
      <c r="S141" s="53">
        <f t="shared" si="91"/>
        <v>2</v>
      </c>
      <c r="T141" s="80">
        <v>57</v>
      </c>
      <c r="U141" s="80" t="s">
        <v>326</v>
      </c>
      <c r="V141" s="81">
        <v>5.7471335000000003</v>
      </c>
      <c r="W141" s="81">
        <v>836.58949390147041</v>
      </c>
      <c r="X141" s="83">
        <v>3.7452934999999998</v>
      </c>
      <c r="Y141" s="83">
        <v>-16.070177924553303</v>
      </c>
      <c r="Z141" s="71" t="s">
        <v>54</v>
      </c>
      <c r="AA141" s="75">
        <v>2.9111787500000004</v>
      </c>
      <c r="AB141" s="75">
        <v>7.1289713486518078</v>
      </c>
      <c r="AC141" s="75">
        <v>2.0592423593750002</v>
      </c>
      <c r="AD141" s="75">
        <v>-26.716135928040213</v>
      </c>
      <c r="AE141" s="75">
        <v>2.375375</v>
      </c>
      <c r="AF141" s="75">
        <v>2.375375</v>
      </c>
      <c r="AG141" s="32">
        <f t="shared" si="92"/>
        <v>2.3009777396870598E-2</v>
      </c>
      <c r="AH141" s="32">
        <f t="shared" si="93"/>
        <v>0.53073405008612418</v>
      </c>
      <c r="AI141" s="33">
        <f t="shared" si="94"/>
        <v>0.13224026250509782</v>
      </c>
      <c r="AJ141" s="34">
        <f t="shared" si="95"/>
        <v>1.9877547880162352</v>
      </c>
      <c r="AK141" s="16">
        <f t="shared" si="96"/>
        <v>0.11240422312933315</v>
      </c>
      <c r="AL141" s="16">
        <f t="shared" si="97"/>
        <v>1.6895915698138</v>
      </c>
      <c r="AM141" s="27">
        <f t="shared" si="98"/>
        <v>112.40422312933315</v>
      </c>
      <c r="AN141" s="27">
        <f t="shared" si="99"/>
        <v>1689.5915698137999</v>
      </c>
      <c r="AO141" s="29" t="e">
        <f t="shared" si="100"/>
        <v>#VALUE!</v>
      </c>
      <c r="AP141" s="29" t="e">
        <f t="shared" si="101"/>
        <v>#VALUE!</v>
      </c>
      <c r="AQ141" s="27">
        <f t="shared" si="102"/>
        <v>15.031388703872301</v>
      </c>
      <c r="AR141" s="14">
        <f t="shared" si="103"/>
        <v>831.44052255281861</v>
      </c>
      <c r="AS141" s="25">
        <v>0.36620000000000003</v>
      </c>
      <c r="AT141" s="22">
        <f t="shared" si="104"/>
        <v>0.66873535863894984</v>
      </c>
      <c r="AU141" s="22">
        <f t="shared" si="105"/>
        <v>0.30253535863894981</v>
      </c>
      <c r="AV141" s="15"/>
      <c r="AW141" s="22"/>
      <c r="AX141" s="34">
        <f t="shared" si="106"/>
        <v>3025.3535863894981</v>
      </c>
      <c r="AY141" s="14">
        <f t="shared" si="107"/>
        <v>-15.384041996513091</v>
      </c>
      <c r="AZ141" s="25">
        <v>1.0819000000000001</v>
      </c>
      <c r="BA141" s="22">
        <f t="shared" si="108"/>
        <v>1.0943054151606504</v>
      </c>
      <c r="BB141" s="38">
        <f t="shared" si="109"/>
        <v>1.2405415160650302E-2</v>
      </c>
      <c r="BC141" s="58">
        <f t="shared" si="110"/>
        <v>1.9078315753282977</v>
      </c>
      <c r="BD141" s="38">
        <f t="shared" si="111"/>
        <v>0.23667442748545015</v>
      </c>
      <c r="BE141" s="38">
        <f t="shared" si="112"/>
        <v>124.05415160650303</v>
      </c>
    </row>
    <row r="142" spans="1:57" ht="15.75">
      <c r="A142" s="138">
        <v>81</v>
      </c>
      <c r="B142" s="140">
        <v>5</v>
      </c>
      <c r="C142" s="140" t="s">
        <v>408</v>
      </c>
      <c r="D142" s="140" t="s">
        <v>420</v>
      </c>
      <c r="E142" s="140" t="s">
        <v>410</v>
      </c>
      <c r="F142" s="140" t="s">
        <v>480</v>
      </c>
      <c r="G142" s="140"/>
      <c r="H142" s="140" t="s">
        <v>485</v>
      </c>
      <c r="I142" s="140">
        <v>100</v>
      </c>
      <c r="J142" s="141">
        <v>10.36</v>
      </c>
      <c r="K142" s="140">
        <v>15</v>
      </c>
      <c r="L142" s="140" t="s">
        <v>94</v>
      </c>
      <c r="M142" s="140">
        <v>3</v>
      </c>
      <c r="N142"/>
      <c r="O142"/>
      <c r="P142"/>
      <c r="Q142" s="108">
        <v>10</v>
      </c>
      <c r="R142" s="53">
        <v>8</v>
      </c>
      <c r="S142" s="53">
        <f t="shared" si="91"/>
        <v>2</v>
      </c>
      <c r="T142" s="80"/>
      <c r="U142" s="146" t="s">
        <v>487</v>
      </c>
      <c r="V142" s="147"/>
      <c r="W142" s="147"/>
      <c r="X142" s="147"/>
      <c r="Y142" s="147"/>
      <c r="Z142" s="148" t="s">
        <v>54</v>
      </c>
      <c r="AA142" s="75">
        <v>2.9111787500000004</v>
      </c>
      <c r="AB142" s="75">
        <v>7.1289713486518078</v>
      </c>
      <c r="AC142" s="75">
        <v>2.0592423593750002</v>
      </c>
      <c r="AD142" s="75">
        <v>-26.716135928040213</v>
      </c>
      <c r="AE142" s="75">
        <v>2.375375</v>
      </c>
      <c r="AF142" s="75">
        <v>2.375375</v>
      </c>
      <c r="AG142" s="32">
        <f t="shared" si="92"/>
        <v>2.3009777396870598E-2</v>
      </c>
      <c r="AH142" s="32">
        <f t="shared" si="93"/>
        <v>0.53073405008612418</v>
      </c>
      <c r="AI142" s="33">
        <f t="shared" si="94"/>
        <v>0</v>
      </c>
      <c r="AJ142" s="34">
        <f t="shared" si="95"/>
        <v>0</v>
      </c>
      <c r="AK142" s="16">
        <f t="shared" si="96"/>
        <v>0</v>
      </c>
      <c r="AL142" s="16">
        <f t="shared" si="97"/>
        <v>0</v>
      </c>
      <c r="AM142" s="27">
        <f t="shared" si="98"/>
        <v>0</v>
      </c>
      <c r="AN142" s="27">
        <f t="shared" si="99"/>
        <v>0</v>
      </c>
      <c r="AO142" s="29" t="e">
        <f t="shared" si="100"/>
        <v>#VALUE!</v>
      </c>
      <c r="AP142" s="29" t="e">
        <f t="shared" si="101"/>
        <v>#VALUE!</v>
      </c>
      <c r="AQ142" s="27" t="e">
        <f t="shared" si="102"/>
        <v>#DIV/0!</v>
      </c>
      <c r="AR142" s="14">
        <f t="shared" si="103"/>
        <v>-5.1489713486518074</v>
      </c>
      <c r="AS142" s="25">
        <v>0.36620000000000003</v>
      </c>
      <c r="AT142" s="22">
        <f t="shared" si="104"/>
        <v>0.36437469350416873</v>
      </c>
      <c r="AU142" s="22">
        <f t="shared" si="105"/>
        <v>-1.8253064958312915E-3</v>
      </c>
      <c r="AV142" s="15"/>
      <c r="AW142" s="22"/>
      <c r="AX142" s="34" t="e">
        <f t="shared" si="106"/>
        <v>#DIV/0!</v>
      </c>
      <c r="AY142" s="14">
        <f t="shared" si="107"/>
        <v>0.68613592804021195</v>
      </c>
      <c r="AZ142" s="25">
        <v>1.0819000000000001</v>
      </c>
      <c r="BA142" s="22">
        <f t="shared" si="108"/>
        <v>1.1119672614363181</v>
      </c>
      <c r="BB142" s="38">
        <f t="shared" si="109"/>
        <v>3.0067261436317994E-2</v>
      </c>
      <c r="BC142" s="58">
        <f t="shared" si="110"/>
        <v>7.7000000000000002E-3</v>
      </c>
      <c r="BD142" s="38">
        <f t="shared" si="111"/>
        <v>2.3151791305964856E-3</v>
      </c>
      <c r="BE142" s="38" t="e">
        <f t="shared" si="112"/>
        <v>#DIV/0!</v>
      </c>
    </row>
    <row r="143" spans="1:57" ht="15.75">
      <c r="A143" s="135"/>
      <c r="B143" s="136"/>
      <c r="C143" s="135"/>
      <c r="D143" s="135" t="s">
        <v>116</v>
      </c>
      <c r="E143" s="135"/>
      <c r="F143" s="135" t="s">
        <v>55</v>
      </c>
      <c r="G143" s="135"/>
      <c r="H143" s="135"/>
      <c r="I143" s="135"/>
      <c r="J143" s="135"/>
      <c r="K143" s="135"/>
      <c r="L143" s="135" t="s">
        <v>130</v>
      </c>
      <c r="M143" s="137"/>
      <c r="N143"/>
      <c r="O143"/>
      <c r="P143"/>
      <c r="Q143" s="108">
        <v>10</v>
      </c>
      <c r="R143" s="53">
        <v>8</v>
      </c>
      <c r="S143" s="53">
        <f t="shared" si="91"/>
        <v>2</v>
      </c>
      <c r="T143" s="82">
        <v>58</v>
      </c>
      <c r="U143" s="82" t="s">
        <v>327</v>
      </c>
      <c r="V143" s="83">
        <v>4.1882822500000003</v>
      </c>
      <c r="W143" s="83">
        <v>3.2844492499508853</v>
      </c>
      <c r="X143" s="81">
        <v>2.7407092500000001</v>
      </c>
      <c r="Y143" s="81">
        <v>-26.190488663234184</v>
      </c>
      <c r="Z143" s="71">
        <v>3.7669999999999999</v>
      </c>
      <c r="AA143" s="75">
        <v>2.9111787500000004</v>
      </c>
      <c r="AB143" s="75">
        <v>7.1289713486518078</v>
      </c>
      <c r="AC143" s="75">
        <v>2.0592423593750002</v>
      </c>
      <c r="AD143" s="75">
        <v>-26.716135928040213</v>
      </c>
      <c r="AE143" s="75">
        <v>2.375375</v>
      </c>
      <c r="AF143" s="75">
        <v>2.375375</v>
      </c>
      <c r="AG143" s="32">
        <f t="shared" si="92"/>
        <v>2.3009777396870598E-2</v>
      </c>
      <c r="AH143" s="32">
        <f t="shared" si="93"/>
        <v>0.53073405008612418</v>
      </c>
      <c r="AI143" s="33">
        <f t="shared" si="94"/>
        <v>9.6371442247764338E-2</v>
      </c>
      <c r="AJ143" s="34">
        <f t="shared" si="95"/>
        <v>1.4545877203610038</v>
      </c>
      <c r="AK143" s="16" t="e">
        <f t="shared" si="96"/>
        <v>#DIV/0!</v>
      </c>
      <c r="AL143" s="16" t="e">
        <f t="shared" si="97"/>
        <v>#DIV/0!</v>
      </c>
      <c r="AM143" s="27" t="e">
        <f t="shared" si="98"/>
        <v>#DIV/0!</v>
      </c>
      <c r="AN143" s="27" t="e">
        <f t="shared" si="99"/>
        <v>#DIV/0!</v>
      </c>
      <c r="AO143" s="29">
        <f t="shared" si="100"/>
        <v>2.5583074660940892</v>
      </c>
      <c r="AP143" s="29">
        <f t="shared" si="101"/>
        <v>38.613955942686594</v>
      </c>
      <c r="AQ143" s="27">
        <f t="shared" si="102"/>
        <v>15.093555584872943</v>
      </c>
      <c r="AR143" s="14">
        <f t="shared" si="103"/>
        <v>-1.8645220987009221</v>
      </c>
      <c r="AS143" s="25">
        <v>0.36620000000000003</v>
      </c>
      <c r="AT143" s="22">
        <f t="shared" si="104"/>
        <v>0.36557326000573159</v>
      </c>
      <c r="AU143" s="22">
        <f t="shared" si="105"/>
        <v>-6.2673999426843263E-4</v>
      </c>
      <c r="AV143" s="15"/>
      <c r="AW143" s="22"/>
      <c r="AX143" s="34">
        <f t="shared" si="106"/>
        <v>-6.2673999426843263</v>
      </c>
      <c r="AY143" s="14">
        <f t="shared" si="107"/>
        <v>-25.504352735193972</v>
      </c>
      <c r="AZ143" s="25">
        <v>1.0819000000000001</v>
      </c>
      <c r="BA143" s="22">
        <f t="shared" si="108"/>
        <v>1.0831795017954944</v>
      </c>
      <c r="BB143" s="38">
        <f t="shared" si="109"/>
        <v>1.2795017954942978E-3</v>
      </c>
      <c r="BC143" s="58" t="e">
        <f t="shared" si="110"/>
        <v>#DIV/0!</v>
      </c>
      <c r="BD143" s="38" t="e">
        <f t="shared" si="111"/>
        <v>#DIV/0!</v>
      </c>
      <c r="BE143" s="38">
        <f t="shared" si="112"/>
        <v>12.795017954942978</v>
      </c>
    </row>
    <row r="144" spans="1:57" ht="15.75">
      <c r="A144" s="138">
        <v>82</v>
      </c>
      <c r="B144" s="140">
        <v>5</v>
      </c>
      <c r="C144" s="140" t="s">
        <v>413</v>
      </c>
      <c r="D144" s="140" t="s">
        <v>424</v>
      </c>
      <c r="E144" s="140" t="s">
        <v>410</v>
      </c>
      <c r="F144" s="140" t="s">
        <v>480</v>
      </c>
      <c r="G144" s="140"/>
      <c r="H144" s="140" t="s">
        <v>485</v>
      </c>
      <c r="I144" s="140">
        <v>100</v>
      </c>
      <c r="J144" s="141">
        <v>5.86</v>
      </c>
      <c r="K144" s="140">
        <v>15</v>
      </c>
      <c r="L144" s="140" t="s">
        <v>95</v>
      </c>
      <c r="M144" s="140">
        <v>3</v>
      </c>
      <c r="N144"/>
      <c r="O144"/>
      <c r="P144"/>
      <c r="Q144" s="108">
        <v>10</v>
      </c>
      <c r="R144" s="53">
        <v>8</v>
      </c>
      <c r="S144" s="53">
        <f t="shared" si="91"/>
        <v>2</v>
      </c>
      <c r="T144" s="80">
        <v>59</v>
      </c>
      <c r="U144" s="80" t="s">
        <v>328</v>
      </c>
      <c r="V144" s="81">
        <v>4.4277484999999999</v>
      </c>
      <c r="W144" s="81">
        <v>2110.9919269281868</v>
      </c>
      <c r="X144" s="83">
        <v>4.1026497500000003</v>
      </c>
      <c r="Y144" s="83">
        <v>-4.6755631982385442</v>
      </c>
      <c r="Z144" s="71" t="s">
        <v>54</v>
      </c>
      <c r="AA144" s="75">
        <v>2.9111787500000004</v>
      </c>
      <c r="AB144" s="75">
        <v>7.1289713486518078</v>
      </c>
      <c r="AC144" s="75">
        <v>2.0592423593750002</v>
      </c>
      <c r="AD144" s="75">
        <v>-26.716135928040213</v>
      </c>
      <c r="AE144" s="75">
        <v>2.375375</v>
      </c>
      <c r="AF144" s="75">
        <v>2.375375</v>
      </c>
      <c r="AG144" s="32">
        <f t="shared" si="92"/>
        <v>2.3009777396870598E-2</v>
      </c>
      <c r="AH144" s="32">
        <f t="shared" si="93"/>
        <v>0.53073405008612418</v>
      </c>
      <c r="AI144" s="33">
        <f t="shared" si="94"/>
        <v>0.10188150735432769</v>
      </c>
      <c r="AJ144" s="34">
        <f t="shared" si="95"/>
        <v>2.1774159179023251</v>
      </c>
      <c r="AK144" s="16">
        <f t="shared" si="96"/>
        <v>8.6599281251178536E-2</v>
      </c>
      <c r="AL144" s="16">
        <f t="shared" si="97"/>
        <v>1.8508035302169763</v>
      </c>
      <c r="AM144" s="27">
        <f t="shared" si="98"/>
        <v>86.599281251178539</v>
      </c>
      <c r="AN144" s="27">
        <f t="shared" si="99"/>
        <v>1850.8035302169762</v>
      </c>
      <c r="AO144" s="29" t="e">
        <f t="shared" si="100"/>
        <v>#VALUE!</v>
      </c>
      <c r="AP144" s="29" t="e">
        <f t="shared" si="101"/>
        <v>#VALUE!</v>
      </c>
      <c r="AQ144" s="27">
        <f t="shared" si="102"/>
        <v>21.372042625258956</v>
      </c>
      <c r="AR144" s="14">
        <f t="shared" si="103"/>
        <v>2105.8429555795351</v>
      </c>
      <c r="AS144" s="25">
        <v>0.36620000000000003</v>
      </c>
      <c r="AT144" s="22">
        <f t="shared" si="104"/>
        <v>1.1288200431944317</v>
      </c>
      <c r="AU144" s="22">
        <f t="shared" si="105"/>
        <v>0.76262004319443166</v>
      </c>
      <c r="AV144" s="15"/>
      <c r="AW144" s="22"/>
      <c r="AX144" s="34">
        <f t="shared" si="106"/>
        <v>7626.2004319443167</v>
      </c>
      <c r="AY144" s="14">
        <f t="shared" si="107"/>
        <v>-3.9894272701983322</v>
      </c>
      <c r="AZ144" s="25">
        <v>1.0819000000000001</v>
      </c>
      <c r="BA144" s="22">
        <f t="shared" si="108"/>
        <v>1.1068292584629431</v>
      </c>
      <c r="BB144" s="38">
        <f t="shared" si="109"/>
        <v>2.4929258462943027E-2</v>
      </c>
      <c r="BC144" s="58">
        <f t="shared" si="110"/>
        <v>2.0891321581173137</v>
      </c>
      <c r="BD144" s="38">
        <f t="shared" si="111"/>
        <v>0.52080515532952476</v>
      </c>
      <c r="BE144" s="38">
        <f t="shared" si="112"/>
        <v>249.29258462943031</v>
      </c>
    </row>
    <row r="145" spans="1:57" ht="15.75">
      <c r="A145" s="138">
        <v>83</v>
      </c>
      <c r="B145" s="140">
        <v>5</v>
      </c>
      <c r="C145" s="140" t="s">
        <v>415</v>
      </c>
      <c r="D145" s="140" t="s">
        <v>409</v>
      </c>
      <c r="E145" s="140" t="s">
        <v>410</v>
      </c>
      <c r="F145" s="140" t="s">
        <v>480</v>
      </c>
      <c r="G145" s="140"/>
      <c r="H145" s="140" t="s">
        <v>485</v>
      </c>
      <c r="I145" s="140">
        <v>100</v>
      </c>
      <c r="J145" s="141">
        <v>8.92</v>
      </c>
      <c r="K145" s="140">
        <v>15</v>
      </c>
      <c r="L145" s="140" t="s">
        <v>96</v>
      </c>
      <c r="M145" s="140">
        <v>3</v>
      </c>
      <c r="N145"/>
      <c r="O145"/>
      <c r="P145"/>
      <c r="Q145" s="108">
        <v>10</v>
      </c>
      <c r="R145" s="53">
        <v>8</v>
      </c>
      <c r="S145" s="53">
        <f t="shared" si="91"/>
        <v>2</v>
      </c>
      <c r="T145" s="82">
        <v>60</v>
      </c>
      <c r="U145" s="82" t="s">
        <v>329</v>
      </c>
      <c r="V145" s="83">
        <v>4.8803039999999998</v>
      </c>
      <c r="W145" s="83">
        <v>3189.5878322938534</v>
      </c>
      <c r="X145" s="81">
        <v>4.7297669999999998</v>
      </c>
      <c r="Y145" s="81">
        <v>-1.2233005911884016</v>
      </c>
      <c r="Z145" s="71" t="s">
        <v>54</v>
      </c>
      <c r="AA145" s="75">
        <v>2.9111787500000004</v>
      </c>
      <c r="AB145" s="75">
        <v>7.1289713486518078</v>
      </c>
      <c r="AC145" s="75">
        <v>2.0592423593750002</v>
      </c>
      <c r="AD145" s="75">
        <v>-26.716135928040213</v>
      </c>
      <c r="AE145" s="75">
        <v>2.375375</v>
      </c>
      <c r="AF145" s="75">
        <v>2.375375</v>
      </c>
      <c r="AG145" s="32">
        <f t="shared" si="92"/>
        <v>2.3009777396870598E-2</v>
      </c>
      <c r="AH145" s="32">
        <f t="shared" si="93"/>
        <v>0.53073405008612418</v>
      </c>
      <c r="AI145" s="33">
        <f t="shared" si="94"/>
        <v>0.11229470866905716</v>
      </c>
      <c r="AJ145" s="34">
        <f t="shared" si="95"/>
        <v>2.5102483958736972</v>
      </c>
      <c r="AK145" s="16">
        <f t="shared" si="96"/>
        <v>9.5450502368698592E-2</v>
      </c>
      <c r="AL145" s="16">
        <f t="shared" si="97"/>
        <v>2.1337111364926429</v>
      </c>
      <c r="AM145" s="27">
        <f t="shared" si="98"/>
        <v>95.450502368698594</v>
      </c>
      <c r="AN145" s="27">
        <f t="shared" si="99"/>
        <v>2133.7111364926427</v>
      </c>
      <c r="AO145" s="29" t="e">
        <f t="shared" si="100"/>
        <v>#VALUE!</v>
      </c>
      <c r="AP145" s="29" t="e">
        <f t="shared" si="101"/>
        <v>#VALUE!</v>
      </c>
      <c r="AQ145" s="27">
        <f t="shared" si="102"/>
        <v>22.35411112086884</v>
      </c>
      <c r="AR145" s="14">
        <f t="shared" si="103"/>
        <v>3184.4388609452017</v>
      </c>
      <c r="AS145" s="25">
        <v>0.36620000000000003</v>
      </c>
      <c r="AT145" s="22">
        <f t="shared" si="104"/>
        <v>1.514897574947291</v>
      </c>
      <c r="AU145" s="22">
        <f t="shared" si="105"/>
        <v>1.148697574947291</v>
      </c>
      <c r="AV145" s="15"/>
      <c r="AW145" s="22"/>
      <c r="AX145" s="34">
        <f t="shared" si="106"/>
        <v>11486.975749472909</v>
      </c>
      <c r="AY145" s="14">
        <f t="shared" si="107"/>
        <v>-0.53716466314818967</v>
      </c>
      <c r="AZ145" s="25">
        <v>1.0819000000000001</v>
      </c>
      <c r="BA145" s="22">
        <f t="shared" si="108"/>
        <v>1.1106230210337387</v>
      </c>
      <c r="BB145" s="38">
        <f t="shared" si="109"/>
        <v>2.8723021033738583E-2</v>
      </c>
      <c r="BC145" s="58">
        <f t="shared" si="110"/>
        <v>2.4072928812109913</v>
      </c>
      <c r="BD145" s="38">
        <f t="shared" si="111"/>
        <v>0.6914472406139246</v>
      </c>
      <c r="BE145" s="38">
        <f t="shared" si="112"/>
        <v>287.23021033738581</v>
      </c>
    </row>
    <row r="146" spans="1:57" ht="15">
      <c r="A146" s="138">
        <v>84</v>
      </c>
      <c r="B146" s="140">
        <v>5</v>
      </c>
      <c r="C146" s="140" t="s">
        <v>417</v>
      </c>
      <c r="D146" s="140" t="s">
        <v>426</v>
      </c>
      <c r="E146" s="140" t="s">
        <v>410</v>
      </c>
      <c r="F146" s="140" t="s">
        <v>480</v>
      </c>
      <c r="G146" s="140"/>
      <c r="H146" s="140" t="s">
        <v>485</v>
      </c>
      <c r="I146" s="140">
        <v>100</v>
      </c>
      <c r="J146" s="141">
        <v>5.23</v>
      </c>
      <c r="K146" s="140">
        <v>15</v>
      </c>
      <c r="L146" s="140" t="s">
        <v>97</v>
      </c>
      <c r="M146" s="140">
        <v>3</v>
      </c>
      <c r="Q146" s="108">
        <v>10</v>
      </c>
      <c r="R146" s="53">
        <v>8</v>
      </c>
      <c r="S146" s="53">
        <f t="shared" si="91"/>
        <v>2</v>
      </c>
      <c r="T146" s="80">
        <v>61</v>
      </c>
      <c r="U146" s="80" t="s">
        <v>330</v>
      </c>
      <c r="V146" s="81">
        <v>4.4106829999999997</v>
      </c>
      <c r="W146" s="81">
        <v>5686.7363613638254</v>
      </c>
      <c r="X146" s="83">
        <v>2.6387744999999998</v>
      </c>
      <c r="Y146" s="83">
        <v>82.347951035049149</v>
      </c>
      <c r="Z146" s="154" t="s">
        <v>54</v>
      </c>
      <c r="AA146" s="75">
        <v>2.9111787500000004</v>
      </c>
      <c r="AB146" s="75">
        <v>7.1289713486518078</v>
      </c>
      <c r="AC146" s="75">
        <v>2.0592423593750002</v>
      </c>
      <c r="AD146" s="75">
        <v>-26.716135928040213</v>
      </c>
      <c r="AE146" s="75">
        <v>2.375375</v>
      </c>
      <c r="AF146" s="75">
        <v>2.375375</v>
      </c>
      <c r="AG146" s="32">
        <f t="shared" ref="AG146" si="113">((2.82/100)*AE146)/AA146</f>
        <v>2.3009777396870598E-2</v>
      </c>
      <c r="AH146" s="32">
        <f t="shared" ref="AH146" si="114">((46.01/100)*AF146)/AC146</f>
        <v>0.53073405008612418</v>
      </c>
      <c r="AI146" s="33">
        <f t="shared" ref="AI146" si="115">V146*AG146</f>
        <v>0.10148883399816139</v>
      </c>
      <c r="AJ146" s="34">
        <f t="shared" ref="AJ146" si="116">X146*AH146</f>
        <v>1.4004874776489871</v>
      </c>
      <c r="AK146" s="16">
        <f t="shared" ref="AK146" si="117">((AI146/K146)*(100+S146))/(R146)</f>
        <v>8.6265508898437177E-2</v>
      </c>
      <c r="AL146" s="16">
        <f t="shared" ref="AL146" si="118">((AJ146/K146)*(100+S146))/(R146)</f>
        <v>1.1904143560016389</v>
      </c>
      <c r="AM146" s="27">
        <f t="shared" ref="AM146" si="119">AK146*1000</f>
        <v>86.265508898437176</v>
      </c>
      <c r="AN146" s="27">
        <f t="shared" ref="AN146" si="120">AL146*1000</f>
        <v>1190.4143560016389</v>
      </c>
      <c r="AO146" s="29" t="e">
        <f>AI146*100/Z146</f>
        <v>#VALUE!</v>
      </c>
      <c r="AP146" s="29" t="e">
        <f>AJ146*100/Z146</f>
        <v>#VALUE!</v>
      </c>
      <c r="AQ146" s="27">
        <f t="shared" ref="AQ146" si="121">AJ146/AI146</f>
        <v>13.799424256606978</v>
      </c>
      <c r="AR146" s="14">
        <f t="shared" ref="AR146" si="122">W146+(1.98-AB146)</f>
        <v>5681.5873900151737</v>
      </c>
      <c r="AS146" s="25">
        <v>0.36620000000000003</v>
      </c>
      <c r="AT146" s="22">
        <f t="shared" ref="AT146" si="123">100*0.003676*(AR146/1000+1)/(1+0.003676*(AR146/1000+1))</f>
        <v>2.3972709183602103</v>
      </c>
      <c r="AU146" s="22">
        <f t="shared" ref="AU146" si="124">AT146-AS146</f>
        <v>2.0310709183602103</v>
      </c>
      <c r="AV146" s="15"/>
      <c r="AW146" s="22"/>
      <c r="AX146" s="34">
        <f t="shared" ref="AX146" si="125">(((AI146*(AU146%))/AI146)*1000)*1000</f>
        <v>20310.709183602103</v>
      </c>
      <c r="AY146" s="14">
        <f t="shared" ref="AY146" si="126">Y146+(-26.03-AD146)</f>
        <v>83.034086963089365</v>
      </c>
      <c r="AZ146" s="25">
        <v>1.0819000000000001</v>
      </c>
      <c r="BA146" s="22">
        <f>100*0.011237*(AY146/1000+1)/(1+0.011237*(AY146/1000+1))</f>
        <v>1.2023724656431054</v>
      </c>
      <c r="BB146" s="38">
        <f>BA146-AZ146</f>
        <v>0.12047246564310532</v>
      </c>
      <c r="BC146" s="58">
        <f t="shared" ref="BC146" si="127">1.12461*AL146+0.0077</f>
        <v>1.3464518889030033</v>
      </c>
      <c r="BD146" s="32">
        <f>((BB146%)*BC146)*1000</f>
        <v>1.6221037892596133</v>
      </c>
      <c r="BE146" s="38">
        <f>(((AJ146*(BB146%))/AJ146)*1000)*1000</f>
        <v>1204.7246564310533</v>
      </c>
    </row>
    <row r="147" spans="1:57" ht="15">
      <c r="A147" s="138">
        <v>85</v>
      </c>
      <c r="B147" s="140">
        <v>5</v>
      </c>
      <c r="C147" s="140" t="s">
        <v>419</v>
      </c>
      <c r="D147" s="140" t="s">
        <v>418</v>
      </c>
      <c r="E147" s="140" t="s">
        <v>410</v>
      </c>
      <c r="F147" s="140" t="s">
        <v>480</v>
      </c>
      <c r="G147" s="140"/>
      <c r="H147" s="140" t="s">
        <v>485</v>
      </c>
      <c r="I147" s="140">
        <v>100</v>
      </c>
      <c r="J147" s="141">
        <v>2.89</v>
      </c>
      <c r="K147" s="140">
        <v>15</v>
      </c>
      <c r="L147" s="140" t="s">
        <v>98</v>
      </c>
      <c r="M147" s="140">
        <v>3</v>
      </c>
      <c r="Q147" s="108">
        <v>10</v>
      </c>
      <c r="R147" s="53">
        <v>8</v>
      </c>
      <c r="S147" s="53">
        <f t="shared" si="91"/>
        <v>2</v>
      </c>
      <c r="T147" s="82">
        <v>62</v>
      </c>
      <c r="U147" s="82" t="s">
        <v>331</v>
      </c>
      <c r="V147" s="83">
        <v>2.6423602499999999</v>
      </c>
      <c r="W147" s="83">
        <v>662.50227876163581</v>
      </c>
      <c r="X147" s="81">
        <v>2.72906</v>
      </c>
      <c r="Y147" s="81">
        <v>-19.121996012251707</v>
      </c>
      <c r="Z147" s="154" t="s">
        <v>54</v>
      </c>
      <c r="AA147" s="75">
        <v>2.9111787500000004</v>
      </c>
      <c r="AB147" s="75">
        <v>7.1289713486518078</v>
      </c>
      <c r="AC147" s="75">
        <v>2.0592423593750002</v>
      </c>
      <c r="AD147" s="75">
        <v>-26.716135928040213</v>
      </c>
      <c r="AE147" s="75">
        <v>2.375375</v>
      </c>
      <c r="AF147" s="75">
        <v>2.375375</v>
      </c>
      <c r="AG147" s="32">
        <f t="shared" ref="AG147:AG206" si="128">((2.82/100)*AE147)/AA147</f>
        <v>2.3009777396870598E-2</v>
      </c>
      <c r="AH147" s="32">
        <f t="shared" ref="AH147:AH206" si="129">((46.01/100)*AF147)/AC147</f>
        <v>0.53073405008612418</v>
      </c>
      <c r="AI147" s="33">
        <f t="shared" ref="AI147:AI206" si="130">V147*AG147</f>
        <v>6.0800121154839334E-2</v>
      </c>
      <c r="AJ147" s="34">
        <f t="shared" ref="AJ147:AJ206" si="131">X147*AH147</f>
        <v>1.4484050667280381</v>
      </c>
      <c r="AK147" s="16">
        <f t="shared" ref="AK147:AK206" si="132">((AI147/K147)*(100+S147))/(R147)</f>
        <v>5.1680102981613435E-2</v>
      </c>
      <c r="AL147" s="16">
        <f t="shared" ref="AL147:AL206" si="133">((AJ147/K147)*(100+S147))/(R147)</f>
        <v>1.2311443067188323</v>
      </c>
      <c r="AM147" s="27">
        <f t="shared" ref="AM147:AM206" si="134">AK147*1000</f>
        <v>51.680102981613437</v>
      </c>
      <c r="AN147" s="27">
        <f t="shared" ref="AN147:AN206" si="135">AL147*1000</f>
        <v>1231.1443067188322</v>
      </c>
      <c r="AO147" s="29" t="e">
        <f t="shared" ref="AO147:AO206" si="136">AI147*100/Z147</f>
        <v>#VALUE!</v>
      </c>
      <c r="AP147" s="29" t="e">
        <f t="shared" ref="AP147:AP206" si="137">AJ147*100/Z147</f>
        <v>#VALUE!</v>
      </c>
      <c r="AQ147" s="27">
        <f t="shared" ref="AQ147:AQ206" si="138">AJ147/AI147</f>
        <v>23.822404285007803</v>
      </c>
      <c r="AR147" s="14">
        <f t="shared" ref="AR147:AR206" si="139">W147+(1.98-AB147)</f>
        <v>657.35330741298401</v>
      </c>
      <c r="AS147" s="25">
        <v>0.36620000000000003</v>
      </c>
      <c r="AT147" s="22">
        <f t="shared" ref="AT147:AT206" si="140">100*0.003676*(AR147/1000+1)/(1+0.003676*(AR147/1000+1))</f>
        <v>0.60555378132203297</v>
      </c>
      <c r="AU147" s="22">
        <f t="shared" ref="AU147:AU206" si="141">AT147-AS147</f>
        <v>0.23935378132203294</v>
      </c>
      <c r="AV147" s="15"/>
      <c r="AW147" s="22"/>
      <c r="AX147" s="34">
        <f t="shared" ref="AX147:AX206" si="142">(((AI147*(AU147%))/AI147)*1000)*1000</f>
        <v>2393.5378132203296</v>
      </c>
      <c r="AY147" s="14">
        <f t="shared" ref="AY147:AY206" si="143">Y147+(-26.03-AD147)</f>
        <v>-18.435860084211495</v>
      </c>
      <c r="AZ147" s="25">
        <v>1.0819000000000001</v>
      </c>
      <c r="BA147" s="22">
        <f t="shared" ref="BA147:BA206" si="144">100*0.011237*(AY147/1000+1)/(1+0.011237*(AY147/1000+1))</f>
        <v>1.0909506173676249</v>
      </c>
      <c r="BB147" s="38">
        <f t="shared" ref="BB147:BB206" si="145">BA147-AZ147</f>
        <v>9.0506173676248025E-3</v>
      </c>
      <c r="BC147" s="58">
        <f t="shared" ref="BC147:BC206" si="146">1.12461*AL147+0.0077</f>
        <v>1.3922571987790662</v>
      </c>
      <c r="BD147" s="32">
        <f t="shared" ref="BD147:BD206" si="147">((BB147%)*BC147)*1000</f>
        <v>0.12600787183470474</v>
      </c>
      <c r="BE147" s="38">
        <f t="shared" ref="BE147:BE206" si="148">(((AJ147*(BB147%))/AJ147)*1000)*1000</f>
        <v>90.506173676248025</v>
      </c>
    </row>
    <row r="148" spans="1:57" ht="15">
      <c r="A148" s="138">
        <v>86</v>
      </c>
      <c r="B148" s="140">
        <v>5</v>
      </c>
      <c r="C148" s="140" t="s">
        <v>421</v>
      </c>
      <c r="D148" s="140" t="s">
        <v>416</v>
      </c>
      <c r="E148" s="140" t="s">
        <v>410</v>
      </c>
      <c r="F148" s="140" t="s">
        <v>480</v>
      </c>
      <c r="G148" s="140"/>
      <c r="H148" s="140" t="s">
        <v>485</v>
      </c>
      <c r="I148" s="140">
        <v>100</v>
      </c>
      <c r="J148" s="141">
        <v>4.6900000000000004</v>
      </c>
      <c r="K148" s="140">
        <v>15</v>
      </c>
      <c r="L148" s="140" t="s">
        <v>99</v>
      </c>
      <c r="M148" s="140">
        <v>3</v>
      </c>
      <c r="Q148" s="108">
        <v>10</v>
      </c>
      <c r="R148" s="53">
        <v>8</v>
      </c>
      <c r="S148" s="53">
        <f t="shared" si="91"/>
        <v>2</v>
      </c>
      <c r="T148" s="80">
        <v>63</v>
      </c>
      <c r="U148" s="80" t="s">
        <v>332</v>
      </c>
      <c r="V148" s="81">
        <v>5.6443539999999999</v>
      </c>
      <c r="W148" s="81">
        <v>1848.8374375805413</v>
      </c>
      <c r="X148" s="83">
        <v>3.3229495</v>
      </c>
      <c r="Y148" s="83">
        <v>2.7852988425508167</v>
      </c>
      <c r="Z148" s="154" t="s">
        <v>54</v>
      </c>
      <c r="AA148" s="75">
        <v>2.9111787500000004</v>
      </c>
      <c r="AB148" s="75">
        <v>7.1289713486518078</v>
      </c>
      <c r="AC148" s="75">
        <v>2.0592423593750002</v>
      </c>
      <c r="AD148" s="75">
        <v>-26.716135928040213</v>
      </c>
      <c r="AE148" s="75">
        <v>2.375375</v>
      </c>
      <c r="AF148" s="75">
        <v>2.375375</v>
      </c>
      <c r="AG148" s="32">
        <f t="shared" si="128"/>
        <v>2.3009777396870598E-2</v>
      </c>
      <c r="AH148" s="32">
        <f t="shared" si="129"/>
        <v>0.53073405008612418</v>
      </c>
      <c r="AI148" s="33">
        <f t="shared" si="130"/>
        <v>0.12987532908913615</v>
      </c>
      <c r="AJ148" s="34">
        <f t="shared" si="131"/>
        <v>1.7636024463666613</v>
      </c>
      <c r="AK148" s="16">
        <f t="shared" si="132"/>
        <v>0.11039402972576573</v>
      </c>
      <c r="AL148" s="16">
        <f t="shared" si="133"/>
        <v>1.4990620794116623</v>
      </c>
      <c r="AM148" s="27">
        <f t="shared" si="134"/>
        <v>110.39402972576573</v>
      </c>
      <c r="AN148" s="27">
        <f t="shared" si="135"/>
        <v>1499.0620794116624</v>
      </c>
      <c r="AO148" s="29" t="e">
        <f t="shared" si="136"/>
        <v>#VALUE!</v>
      </c>
      <c r="AP148" s="29" t="e">
        <f t="shared" si="137"/>
        <v>#VALUE!</v>
      </c>
      <c r="AQ148" s="27">
        <f t="shared" si="138"/>
        <v>13.579195207707725</v>
      </c>
      <c r="AR148" s="14">
        <f t="shared" si="139"/>
        <v>1843.6884662318894</v>
      </c>
      <c r="AS148" s="25">
        <v>0.36620000000000003</v>
      </c>
      <c r="AT148" s="22">
        <f t="shared" si="140"/>
        <v>1.0345255718139403</v>
      </c>
      <c r="AU148" s="22">
        <f t="shared" si="141"/>
        <v>0.66832557181394026</v>
      </c>
      <c r="AV148" s="15"/>
      <c r="AW148" s="22"/>
      <c r="AX148" s="34">
        <f t="shared" si="142"/>
        <v>6683.2557181394031</v>
      </c>
      <c r="AY148" s="14">
        <f t="shared" si="143"/>
        <v>3.4714347705910287</v>
      </c>
      <c r="AZ148" s="25">
        <v>1.0819000000000001</v>
      </c>
      <c r="BA148" s="22">
        <f t="shared" si="144"/>
        <v>1.1150277884178208</v>
      </c>
      <c r="BB148" s="38">
        <f t="shared" si="145"/>
        <v>3.3127788417820714E-2</v>
      </c>
      <c r="BC148" s="58">
        <f t="shared" si="146"/>
        <v>1.6935602051271497</v>
      </c>
      <c r="BD148" s="32">
        <f t="shared" si="147"/>
        <v>0.5610390414829326</v>
      </c>
      <c r="BE148" s="38">
        <f t="shared" si="148"/>
        <v>331.27788417820716</v>
      </c>
    </row>
    <row r="149" spans="1:57" ht="15">
      <c r="A149" s="138">
        <v>87</v>
      </c>
      <c r="B149" s="140">
        <v>5</v>
      </c>
      <c r="C149" s="140" t="s">
        <v>423</v>
      </c>
      <c r="D149" s="140" t="s">
        <v>422</v>
      </c>
      <c r="E149" s="140" t="s">
        <v>410</v>
      </c>
      <c r="F149" s="140" t="s">
        <v>480</v>
      </c>
      <c r="G149" s="140"/>
      <c r="H149" s="140" t="s">
        <v>485</v>
      </c>
      <c r="I149" s="140">
        <v>100</v>
      </c>
      <c r="J149" s="141">
        <v>5.68</v>
      </c>
      <c r="K149" s="140">
        <v>15</v>
      </c>
      <c r="L149" s="140" t="s">
        <v>100</v>
      </c>
      <c r="M149" s="140">
        <v>3</v>
      </c>
      <c r="Q149" s="108">
        <v>10</v>
      </c>
      <c r="R149" s="53">
        <v>8</v>
      </c>
      <c r="S149" s="53">
        <f t="shared" si="91"/>
        <v>2</v>
      </c>
      <c r="T149" s="82">
        <v>64</v>
      </c>
      <c r="U149" s="82" t="s">
        <v>333</v>
      </c>
      <c r="V149" s="83">
        <v>5.9848800000000004</v>
      </c>
      <c r="W149" s="83">
        <v>3022.1945376950171</v>
      </c>
      <c r="X149" s="81">
        <v>4.8321759999999996</v>
      </c>
      <c r="Y149" s="81">
        <v>2.818492238110792</v>
      </c>
      <c r="Z149" s="154" t="s">
        <v>54</v>
      </c>
      <c r="AA149" s="75">
        <v>2.9111787500000004</v>
      </c>
      <c r="AB149" s="75">
        <v>7.1289713486518078</v>
      </c>
      <c r="AC149" s="75">
        <v>2.0592423593750002</v>
      </c>
      <c r="AD149" s="75">
        <v>-26.716135928040213</v>
      </c>
      <c r="AE149" s="75">
        <v>2.375375</v>
      </c>
      <c r="AF149" s="75">
        <v>2.375375</v>
      </c>
      <c r="AG149" s="32">
        <f t="shared" si="128"/>
        <v>2.3009777396870598E-2</v>
      </c>
      <c r="AH149" s="32">
        <f t="shared" si="129"/>
        <v>0.53073405008612418</v>
      </c>
      <c r="AI149" s="33">
        <f t="shared" si="130"/>
        <v>0.13771075654698292</v>
      </c>
      <c r="AJ149" s="34">
        <f t="shared" si="131"/>
        <v>2.5646003392089671</v>
      </c>
      <c r="AK149" s="16">
        <f t="shared" si="132"/>
        <v>0.11705414306493549</v>
      </c>
      <c r="AL149" s="16">
        <f t="shared" si="133"/>
        <v>2.1799102883276222</v>
      </c>
      <c r="AM149" s="27">
        <f t="shared" si="134"/>
        <v>117.05414306493549</v>
      </c>
      <c r="AN149" s="27">
        <f t="shared" si="135"/>
        <v>2179.9102883276223</v>
      </c>
      <c r="AO149" s="29" t="e">
        <f t="shared" si="136"/>
        <v>#VALUE!</v>
      </c>
      <c r="AP149" s="29" t="e">
        <f t="shared" si="137"/>
        <v>#VALUE!</v>
      </c>
      <c r="AQ149" s="27">
        <f t="shared" si="138"/>
        <v>18.623093820082236</v>
      </c>
      <c r="AR149" s="14">
        <f t="shared" si="139"/>
        <v>3017.0455663463654</v>
      </c>
      <c r="AS149" s="25">
        <v>0.36620000000000003</v>
      </c>
      <c r="AT149" s="22">
        <f t="shared" si="140"/>
        <v>1.4551778345908246</v>
      </c>
      <c r="AU149" s="22">
        <f t="shared" si="141"/>
        <v>1.0889778345908245</v>
      </c>
      <c r="AV149" s="15"/>
      <c r="AW149" s="22"/>
      <c r="AX149" s="34">
        <f t="shared" si="142"/>
        <v>10889.778345908246</v>
      </c>
      <c r="AY149" s="14">
        <f t="shared" si="143"/>
        <v>3.5046281661510039</v>
      </c>
      <c r="AZ149" s="25">
        <v>1.0819000000000001</v>
      </c>
      <c r="BA149" s="22">
        <f t="shared" si="144"/>
        <v>1.1150642606625831</v>
      </c>
      <c r="BB149" s="38">
        <f t="shared" si="145"/>
        <v>3.3164260662583045E-2</v>
      </c>
      <c r="BC149" s="58">
        <f t="shared" si="146"/>
        <v>2.4592489093561274</v>
      </c>
      <c r="BD149" s="32">
        <f t="shared" si="147"/>
        <v>0.81559171864059676</v>
      </c>
      <c r="BE149" s="38">
        <f t="shared" si="148"/>
        <v>331.64260662583047</v>
      </c>
    </row>
    <row r="150" spans="1:57" ht="15">
      <c r="A150" s="138">
        <v>88</v>
      </c>
      <c r="B150" s="140">
        <v>5</v>
      </c>
      <c r="C150" s="140" t="s">
        <v>425</v>
      </c>
      <c r="D150" s="140" t="s">
        <v>414</v>
      </c>
      <c r="E150" s="140" t="s">
        <v>410</v>
      </c>
      <c r="F150" s="140" t="s">
        <v>480</v>
      </c>
      <c r="G150" s="140"/>
      <c r="H150" s="140" t="s">
        <v>485</v>
      </c>
      <c r="I150" s="140">
        <v>100</v>
      </c>
      <c r="J150" s="141">
        <v>11</v>
      </c>
      <c r="K150" s="140">
        <v>15</v>
      </c>
      <c r="L150" s="140" t="s">
        <v>101</v>
      </c>
      <c r="M150" s="140">
        <v>3</v>
      </c>
      <c r="Q150" s="108">
        <v>10</v>
      </c>
      <c r="R150" s="53">
        <v>8</v>
      </c>
      <c r="S150" s="53">
        <f t="shared" si="91"/>
        <v>2</v>
      </c>
      <c r="T150" s="80">
        <v>65</v>
      </c>
      <c r="U150" s="80" t="s">
        <v>334</v>
      </c>
      <c r="V150" s="81">
        <v>3.488664</v>
      </c>
      <c r="W150" s="81">
        <v>1319.2708995082546</v>
      </c>
      <c r="X150" s="83">
        <v>1.8683259999999999</v>
      </c>
      <c r="Y150" s="83">
        <v>7.2054162721998596</v>
      </c>
      <c r="Z150" s="154" t="s">
        <v>54</v>
      </c>
      <c r="AA150" s="75">
        <v>2.9111787500000004</v>
      </c>
      <c r="AB150" s="75">
        <v>7.1289713486518078</v>
      </c>
      <c r="AC150" s="75">
        <v>2.0592423593750002</v>
      </c>
      <c r="AD150" s="75">
        <v>-26.716135928040213</v>
      </c>
      <c r="AE150" s="75">
        <v>2.375375</v>
      </c>
      <c r="AF150" s="75">
        <v>2.375375</v>
      </c>
      <c r="AG150" s="32">
        <f t="shared" si="128"/>
        <v>2.3009777396870598E-2</v>
      </c>
      <c r="AH150" s="32">
        <f t="shared" si="129"/>
        <v>0.53073405008612418</v>
      </c>
      <c r="AI150" s="33">
        <f t="shared" si="130"/>
        <v>8.0273382052476167E-2</v>
      </c>
      <c r="AJ150" s="34">
        <f t="shared" si="131"/>
        <v>0.99158422486120801</v>
      </c>
      <c r="AK150" s="16">
        <f t="shared" si="132"/>
        <v>6.8232374744604737E-2</v>
      </c>
      <c r="AL150" s="16">
        <f t="shared" si="133"/>
        <v>0.84284659113202676</v>
      </c>
      <c r="AM150" s="27">
        <f t="shared" si="134"/>
        <v>68.232374744604741</v>
      </c>
      <c r="AN150" s="27">
        <f t="shared" si="135"/>
        <v>842.84659113202679</v>
      </c>
      <c r="AO150" s="29" t="e">
        <f t="shared" si="136"/>
        <v>#VALUE!</v>
      </c>
      <c r="AP150" s="29" t="e">
        <f t="shared" si="137"/>
        <v>#VALUE!</v>
      </c>
      <c r="AQ150" s="27">
        <f t="shared" si="138"/>
        <v>12.35259060360745</v>
      </c>
      <c r="AR150" s="14">
        <f t="shared" si="139"/>
        <v>1314.1219281596027</v>
      </c>
      <c r="AS150" s="25">
        <v>0.36620000000000003</v>
      </c>
      <c r="AT150" s="22">
        <f t="shared" si="140"/>
        <v>0.84349584439463265</v>
      </c>
      <c r="AU150" s="22">
        <f t="shared" si="141"/>
        <v>0.47729584439463263</v>
      </c>
      <c r="AV150" s="15"/>
      <c r="AW150" s="22"/>
      <c r="AX150" s="34">
        <f t="shared" si="142"/>
        <v>4772.958443946327</v>
      </c>
      <c r="AY150" s="14">
        <f t="shared" si="143"/>
        <v>7.8915522002400715</v>
      </c>
      <c r="AZ150" s="25">
        <v>1.0819000000000001</v>
      </c>
      <c r="BA150" s="22">
        <f t="shared" si="144"/>
        <v>1.1198842890555127</v>
      </c>
      <c r="BB150" s="38">
        <f t="shared" si="145"/>
        <v>3.7984289055512654E-2</v>
      </c>
      <c r="BC150" s="58">
        <f t="shared" si="146"/>
        <v>0.95557370485298876</v>
      </c>
      <c r="BD150" s="32">
        <f t="shared" si="147"/>
        <v>0.36296787818983062</v>
      </c>
      <c r="BE150" s="38">
        <f t="shared" si="148"/>
        <v>379.84289055512653</v>
      </c>
    </row>
    <row r="151" spans="1:57" ht="15">
      <c r="A151" s="138">
        <v>89</v>
      </c>
      <c r="B151" s="140">
        <v>6</v>
      </c>
      <c r="C151" s="140" t="s">
        <v>408</v>
      </c>
      <c r="D151" s="140" t="s">
        <v>422</v>
      </c>
      <c r="E151" s="140" t="s">
        <v>410</v>
      </c>
      <c r="F151" s="140" t="s">
        <v>480</v>
      </c>
      <c r="G151" s="140"/>
      <c r="H151" s="140" t="s">
        <v>486</v>
      </c>
      <c r="I151" s="140">
        <v>100</v>
      </c>
      <c r="J151" s="141">
        <v>7.04</v>
      </c>
      <c r="K151" s="140">
        <v>15</v>
      </c>
      <c r="L151" s="140" t="s">
        <v>102</v>
      </c>
      <c r="M151" s="140">
        <v>3</v>
      </c>
      <c r="Q151" s="108">
        <v>10</v>
      </c>
      <c r="R151" s="53">
        <v>8</v>
      </c>
      <c r="S151" s="53">
        <f t="shared" si="91"/>
        <v>2</v>
      </c>
      <c r="T151" s="82">
        <v>66</v>
      </c>
      <c r="U151" s="82" t="s">
        <v>335</v>
      </c>
      <c r="V151" s="83">
        <v>7.5936684999999997</v>
      </c>
      <c r="W151" s="83">
        <v>1913.450517699737</v>
      </c>
      <c r="X151" s="81">
        <v>6.1068350000000002</v>
      </c>
      <c r="Y151" s="81">
        <v>-10.502535025888832</v>
      </c>
      <c r="Z151" s="154" t="s">
        <v>54</v>
      </c>
      <c r="AA151" s="75">
        <v>2.9111787500000004</v>
      </c>
      <c r="AB151" s="75">
        <v>7.1289713486518078</v>
      </c>
      <c r="AC151" s="75">
        <v>2.0592423593750002</v>
      </c>
      <c r="AD151" s="75">
        <v>-26.716135928040213</v>
      </c>
      <c r="AE151" s="75">
        <v>2.375375</v>
      </c>
      <c r="AF151" s="75">
        <v>2.375375</v>
      </c>
      <c r="AG151" s="32">
        <f t="shared" si="128"/>
        <v>2.3009777396870598E-2</v>
      </c>
      <c r="AH151" s="32">
        <f t="shared" si="129"/>
        <v>0.53073405008612418</v>
      </c>
      <c r="AI151" s="33">
        <f t="shared" si="130"/>
        <v>0.17472862181062826</v>
      </c>
      <c r="AJ151" s="34">
        <f t="shared" si="131"/>
        <v>3.2411052727576961</v>
      </c>
      <c r="AK151" s="16">
        <f t="shared" si="132"/>
        <v>0.14851932853903402</v>
      </c>
      <c r="AL151" s="16">
        <f t="shared" si="133"/>
        <v>2.7549394818440414</v>
      </c>
      <c r="AM151" s="27">
        <f t="shared" si="134"/>
        <v>148.51932853903401</v>
      </c>
      <c r="AN151" s="27">
        <f t="shared" si="135"/>
        <v>2754.9394818440414</v>
      </c>
      <c r="AO151" s="29" t="e">
        <f t="shared" si="136"/>
        <v>#VALUE!</v>
      </c>
      <c r="AP151" s="29" t="e">
        <f t="shared" si="137"/>
        <v>#VALUE!</v>
      </c>
      <c r="AQ151" s="27">
        <f t="shared" si="138"/>
        <v>18.549366664554945</v>
      </c>
      <c r="AR151" s="14">
        <f t="shared" si="139"/>
        <v>1908.3015463510851</v>
      </c>
      <c r="AS151" s="25">
        <v>0.36620000000000003</v>
      </c>
      <c r="AT151" s="22">
        <f t="shared" si="140"/>
        <v>1.0577829789520763</v>
      </c>
      <c r="AU151" s="22">
        <f t="shared" si="141"/>
        <v>0.69158297895207621</v>
      </c>
      <c r="AV151" s="15"/>
      <c r="AW151" s="22"/>
      <c r="AX151" s="34">
        <f t="shared" si="142"/>
        <v>6915.8297895207634</v>
      </c>
      <c r="AY151" s="14">
        <f t="shared" si="143"/>
        <v>-9.8163990978486204</v>
      </c>
      <c r="AZ151" s="25">
        <v>1.0819000000000001</v>
      </c>
      <c r="BA151" s="22">
        <f t="shared" si="144"/>
        <v>1.1004252186209704</v>
      </c>
      <c r="BB151" s="38">
        <f t="shared" si="145"/>
        <v>1.8525218620970341E-2</v>
      </c>
      <c r="BC151" s="58">
        <f t="shared" si="146"/>
        <v>3.1059324906766275</v>
      </c>
      <c r="BD151" s="32">
        <f t="shared" si="147"/>
        <v>0.57538078411759441</v>
      </c>
      <c r="BE151" s="38">
        <f t="shared" si="148"/>
        <v>185.25218620970338</v>
      </c>
    </row>
    <row r="152" spans="1:57" ht="15">
      <c r="A152" s="138">
        <v>90</v>
      </c>
      <c r="B152" s="140">
        <v>6</v>
      </c>
      <c r="C152" s="140" t="s">
        <v>413</v>
      </c>
      <c r="D152" s="140" t="s">
        <v>426</v>
      </c>
      <c r="E152" s="140" t="s">
        <v>410</v>
      </c>
      <c r="F152" s="140" t="s">
        <v>480</v>
      </c>
      <c r="G152" s="140"/>
      <c r="H152" s="140" t="s">
        <v>486</v>
      </c>
      <c r="I152" s="140">
        <v>100</v>
      </c>
      <c r="J152" s="141">
        <v>6.02</v>
      </c>
      <c r="K152" s="140">
        <v>15</v>
      </c>
      <c r="L152" s="140" t="s">
        <v>103</v>
      </c>
      <c r="M152" s="140">
        <v>3</v>
      </c>
      <c r="Q152" s="108">
        <v>10</v>
      </c>
      <c r="R152" s="53">
        <v>8</v>
      </c>
      <c r="S152" s="53">
        <f t="shared" si="91"/>
        <v>2</v>
      </c>
      <c r="T152" s="80">
        <v>67</v>
      </c>
      <c r="U152" s="80" t="s">
        <v>336</v>
      </c>
      <c r="V152" s="81">
        <v>7.2689155000000003</v>
      </c>
      <c r="W152" s="81">
        <v>1243.2637162100939</v>
      </c>
      <c r="X152" s="83">
        <v>3.0885924999999999</v>
      </c>
      <c r="Y152" s="83">
        <v>-6.275014458640249E-2</v>
      </c>
      <c r="Z152" s="154" t="s">
        <v>54</v>
      </c>
      <c r="AA152" s="75">
        <v>2.9111787500000004</v>
      </c>
      <c r="AB152" s="75">
        <v>7.1289713486518078</v>
      </c>
      <c r="AC152" s="75">
        <v>2.0592423593750002</v>
      </c>
      <c r="AD152" s="75">
        <v>-26.716135928040213</v>
      </c>
      <c r="AE152" s="75">
        <v>2.375375</v>
      </c>
      <c r="AF152" s="75">
        <v>2.375375</v>
      </c>
      <c r="AG152" s="32">
        <f t="shared" si="128"/>
        <v>2.3009777396870598E-2</v>
      </c>
      <c r="AH152" s="32">
        <f t="shared" si="129"/>
        <v>0.53073405008612418</v>
      </c>
      <c r="AI152" s="33">
        <f t="shared" si="130"/>
        <v>0.16725612757166233</v>
      </c>
      <c r="AJ152" s="34">
        <f t="shared" si="131"/>
        <v>1.6392212065906273</v>
      </c>
      <c r="AK152" s="16">
        <f t="shared" si="132"/>
        <v>0.142167708435913</v>
      </c>
      <c r="AL152" s="16">
        <f t="shared" si="133"/>
        <v>1.3933380256020331</v>
      </c>
      <c r="AM152" s="27">
        <f t="shared" si="134"/>
        <v>142.167708435913</v>
      </c>
      <c r="AN152" s="27">
        <f t="shared" si="135"/>
        <v>1393.3380256020332</v>
      </c>
      <c r="AO152" s="29" t="e">
        <f t="shared" si="136"/>
        <v>#VALUE!</v>
      </c>
      <c r="AP152" s="29" t="e">
        <f t="shared" si="137"/>
        <v>#VALUE!</v>
      </c>
      <c r="AQ152" s="27">
        <f t="shared" si="138"/>
        <v>9.8006645878387246</v>
      </c>
      <c r="AR152" s="14">
        <f t="shared" si="139"/>
        <v>1238.114744861442</v>
      </c>
      <c r="AS152" s="25">
        <v>0.36620000000000003</v>
      </c>
      <c r="AT152" s="22">
        <f t="shared" si="140"/>
        <v>0.81601735264694164</v>
      </c>
      <c r="AU152" s="22">
        <f t="shared" si="141"/>
        <v>0.44981735264694162</v>
      </c>
      <c r="AV152" s="15"/>
      <c r="AW152" s="22"/>
      <c r="AX152" s="34">
        <f t="shared" si="142"/>
        <v>4498.1735264694162</v>
      </c>
      <c r="AY152" s="14">
        <f t="shared" si="143"/>
        <v>0.62338578345380946</v>
      </c>
      <c r="AZ152" s="25">
        <v>1.0819000000000001</v>
      </c>
      <c r="BA152" s="22">
        <f t="shared" si="144"/>
        <v>1.1118983084803351</v>
      </c>
      <c r="BB152" s="38">
        <f t="shared" si="145"/>
        <v>2.9998308480335023E-2</v>
      </c>
      <c r="BC152" s="58">
        <f t="shared" si="146"/>
        <v>1.5746618769723026</v>
      </c>
      <c r="BD152" s="32">
        <f t="shared" si="147"/>
        <v>0.47237192737638495</v>
      </c>
      <c r="BE152" s="38">
        <f t="shared" si="148"/>
        <v>299.98308480335027</v>
      </c>
    </row>
    <row r="153" spans="1:57" ht="15">
      <c r="A153" s="138">
        <v>91</v>
      </c>
      <c r="B153" s="140">
        <v>6</v>
      </c>
      <c r="C153" s="140" t="s">
        <v>415</v>
      </c>
      <c r="D153" s="140" t="s">
        <v>424</v>
      </c>
      <c r="E153" s="140" t="s">
        <v>410</v>
      </c>
      <c r="F153" s="140" t="s">
        <v>480</v>
      </c>
      <c r="G153" s="140"/>
      <c r="H153" s="140" t="s">
        <v>486</v>
      </c>
      <c r="I153" s="140">
        <v>100</v>
      </c>
      <c r="J153" s="141">
        <v>4.59</v>
      </c>
      <c r="K153" s="140">
        <v>15</v>
      </c>
      <c r="L153" s="140" t="s">
        <v>104</v>
      </c>
      <c r="M153" s="140">
        <v>3</v>
      </c>
      <c r="Q153" s="108">
        <v>10</v>
      </c>
      <c r="R153" s="53">
        <v>8</v>
      </c>
      <c r="S153" s="53">
        <f t="shared" si="91"/>
        <v>2</v>
      </c>
      <c r="T153" s="82">
        <v>68</v>
      </c>
      <c r="U153" s="82" t="s">
        <v>337</v>
      </c>
      <c r="V153" s="83">
        <v>10.180700999999999</v>
      </c>
      <c r="W153" s="83">
        <v>941.86038906049953</v>
      </c>
      <c r="X153" s="81">
        <v>5.5727824999999998</v>
      </c>
      <c r="Y153" s="81">
        <v>-15.664823587300564</v>
      </c>
      <c r="Z153" s="154" t="s">
        <v>54</v>
      </c>
      <c r="AA153" s="75">
        <v>2.9111787500000004</v>
      </c>
      <c r="AB153" s="75">
        <v>7.1289713486518078</v>
      </c>
      <c r="AC153" s="75">
        <v>2.0592423593750002</v>
      </c>
      <c r="AD153" s="75">
        <v>-26.716135928040213</v>
      </c>
      <c r="AE153" s="75">
        <v>2.375375</v>
      </c>
      <c r="AF153" s="75">
        <v>2.375375</v>
      </c>
      <c r="AG153" s="32">
        <f t="shared" si="128"/>
        <v>2.3009777396870598E-2</v>
      </c>
      <c r="AH153" s="32">
        <f t="shared" si="129"/>
        <v>0.53073405008612418</v>
      </c>
      <c r="AI153" s="33">
        <f t="shared" si="130"/>
        <v>0.23425566375409787</v>
      </c>
      <c r="AJ153" s="34">
        <f t="shared" si="131"/>
        <v>2.957665426474076</v>
      </c>
      <c r="AK153" s="16">
        <f t="shared" si="132"/>
        <v>0.19911731419098319</v>
      </c>
      <c r="AL153" s="16">
        <f t="shared" si="133"/>
        <v>2.5140156125029645</v>
      </c>
      <c r="AM153" s="27">
        <f t="shared" si="134"/>
        <v>199.11731419098319</v>
      </c>
      <c r="AN153" s="27">
        <f t="shared" si="135"/>
        <v>2514.0156125029644</v>
      </c>
      <c r="AO153" s="29" t="e">
        <f t="shared" si="136"/>
        <v>#VALUE!</v>
      </c>
      <c r="AP153" s="29" t="e">
        <f t="shared" si="137"/>
        <v>#VALUE!</v>
      </c>
      <c r="AQ153" s="27">
        <f t="shared" si="138"/>
        <v>12.625801139983482</v>
      </c>
      <c r="AR153" s="14">
        <f t="shared" si="139"/>
        <v>936.71141771184773</v>
      </c>
      <c r="AS153" s="25">
        <v>0.36620000000000003</v>
      </c>
      <c r="AT153" s="22">
        <f t="shared" si="140"/>
        <v>0.70690243050412327</v>
      </c>
      <c r="AU153" s="22">
        <f t="shared" si="141"/>
        <v>0.34070243050412324</v>
      </c>
      <c r="AV153" s="15"/>
      <c r="AW153" s="22"/>
      <c r="AX153" s="34">
        <f t="shared" si="142"/>
        <v>3407.0243050412328</v>
      </c>
      <c r="AY153" s="14">
        <f t="shared" si="143"/>
        <v>-14.978687659260352</v>
      </c>
      <c r="AZ153" s="25">
        <v>1.0819000000000001</v>
      </c>
      <c r="BA153" s="22">
        <f t="shared" si="144"/>
        <v>1.0947509953185279</v>
      </c>
      <c r="BB153" s="38">
        <f t="shared" si="145"/>
        <v>1.2850995318527847E-2</v>
      </c>
      <c r="BC153" s="58">
        <f t="shared" si="146"/>
        <v>2.8349870979769589</v>
      </c>
      <c r="BD153" s="32">
        <f t="shared" si="147"/>
        <v>0.36432405924188743</v>
      </c>
      <c r="BE153" s="38">
        <f t="shared" si="148"/>
        <v>128.50995318527848</v>
      </c>
    </row>
    <row r="154" spans="1:57" ht="15">
      <c r="A154" s="138">
        <v>92</v>
      </c>
      <c r="B154" s="140">
        <v>6</v>
      </c>
      <c r="C154" s="140" t="s">
        <v>417</v>
      </c>
      <c r="D154" s="140" t="s">
        <v>409</v>
      </c>
      <c r="E154" s="140" t="s">
        <v>410</v>
      </c>
      <c r="F154" s="140" t="s">
        <v>480</v>
      </c>
      <c r="G154" s="140"/>
      <c r="H154" s="140" t="s">
        <v>486</v>
      </c>
      <c r="I154" s="140">
        <v>100</v>
      </c>
      <c r="J154" s="141">
        <v>6.14</v>
      </c>
      <c r="K154" s="140">
        <v>15</v>
      </c>
      <c r="L154" s="140" t="s">
        <v>105</v>
      </c>
      <c r="M154" s="140">
        <v>3</v>
      </c>
      <c r="Q154" s="108">
        <v>10</v>
      </c>
      <c r="R154" s="53">
        <v>8</v>
      </c>
      <c r="S154" s="53">
        <f t="shared" si="91"/>
        <v>2</v>
      </c>
      <c r="T154" s="80">
        <v>69</v>
      </c>
      <c r="U154" s="80" t="s">
        <v>338</v>
      </c>
      <c r="V154" s="81">
        <v>8.1257064999999997</v>
      </c>
      <c r="W154" s="81">
        <v>2896.4757649319213</v>
      </c>
      <c r="X154" s="83">
        <v>4.3340759999999996</v>
      </c>
      <c r="Y154" s="83">
        <v>17.830952351519304</v>
      </c>
      <c r="Z154" s="154" t="s">
        <v>54</v>
      </c>
      <c r="AA154" s="75">
        <v>2.9111787500000004</v>
      </c>
      <c r="AB154" s="75">
        <v>7.1289713486518078</v>
      </c>
      <c r="AC154" s="75">
        <v>2.0592423593750002</v>
      </c>
      <c r="AD154" s="75">
        <v>-26.716135928040213</v>
      </c>
      <c r="AE154" s="75">
        <v>2.375375</v>
      </c>
      <c r="AF154" s="75">
        <v>2.375375</v>
      </c>
      <c r="AG154" s="32">
        <f t="shared" si="128"/>
        <v>2.3009777396870598E-2</v>
      </c>
      <c r="AH154" s="32">
        <f t="shared" si="129"/>
        <v>0.53073405008612418</v>
      </c>
      <c r="AI154" s="33">
        <f t="shared" si="130"/>
        <v>0.18697069775730449</v>
      </c>
      <c r="AJ154" s="34">
        <f t="shared" si="131"/>
        <v>2.3002417088610687</v>
      </c>
      <c r="AK154" s="16">
        <f t="shared" si="132"/>
        <v>0.15892509309370884</v>
      </c>
      <c r="AL154" s="16">
        <f t="shared" si="133"/>
        <v>1.9552054525319083</v>
      </c>
      <c r="AM154" s="27">
        <f t="shared" si="134"/>
        <v>158.92509309370882</v>
      </c>
      <c r="AN154" s="27">
        <f t="shared" si="135"/>
        <v>1955.2054525319083</v>
      </c>
      <c r="AO154" s="29" t="e">
        <f t="shared" si="136"/>
        <v>#VALUE!</v>
      </c>
      <c r="AP154" s="29" t="e">
        <f t="shared" si="137"/>
        <v>#VALUE!</v>
      </c>
      <c r="AQ154" s="27">
        <f t="shared" si="138"/>
        <v>12.302685588983977</v>
      </c>
      <c r="AR154" s="14">
        <f t="shared" si="139"/>
        <v>2891.3267935832696</v>
      </c>
      <c r="AS154" s="25">
        <v>0.36620000000000003</v>
      </c>
      <c r="AT154" s="22">
        <f t="shared" si="140"/>
        <v>1.4102783778766304</v>
      </c>
      <c r="AU154" s="22">
        <f t="shared" si="141"/>
        <v>1.0440783778766303</v>
      </c>
      <c r="AV154" s="15"/>
      <c r="AW154" s="22"/>
      <c r="AX154" s="34">
        <f t="shared" si="142"/>
        <v>10440.783778766303</v>
      </c>
      <c r="AY154" s="14">
        <f t="shared" si="143"/>
        <v>18.517088279559516</v>
      </c>
      <c r="AZ154" s="25">
        <v>1.0819000000000001</v>
      </c>
      <c r="BA154" s="22">
        <f t="shared" si="144"/>
        <v>1.1315568968276859</v>
      </c>
      <c r="BB154" s="38">
        <f t="shared" si="145"/>
        <v>4.9656896827685815E-2</v>
      </c>
      <c r="BC154" s="58">
        <f t="shared" si="146"/>
        <v>2.2065436039719093</v>
      </c>
      <c r="BD154" s="32">
        <f t="shared" si="147"/>
        <v>1.0957010808822314</v>
      </c>
      <c r="BE154" s="38">
        <f t="shared" si="148"/>
        <v>496.56896827685819</v>
      </c>
    </row>
    <row r="155" spans="1:57" ht="15">
      <c r="A155" s="135"/>
      <c r="B155" s="136"/>
      <c r="C155" s="135"/>
      <c r="D155" s="135" t="s">
        <v>116</v>
      </c>
      <c r="E155" s="135"/>
      <c r="F155" s="135" t="s">
        <v>55</v>
      </c>
      <c r="G155" s="135"/>
      <c r="H155" s="135"/>
      <c r="I155" s="135"/>
      <c r="J155" s="135"/>
      <c r="K155" s="135"/>
      <c r="L155" s="135" t="s">
        <v>131</v>
      </c>
      <c r="M155" s="137"/>
      <c r="Q155" s="108">
        <v>10</v>
      </c>
      <c r="R155" s="53">
        <v>8</v>
      </c>
      <c r="S155" s="53">
        <f t="shared" si="91"/>
        <v>2</v>
      </c>
      <c r="T155" s="82">
        <v>70</v>
      </c>
      <c r="U155" s="82" t="s">
        <v>339</v>
      </c>
      <c r="V155" s="83">
        <v>2.8468412500000002</v>
      </c>
      <c r="W155" s="83">
        <v>9.0552486960604863</v>
      </c>
      <c r="X155" s="81">
        <v>2.0314907500000001</v>
      </c>
      <c r="Y155" s="81">
        <v>-26.181903229396603</v>
      </c>
      <c r="Z155" s="154">
        <v>2.5209999999999999</v>
      </c>
      <c r="AA155" s="75">
        <v>2.9111787500000004</v>
      </c>
      <c r="AB155" s="75">
        <v>7.1289713486518078</v>
      </c>
      <c r="AC155" s="75">
        <v>2.0592423593750002</v>
      </c>
      <c r="AD155" s="75">
        <v>-26.716135928040213</v>
      </c>
      <c r="AE155" s="75">
        <v>2.375375</v>
      </c>
      <c r="AF155" s="75">
        <v>2.375375</v>
      </c>
      <c r="AG155" s="32">
        <f t="shared" si="128"/>
        <v>2.3009777396870598E-2</v>
      </c>
      <c r="AH155" s="32">
        <f t="shared" si="129"/>
        <v>0.53073405008612418</v>
      </c>
      <c r="AI155" s="33">
        <f t="shared" si="130"/>
        <v>6.5505183446728843E-2</v>
      </c>
      <c r="AJ155" s="34">
        <f t="shared" si="131"/>
        <v>1.078181313459998</v>
      </c>
      <c r="AK155" s="16" t="e">
        <f t="shared" si="132"/>
        <v>#DIV/0!</v>
      </c>
      <c r="AL155" s="16" t="e">
        <f t="shared" si="133"/>
        <v>#DIV/0!</v>
      </c>
      <c r="AM155" s="27" t="e">
        <f t="shared" si="134"/>
        <v>#DIV/0!</v>
      </c>
      <c r="AN155" s="27" t="e">
        <f t="shared" si="135"/>
        <v>#DIV/0!</v>
      </c>
      <c r="AO155" s="29">
        <f t="shared" si="136"/>
        <v>2.5983809379900373</v>
      </c>
      <c r="AP155" s="29">
        <f t="shared" si="137"/>
        <v>42.768001327251014</v>
      </c>
      <c r="AQ155" s="27">
        <f t="shared" si="138"/>
        <v>16.459480864393175</v>
      </c>
      <c r="AR155" s="14">
        <f t="shared" si="139"/>
        <v>3.9062773474086789</v>
      </c>
      <c r="AS155" s="25">
        <v>0.36620000000000003</v>
      </c>
      <c r="AT155" s="22">
        <f t="shared" si="140"/>
        <v>0.36767907957763435</v>
      </c>
      <c r="AU155" s="22">
        <f t="shared" si="141"/>
        <v>1.4790795776343235E-3</v>
      </c>
      <c r="AV155" s="15"/>
      <c r="AW155" s="22"/>
      <c r="AX155" s="34">
        <f t="shared" si="142"/>
        <v>14.790795776343234</v>
      </c>
      <c r="AY155" s="14">
        <f t="shared" si="143"/>
        <v>-25.495767301356391</v>
      </c>
      <c r="AZ155" s="25">
        <v>1.0819000000000001</v>
      </c>
      <c r="BA155" s="22">
        <f t="shared" si="144"/>
        <v>1.0831889413800662</v>
      </c>
      <c r="BB155" s="38">
        <f t="shared" si="145"/>
        <v>1.2889413800660776E-3</v>
      </c>
      <c r="BC155" s="58" t="e">
        <f t="shared" si="146"/>
        <v>#DIV/0!</v>
      </c>
      <c r="BD155" s="32" t="e">
        <f t="shared" si="147"/>
        <v>#DIV/0!</v>
      </c>
      <c r="BE155" s="38">
        <f t="shared" si="148"/>
        <v>12.889413800660776</v>
      </c>
    </row>
    <row r="156" spans="1:57" ht="15">
      <c r="A156" s="138">
        <v>93</v>
      </c>
      <c r="B156" s="140">
        <v>6</v>
      </c>
      <c r="C156" s="140" t="s">
        <v>419</v>
      </c>
      <c r="D156" s="140" t="s">
        <v>416</v>
      </c>
      <c r="E156" s="140" t="s">
        <v>410</v>
      </c>
      <c r="F156" s="140" t="s">
        <v>480</v>
      </c>
      <c r="G156" s="140"/>
      <c r="H156" s="140" t="s">
        <v>486</v>
      </c>
      <c r="I156" s="140">
        <v>100</v>
      </c>
      <c r="J156" s="141">
        <v>4.51</v>
      </c>
      <c r="K156" s="140">
        <v>15</v>
      </c>
      <c r="L156" s="140" t="s">
        <v>433</v>
      </c>
      <c r="M156" s="140">
        <v>3</v>
      </c>
      <c r="Q156" s="108">
        <v>10</v>
      </c>
      <c r="R156" s="53">
        <v>8</v>
      </c>
      <c r="S156" s="53">
        <f t="shared" si="91"/>
        <v>2</v>
      </c>
      <c r="T156" s="80">
        <v>71</v>
      </c>
      <c r="U156" s="80" t="s">
        <v>340</v>
      </c>
      <c r="V156" s="81">
        <v>3.6670595000000001</v>
      </c>
      <c r="W156" s="81">
        <v>2949.0405762328173</v>
      </c>
      <c r="X156" s="83">
        <v>2.1167194999999999</v>
      </c>
      <c r="Y156" s="83">
        <v>40.682465148940366</v>
      </c>
      <c r="Z156" s="154" t="s">
        <v>54</v>
      </c>
      <c r="AA156" s="75">
        <v>2.9111787500000004</v>
      </c>
      <c r="AB156" s="75">
        <v>7.1289713486518078</v>
      </c>
      <c r="AC156" s="75">
        <v>2.0592423593750002</v>
      </c>
      <c r="AD156" s="75">
        <v>-26.716135928040213</v>
      </c>
      <c r="AE156" s="75">
        <v>2.375375</v>
      </c>
      <c r="AF156" s="75">
        <v>2.375375</v>
      </c>
      <c r="AG156" s="32">
        <f t="shared" si="128"/>
        <v>2.3009777396870598E-2</v>
      </c>
      <c r="AH156" s="32">
        <f t="shared" si="129"/>
        <v>0.53073405008612418</v>
      </c>
      <c r="AI156" s="33">
        <f t="shared" si="130"/>
        <v>8.4378222796079594E-2</v>
      </c>
      <c r="AJ156" s="34">
        <f t="shared" si="131"/>
        <v>1.1234151131312757</v>
      </c>
      <c r="AK156" s="16">
        <f t="shared" si="132"/>
        <v>7.1721489376667655E-2</v>
      </c>
      <c r="AL156" s="16">
        <f t="shared" si="133"/>
        <v>0.95490284616158438</v>
      </c>
      <c r="AM156" s="27">
        <f t="shared" si="134"/>
        <v>71.721489376667648</v>
      </c>
      <c r="AN156" s="27">
        <f t="shared" si="135"/>
        <v>954.90284616158442</v>
      </c>
      <c r="AO156" s="29" t="e">
        <f t="shared" si="136"/>
        <v>#VALUE!</v>
      </c>
      <c r="AP156" s="29" t="e">
        <f t="shared" si="137"/>
        <v>#VALUE!</v>
      </c>
      <c r="AQ156" s="27">
        <f t="shared" si="138"/>
        <v>13.314040944501526</v>
      </c>
      <c r="AR156" s="14">
        <f t="shared" si="139"/>
        <v>2943.8916048841656</v>
      </c>
      <c r="AS156" s="25">
        <v>0.36620000000000003</v>
      </c>
      <c r="AT156" s="22">
        <f t="shared" si="140"/>
        <v>1.4290564570790305</v>
      </c>
      <c r="AU156" s="22">
        <f t="shared" si="141"/>
        <v>1.0628564570790304</v>
      </c>
      <c r="AV156" s="15"/>
      <c r="AW156" s="22"/>
      <c r="AX156" s="34">
        <f t="shared" si="142"/>
        <v>10628.564570790304</v>
      </c>
      <c r="AY156" s="14">
        <f t="shared" si="143"/>
        <v>41.368601076980582</v>
      </c>
      <c r="AZ156" s="25">
        <v>1.0819000000000001</v>
      </c>
      <c r="BA156" s="22">
        <f t="shared" si="144"/>
        <v>1.1566509309582611</v>
      </c>
      <c r="BB156" s="38">
        <f t="shared" si="145"/>
        <v>7.4750930958261019E-2</v>
      </c>
      <c r="BC156" s="58">
        <f t="shared" si="146"/>
        <v>1.0815932898217795</v>
      </c>
      <c r="BD156" s="32">
        <f t="shared" si="147"/>
        <v>0.80850105332386246</v>
      </c>
      <c r="BE156" s="38">
        <f t="shared" si="148"/>
        <v>747.50930958261017</v>
      </c>
    </row>
    <row r="157" spans="1:57" ht="15">
      <c r="A157" s="138">
        <v>94</v>
      </c>
      <c r="B157" s="140">
        <v>6</v>
      </c>
      <c r="C157" s="140" t="s">
        <v>421</v>
      </c>
      <c r="D157" s="140" t="s">
        <v>414</v>
      </c>
      <c r="E157" s="140" t="s">
        <v>410</v>
      </c>
      <c r="F157" s="140" t="s">
        <v>480</v>
      </c>
      <c r="G157" s="140"/>
      <c r="H157" s="140" t="s">
        <v>486</v>
      </c>
      <c r="I157" s="140">
        <v>100</v>
      </c>
      <c r="J157" s="141">
        <v>3.38</v>
      </c>
      <c r="K157" s="140">
        <v>15</v>
      </c>
      <c r="L157" s="140" t="s">
        <v>434</v>
      </c>
      <c r="M157" s="140">
        <v>3</v>
      </c>
      <c r="Q157" s="108">
        <v>10</v>
      </c>
      <c r="R157" s="53">
        <v>8</v>
      </c>
      <c r="S157" s="53">
        <f t="shared" si="91"/>
        <v>2</v>
      </c>
      <c r="T157" s="82">
        <v>72</v>
      </c>
      <c r="U157" s="82" t="s">
        <v>341</v>
      </c>
      <c r="V157" s="83">
        <v>5.7678989999999999</v>
      </c>
      <c r="W157" s="83">
        <v>1468.2645382116266</v>
      </c>
      <c r="X157" s="81">
        <v>2.8299829999999999</v>
      </c>
      <c r="Y157" s="81">
        <v>12.550341327016069</v>
      </c>
      <c r="Z157" s="154" t="s">
        <v>54</v>
      </c>
      <c r="AA157" s="75">
        <v>2.9111787500000004</v>
      </c>
      <c r="AB157" s="75">
        <v>7.1289713486518078</v>
      </c>
      <c r="AC157" s="75">
        <v>2.0592423593750002</v>
      </c>
      <c r="AD157" s="75">
        <v>-26.716135928040213</v>
      </c>
      <c r="AE157" s="75">
        <v>2.375375</v>
      </c>
      <c r="AF157" s="75">
        <v>2.375375</v>
      </c>
      <c r="AG157" s="32">
        <f t="shared" si="128"/>
        <v>2.3009777396870598E-2</v>
      </c>
      <c r="AH157" s="32">
        <f t="shared" si="129"/>
        <v>0.53073405008612418</v>
      </c>
      <c r="AI157" s="33">
        <f t="shared" si="130"/>
        <v>0.13271807203763253</v>
      </c>
      <c r="AJ157" s="34">
        <f t="shared" si="131"/>
        <v>1.5019683392648799</v>
      </c>
      <c r="AK157" s="16">
        <f t="shared" si="132"/>
        <v>0.11281036123198766</v>
      </c>
      <c r="AL157" s="16">
        <f t="shared" si="133"/>
        <v>1.276673088375148</v>
      </c>
      <c r="AM157" s="27">
        <f t="shared" si="134"/>
        <v>112.81036123198766</v>
      </c>
      <c r="AN157" s="27">
        <f t="shared" si="135"/>
        <v>1276.6730883751479</v>
      </c>
      <c r="AO157" s="29" t="e">
        <f t="shared" si="136"/>
        <v>#VALUE!</v>
      </c>
      <c r="AP157" s="29" t="e">
        <f t="shared" si="137"/>
        <v>#VALUE!</v>
      </c>
      <c r="AQ157" s="27">
        <f t="shared" si="138"/>
        <v>11.316984312724141</v>
      </c>
      <c r="AR157" s="14">
        <f t="shared" si="139"/>
        <v>1463.1155668629747</v>
      </c>
      <c r="AS157" s="25">
        <v>0.36620000000000003</v>
      </c>
      <c r="AT157" s="22">
        <f t="shared" si="140"/>
        <v>0.89731660738195196</v>
      </c>
      <c r="AU157" s="22">
        <f t="shared" si="141"/>
        <v>0.53111660738195199</v>
      </c>
      <c r="AV157" s="15"/>
      <c r="AW157" s="22"/>
      <c r="AX157" s="34">
        <f t="shared" si="142"/>
        <v>5311.1660738195205</v>
      </c>
      <c r="AY157" s="14">
        <f t="shared" si="143"/>
        <v>13.236477255056281</v>
      </c>
      <c r="AZ157" s="25">
        <v>1.0819000000000001</v>
      </c>
      <c r="BA157" s="22">
        <f t="shared" si="144"/>
        <v>1.1257562632937828</v>
      </c>
      <c r="BB157" s="38">
        <f t="shared" si="145"/>
        <v>4.3856263293782671E-2</v>
      </c>
      <c r="BC157" s="58">
        <f t="shared" si="146"/>
        <v>1.4434593219175753</v>
      </c>
      <c r="BD157" s="32">
        <f t="shared" si="147"/>
        <v>0.63304732075882186</v>
      </c>
      <c r="BE157" s="38">
        <f t="shared" si="148"/>
        <v>438.56263293782672</v>
      </c>
    </row>
    <row r="158" spans="1:57" ht="15">
      <c r="A158" s="138">
        <v>95</v>
      </c>
      <c r="B158" s="140">
        <v>6</v>
      </c>
      <c r="C158" s="140" t="s">
        <v>423</v>
      </c>
      <c r="D158" s="140" t="s">
        <v>420</v>
      </c>
      <c r="E158" s="140" t="s">
        <v>410</v>
      </c>
      <c r="F158" s="140" t="s">
        <v>480</v>
      </c>
      <c r="G158" s="140"/>
      <c r="H158" s="140" t="s">
        <v>486</v>
      </c>
      <c r="I158" s="140">
        <v>100</v>
      </c>
      <c r="J158" s="141">
        <v>9.94</v>
      </c>
      <c r="K158" s="140">
        <v>15</v>
      </c>
      <c r="L158" s="140" t="s">
        <v>435</v>
      </c>
      <c r="M158" s="140">
        <v>3</v>
      </c>
      <c r="Q158" s="108">
        <v>10</v>
      </c>
      <c r="R158" s="53">
        <v>8</v>
      </c>
      <c r="S158" s="53">
        <f t="shared" si="91"/>
        <v>2</v>
      </c>
      <c r="T158" s="80">
        <v>73</v>
      </c>
      <c r="U158" s="80" t="s">
        <v>342</v>
      </c>
      <c r="V158" s="81">
        <v>6.1623844999999999</v>
      </c>
      <c r="W158" s="81">
        <v>1822.1203564735963</v>
      </c>
      <c r="X158" s="83">
        <v>4.5126739999999996</v>
      </c>
      <c r="Y158" s="83">
        <v>-7.0109828899778792</v>
      </c>
      <c r="Z158" s="154" t="s">
        <v>54</v>
      </c>
      <c r="AA158" s="75">
        <v>2.9111787500000004</v>
      </c>
      <c r="AB158" s="75">
        <v>7.1289713486518078</v>
      </c>
      <c r="AC158" s="75">
        <v>2.0592423593750002</v>
      </c>
      <c r="AD158" s="75">
        <v>-26.716135928040213</v>
      </c>
      <c r="AE158" s="75">
        <v>2.375375</v>
      </c>
      <c r="AF158" s="75">
        <v>2.375375</v>
      </c>
      <c r="AG158" s="32">
        <f t="shared" si="128"/>
        <v>2.3009777396870598E-2</v>
      </c>
      <c r="AH158" s="32">
        <f t="shared" si="129"/>
        <v>0.53073405008612418</v>
      </c>
      <c r="AI158" s="33">
        <f t="shared" si="130"/>
        <v>0.14179509557892572</v>
      </c>
      <c r="AJ158" s="34">
        <f t="shared" si="131"/>
        <v>2.3950297487383501</v>
      </c>
      <c r="AK158" s="16">
        <f t="shared" si="132"/>
        <v>0.12052583124208688</v>
      </c>
      <c r="AL158" s="16">
        <f t="shared" si="133"/>
        <v>2.0357752864275973</v>
      </c>
      <c r="AM158" s="27">
        <f t="shared" si="134"/>
        <v>120.52583124208688</v>
      </c>
      <c r="AN158" s="27">
        <f t="shared" si="135"/>
        <v>2035.7752864275974</v>
      </c>
      <c r="AO158" s="29" t="e">
        <f t="shared" si="136"/>
        <v>#VALUE!</v>
      </c>
      <c r="AP158" s="29" t="e">
        <f t="shared" si="137"/>
        <v>#VALUE!</v>
      </c>
      <c r="AQ158" s="27">
        <f t="shared" si="138"/>
        <v>16.89077988882368</v>
      </c>
      <c r="AR158" s="14">
        <f t="shared" si="139"/>
        <v>1816.9713851249444</v>
      </c>
      <c r="AS158" s="25">
        <v>0.36620000000000003</v>
      </c>
      <c r="AT158" s="22">
        <f t="shared" si="140"/>
        <v>1.0249055922992945</v>
      </c>
      <c r="AU158" s="22">
        <f t="shared" si="141"/>
        <v>0.65870559229929437</v>
      </c>
      <c r="AV158" s="15"/>
      <c r="AW158" s="22"/>
      <c r="AX158" s="34">
        <f t="shared" si="142"/>
        <v>6587.055922992944</v>
      </c>
      <c r="AY158" s="14">
        <f t="shared" si="143"/>
        <v>-6.3248469619376673</v>
      </c>
      <c r="AZ158" s="25">
        <v>1.0819000000000001</v>
      </c>
      <c r="BA158" s="22">
        <f t="shared" si="144"/>
        <v>1.1042626525347228</v>
      </c>
      <c r="BB158" s="38">
        <f t="shared" si="145"/>
        <v>2.2362652534722693E-2</v>
      </c>
      <c r="BC158" s="58">
        <f t="shared" si="146"/>
        <v>2.2971532448693401</v>
      </c>
      <c r="BD158" s="32">
        <f t="shared" si="147"/>
        <v>0.51370439834023807</v>
      </c>
      <c r="BE158" s="38">
        <f t="shared" si="148"/>
        <v>223.62652534722693</v>
      </c>
    </row>
    <row r="159" spans="1:57" ht="15">
      <c r="A159" s="138">
        <v>96</v>
      </c>
      <c r="B159" s="140">
        <v>6</v>
      </c>
      <c r="C159" s="140" t="s">
        <v>425</v>
      </c>
      <c r="D159" s="140" t="s">
        <v>418</v>
      </c>
      <c r="E159" s="140" t="s">
        <v>410</v>
      </c>
      <c r="F159" s="140" t="s">
        <v>480</v>
      </c>
      <c r="G159" s="140"/>
      <c r="H159" s="140" t="s">
        <v>486</v>
      </c>
      <c r="I159" s="140">
        <v>100</v>
      </c>
      <c r="J159" s="141">
        <v>2.27</v>
      </c>
      <c r="K159" s="140">
        <v>15</v>
      </c>
      <c r="L159" s="140" t="s">
        <v>436</v>
      </c>
      <c r="M159" s="140">
        <v>3</v>
      </c>
      <c r="Q159" s="108">
        <v>10</v>
      </c>
      <c r="R159" s="53">
        <v>8</v>
      </c>
      <c r="S159" s="53">
        <f t="shared" si="91"/>
        <v>2</v>
      </c>
      <c r="T159" s="82">
        <v>74</v>
      </c>
      <c r="U159" s="82" t="s">
        <v>343</v>
      </c>
      <c r="V159" s="83">
        <v>3.7837737499999999</v>
      </c>
      <c r="W159" s="83">
        <v>39.013315687894242</v>
      </c>
      <c r="X159" s="81">
        <v>2.3351600000000001</v>
      </c>
      <c r="Y159" s="81">
        <v>-29.644183917682593</v>
      </c>
      <c r="Z159" s="154" t="s">
        <v>54</v>
      </c>
      <c r="AA159" s="75">
        <v>2.9111787500000004</v>
      </c>
      <c r="AB159" s="75">
        <v>7.1289713486518078</v>
      </c>
      <c r="AC159" s="75">
        <v>2.0592423593750002</v>
      </c>
      <c r="AD159" s="75">
        <v>-26.716135928040213</v>
      </c>
      <c r="AE159" s="75">
        <v>2.375375</v>
      </c>
      <c r="AF159" s="75">
        <v>2.375375</v>
      </c>
      <c r="AG159" s="32">
        <f t="shared" si="128"/>
        <v>2.3009777396870598E-2</v>
      </c>
      <c r="AH159" s="32">
        <f t="shared" si="129"/>
        <v>0.53073405008612418</v>
      </c>
      <c r="AI159" s="33">
        <f t="shared" si="130"/>
        <v>8.7063791707622296E-2</v>
      </c>
      <c r="AJ159" s="34">
        <f t="shared" si="131"/>
        <v>1.2393489243991138</v>
      </c>
      <c r="AK159" s="16">
        <f t="shared" si="132"/>
        <v>7.4004222951478946E-2</v>
      </c>
      <c r="AL159" s="16">
        <f t="shared" si="133"/>
        <v>1.0534465857392468</v>
      </c>
      <c r="AM159" s="27">
        <f t="shared" si="134"/>
        <v>74.004222951478951</v>
      </c>
      <c r="AN159" s="27">
        <f t="shared" si="135"/>
        <v>1053.4465857392468</v>
      </c>
      <c r="AO159" s="29" t="e">
        <f t="shared" si="136"/>
        <v>#VALUE!</v>
      </c>
      <c r="AP159" s="29" t="e">
        <f t="shared" si="137"/>
        <v>#VALUE!</v>
      </c>
      <c r="AQ159" s="27">
        <f t="shared" si="138"/>
        <v>14.234952327381933</v>
      </c>
      <c r="AR159" s="14">
        <f t="shared" si="139"/>
        <v>33.864344339242436</v>
      </c>
      <c r="AS159" s="25">
        <v>0.36620000000000003</v>
      </c>
      <c r="AT159" s="22">
        <f t="shared" si="140"/>
        <v>0.37860963262459807</v>
      </c>
      <c r="AU159" s="22">
        <f t="shared" si="141"/>
        <v>1.2409632624598044E-2</v>
      </c>
      <c r="AV159" s="15"/>
      <c r="AW159" s="22"/>
      <c r="AX159" s="34">
        <f t="shared" si="142"/>
        <v>124.09632624598042</v>
      </c>
      <c r="AY159" s="14">
        <f t="shared" si="143"/>
        <v>-28.958047989642381</v>
      </c>
      <c r="AZ159" s="25">
        <v>1.0819000000000001</v>
      </c>
      <c r="BA159" s="22">
        <f t="shared" si="144"/>
        <v>1.0793820579219189</v>
      </c>
      <c r="BB159" s="38">
        <f t="shared" si="145"/>
        <v>-2.5179420780812034E-3</v>
      </c>
      <c r="BC159" s="58">
        <f t="shared" si="146"/>
        <v>1.1924165647882146</v>
      </c>
      <c r="BD159" s="32">
        <f t="shared" si="147"/>
        <v>-3.0024358430812869E-2</v>
      </c>
      <c r="BE159" s="38">
        <f t="shared" si="148"/>
        <v>-25.179420780812034</v>
      </c>
    </row>
    <row r="160" spans="1:57" ht="15">
      <c r="A160" s="138">
        <v>145</v>
      </c>
      <c r="B160" s="139">
        <v>1</v>
      </c>
      <c r="C160" s="140" t="s">
        <v>408</v>
      </c>
      <c r="D160" s="140" t="s">
        <v>409</v>
      </c>
      <c r="E160" s="140" t="s">
        <v>437</v>
      </c>
      <c r="F160" s="140" t="s">
        <v>480</v>
      </c>
      <c r="G160" s="140"/>
      <c r="H160" s="140" t="s">
        <v>481</v>
      </c>
      <c r="I160" s="140">
        <v>50</v>
      </c>
      <c r="J160" s="140">
        <v>10</v>
      </c>
      <c r="K160" s="140">
        <v>15</v>
      </c>
      <c r="L160" s="140" t="s">
        <v>438</v>
      </c>
      <c r="M160" s="140">
        <v>3</v>
      </c>
      <c r="Q160" s="108">
        <v>10</v>
      </c>
      <c r="R160" s="53">
        <v>8</v>
      </c>
      <c r="S160" s="53">
        <f t="shared" si="91"/>
        <v>2</v>
      </c>
      <c r="T160" s="80">
        <v>75</v>
      </c>
      <c r="U160" s="80" t="s">
        <v>344</v>
      </c>
      <c r="V160" s="81">
        <v>6.0582364999999996</v>
      </c>
      <c r="W160" s="81">
        <v>7.3264870575441456</v>
      </c>
      <c r="X160" s="83">
        <v>2.5085082500000002</v>
      </c>
      <c r="Y160" s="83">
        <v>-25.640945510771385</v>
      </c>
      <c r="Z160" s="154" t="s">
        <v>54</v>
      </c>
      <c r="AA160" s="75">
        <v>2.9111787500000004</v>
      </c>
      <c r="AB160" s="75">
        <v>7.1289713486518078</v>
      </c>
      <c r="AC160" s="75">
        <v>2.0592423593750002</v>
      </c>
      <c r="AD160" s="75">
        <v>-26.716135928040213</v>
      </c>
      <c r="AE160" s="75">
        <v>2.375375</v>
      </c>
      <c r="AF160" s="75">
        <v>2.375375</v>
      </c>
      <c r="AG160" s="32">
        <f t="shared" si="128"/>
        <v>2.3009777396870598E-2</v>
      </c>
      <c r="AH160" s="32">
        <f t="shared" si="129"/>
        <v>0.53073405008612418</v>
      </c>
      <c r="AI160" s="33">
        <f t="shared" si="130"/>
        <v>0.13939867328259642</v>
      </c>
      <c r="AJ160" s="34">
        <f t="shared" si="131"/>
        <v>1.3313507431969558</v>
      </c>
      <c r="AK160" s="16">
        <f t="shared" si="132"/>
        <v>0.11848887229020695</v>
      </c>
      <c r="AL160" s="16">
        <f t="shared" si="133"/>
        <v>1.1316481317174125</v>
      </c>
      <c r="AM160" s="27">
        <f t="shared" si="134"/>
        <v>118.48887229020696</v>
      </c>
      <c r="AN160" s="27">
        <f t="shared" si="135"/>
        <v>1131.6481317174125</v>
      </c>
      <c r="AO160" s="29" t="e">
        <f t="shared" si="136"/>
        <v>#VALUE!</v>
      </c>
      <c r="AP160" s="29" t="e">
        <f t="shared" si="137"/>
        <v>#VALUE!</v>
      </c>
      <c r="AQ160" s="27">
        <f t="shared" si="138"/>
        <v>9.5506701164793046</v>
      </c>
      <c r="AR160" s="14">
        <f t="shared" si="139"/>
        <v>2.1775157088923383</v>
      </c>
      <c r="AS160" s="25">
        <v>0.36620000000000003</v>
      </c>
      <c r="AT160" s="22">
        <f t="shared" si="140"/>
        <v>0.36704824736206476</v>
      </c>
      <c r="AU160" s="22">
        <f t="shared" si="141"/>
        <v>8.4824736206473572E-4</v>
      </c>
      <c r="AV160" s="15"/>
      <c r="AW160" s="22"/>
      <c r="AX160" s="34">
        <f t="shared" si="142"/>
        <v>8.4824736206473581</v>
      </c>
      <c r="AY160" s="14">
        <f t="shared" si="143"/>
        <v>-24.954809582731173</v>
      </c>
      <c r="AZ160" s="25">
        <v>1.0819000000000001</v>
      </c>
      <c r="BA160" s="22">
        <f t="shared" si="144"/>
        <v>1.0837837144619766</v>
      </c>
      <c r="BB160" s="38">
        <f t="shared" si="145"/>
        <v>1.8837144619765489E-3</v>
      </c>
      <c r="BC160" s="58">
        <f t="shared" si="146"/>
        <v>1.2803628054107195</v>
      </c>
      <c r="BD160" s="32">
        <f t="shared" si="147"/>
        <v>2.4118379331290383E-2</v>
      </c>
      <c r="BE160" s="38">
        <f t="shared" si="148"/>
        <v>18.837144619765489</v>
      </c>
    </row>
    <row r="161" spans="1:57" ht="15">
      <c r="A161" s="138">
        <v>146</v>
      </c>
      <c r="B161" s="139">
        <v>1</v>
      </c>
      <c r="C161" s="140" t="s">
        <v>413</v>
      </c>
      <c r="D161" s="140" t="s">
        <v>414</v>
      </c>
      <c r="E161" s="140" t="s">
        <v>437</v>
      </c>
      <c r="F161" s="140" t="s">
        <v>480</v>
      </c>
      <c r="G161" s="140"/>
      <c r="H161" s="140" t="s">
        <v>481</v>
      </c>
      <c r="I161" s="140">
        <v>50</v>
      </c>
      <c r="J161" s="140">
        <v>10</v>
      </c>
      <c r="K161" s="140">
        <v>15</v>
      </c>
      <c r="L161" s="140" t="s">
        <v>439</v>
      </c>
      <c r="M161" s="140">
        <v>3</v>
      </c>
      <c r="Q161" s="108">
        <v>10</v>
      </c>
      <c r="R161" s="53">
        <v>8</v>
      </c>
      <c r="S161" s="53">
        <f t="shared" si="91"/>
        <v>2</v>
      </c>
      <c r="T161" s="82">
        <v>76</v>
      </c>
      <c r="U161" s="82" t="s">
        <v>345</v>
      </c>
      <c r="V161" s="83">
        <v>2.4866212499999998</v>
      </c>
      <c r="W161" s="83">
        <v>13.817266823565378</v>
      </c>
      <c r="X161" s="81">
        <v>1.1468769999999999</v>
      </c>
      <c r="Y161" s="81">
        <v>-24.950632079540071</v>
      </c>
      <c r="Z161" s="154" t="s">
        <v>54</v>
      </c>
      <c r="AA161" s="75">
        <v>2.9111787500000004</v>
      </c>
      <c r="AB161" s="75">
        <v>7.1289713486518078</v>
      </c>
      <c r="AC161" s="75">
        <v>2.0592423593750002</v>
      </c>
      <c r="AD161" s="75">
        <v>-26.716135928040213</v>
      </c>
      <c r="AE161" s="75">
        <v>2.375375</v>
      </c>
      <c r="AF161" s="75">
        <v>2.375375</v>
      </c>
      <c r="AG161" s="32">
        <f t="shared" si="128"/>
        <v>2.3009777396870598E-2</v>
      </c>
      <c r="AH161" s="32">
        <f t="shared" si="129"/>
        <v>0.53073405008612418</v>
      </c>
      <c r="AI161" s="33">
        <f t="shared" si="130"/>
        <v>5.7216601432828106E-2</v>
      </c>
      <c r="AJ161" s="34">
        <f t="shared" si="131"/>
        <v>0.6086866751606238</v>
      </c>
      <c r="AK161" s="16">
        <f t="shared" si="132"/>
        <v>4.863411121790389E-2</v>
      </c>
      <c r="AL161" s="16">
        <f t="shared" si="133"/>
        <v>0.51738367388653028</v>
      </c>
      <c r="AM161" s="27">
        <f t="shared" si="134"/>
        <v>48.634111217903893</v>
      </c>
      <c r="AN161" s="27">
        <f t="shared" si="135"/>
        <v>517.38367388653023</v>
      </c>
      <c r="AO161" s="29" t="e">
        <f t="shared" si="136"/>
        <v>#VALUE!</v>
      </c>
      <c r="AP161" s="29" t="e">
        <f t="shared" si="137"/>
        <v>#VALUE!</v>
      </c>
      <c r="AQ161" s="27">
        <f t="shared" si="138"/>
        <v>10.638287838106178</v>
      </c>
      <c r="AR161" s="14">
        <f t="shared" si="139"/>
        <v>8.6682954749135703</v>
      </c>
      <c r="AS161" s="25">
        <v>0.36620000000000003</v>
      </c>
      <c r="AT161" s="22">
        <f t="shared" si="140"/>
        <v>0.36941671822441602</v>
      </c>
      <c r="AU161" s="22">
        <f t="shared" si="141"/>
        <v>3.2167182244159931E-3</v>
      </c>
      <c r="AV161" s="15"/>
      <c r="AW161" s="22"/>
      <c r="AX161" s="34">
        <f t="shared" si="142"/>
        <v>32.167182244159932</v>
      </c>
      <c r="AY161" s="14">
        <f t="shared" si="143"/>
        <v>-24.264496151499859</v>
      </c>
      <c r="AZ161" s="25">
        <v>1.0819000000000001</v>
      </c>
      <c r="BA161" s="22">
        <f t="shared" si="144"/>
        <v>1.0845426910210554</v>
      </c>
      <c r="BB161" s="38">
        <f t="shared" si="145"/>
        <v>2.642691021055299E-3</v>
      </c>
      <c r="BC161" s="58">
        <f t="shared" si="146"/>
        <v>0.58955485348953096</v>
      </c>
      <c r="BD161" s="32">
        <f t="shared" si="147"/>
        <v>1.5580113177363559E-2</v>
      </c>
      <c r="BE161" s="38">
        <f t="shared" si="148"/>
        <v>26.426910210552986</v>
      </c>
    </row>
    <row r="162" spans="1:57" ht="15">
      <c r="A162" s="138">
        <v>147</v>
      </c>
      <c r="B162" s="139">
        <v>1</v>
      </c>
      <c r="C162" s="140" t="s">
        <v>415</v>
      </c>
      <c r="D162" s="140" t="s">
        <v>416</v>
      </c>
      <c r="E162" s="140" t="s">
        <v>437</v>
      </c>
      <c r="F162" s="140" t="s">
        <v>480</v>
      </c>
      <c r="G162" s="140"/>
      <c r="H162" s="140" t="s">
        <v>481</v>
      </c>
      <c r="I162" s="140">
        <v>50</v>
      </c>
      <c r="J162" s="140">
        <v>10</v>
      </c>
      <c r="K162" s="140">
        <v>15</v>
      </c>
      <c r="L162" s="140" t="s">
        <v>440</v>
      </c>
      <c r="M162" s="140">
        <v>3</v>
      </c>
      <c r="Q162" s="108">
        <v>10</v>
      </c>
      <c r="R162" s="53">
        <v>8</v>
      </c>
      <c r="S162" s="53">
        <f t="shared" si="91"/>
        <v>2</v>
      </c>
      <c r="T162" s="80">
        <v>77</v>
      </c>
      <c r="U162" s="80" t="s">
        <v>346</v>
      </c>
      <c r="V162" s="81">
        <v>1.3193563749999999</v>
      </c>
      <c r="W162" s="81">
        <v>23.275114592734116</v>
      </c>
      <c r="X162" s="83">
        <v>0.67470412499999999</v>
      </c>
      <c r="Y162" s="83">
        <v>-25.135107865324237</v>
      </c>
      <c r="Z162" s="154" t="s">
        <v>54</v>
      </c>
      <c r="AA162" s="75">
        <v>2.9111787500000004</v>
      </c>
      <c r="AB162" s="75">
        <v>7.1289713486518078</v>
      </c>
      <c r="AC162" s="75">
        <v>2.0592423593750002</v>
      </c>
      <c r="AD162" s="75">
        <v>-26.716135928040213</v>
      </c>
      <c r="AE162" s="75">
        <v>2.375375</v>
      </c>
      <c r="AF162" s="75">
        <v>2.375375</v>
      </c>
      <c r="AG162" s="32">
        <f t="shared" si="128"/>
        <v>2.3009777396870598E-2</v>
      </c>
      <c r="AH162" s="32">
        <f t="shared" si="129"/>
        <v>0.53073405008612418</v>
      </c>
      <c r="AI162" s="33">
        <f t="shared" si="130"/>
        <v>3.0358096495892127E-2</v>
      </c>
      <c r="AJ162" s="34">
        <f t="shared" si="131"/>
        <v>0.35808845287106456</v>
      </c>
      <c r="AK162" s="16">
        <f t="shared" si="132"/>
        <v>2.5804382021508306E-2</v>
      </c>
      <c r="AL162" s="16">
        <f t="shared" si="133"/>
        <v>0.30437518494040489</v>
      </c>
      <c r="AM162" s="27">
        <f t="shared" si="134"/>
        <v>25.804382021508307</v>
      </c>
      <c r="AN162" s="27">
        <f t="shared" si="135"/>
        <v>304.37518494040489</v>
      </c>
      <c r="AO162" s="29" t="e">
        <f t="shared" si="136"/>
        <v>#VALUE!</v>
      </c>
      <c r="AP162" s="29" t="e">
        <f t="shared" si="137"/>
        <v>#VALUE!</v>
      </c>
      <c r="AQ162" s="27">
        <f t="shared" si="138"/>
        <v>11.795484374967939</v>
      </c>
      <c r="AR162" s="14">
        <f t="shared" si="139"/>
        <v>18.126143244082307</v>
      </c>
      <c r="AS162" s="25">
        <v>0.36620000000000003</v>
      </c>
      <c r="AT162" s="22">
        <f t="shared" si="140"/>
        <v>0.37286766391668857</v>
      </c>
      <c r="AU162" s="22">
        <f t="shared" si="141"/>
        <v>6.6676639166885487E-3</v>
      </c>
      <c r="AV162" s="15"/>
      <c r="AW162" s="22"/>
      <c r="AX162" s="34">
        <f t="shared" si="142"/>
        <v>66.676639166885494</v>
      </c>
      <c r="AY162" s="14">
        <f t="shared" si="143"/>
        <v>-24.448971937284025</v>
      </c>
      <c r="AZ162" s="25">
        <v>1.0819000000000001</v>
      </c>
      <c r="BA162" s="22">
        <f t="shared" si="144"/>
        <v>1.0843398671970117</v>
      </c>
      <c r="BB162" s="38">
        <f t="shared" si="145"/>
        <v>2.4398671970116137E-3</v>
      </c>
      <c r="BC162" s="58">
        <f t="shared" si="146"/>
        <v>0.35000337673582876</v>
      </c>
      <c r="BD162" s="32">
        <f t="shared" si="147"/>
        <v>8.5396175774104625E-3</v>
      </c>
      <c r="BE162" s="38">
        <f t="shared" si="148"/>
        <v>24.398671970116137</v>
      </c>
    </row>
    <row r="163" spans="1:57" ht="15">
      <c r="A163" s="138">
        <v>148</v>
      </c>
      <c r="B163" s="139">
        <v>1</v>
      </c>
      <c r="C163" s="140" t="s">
        <v>417</v>
      </c>
      <c r="D163" s="140" t="s">
        <v>418</v>
      </c>
      <c r="E163" s="140" t="s">
        <v>437</v>
      </c>
      <c r="F163" s="140" t="s">
        <v>480</v>
      </c>
      <c r="G163" s="140"/>
      <c r="H163" s="140" t="s">
        <v>481</v>
      </c>
      <c r="I163" s="140">
        <v>50</v>
      </c>
      <c r="J163" s="140">
        <v>10</v>
      </c>
      <c r="K163" s="140">
        <v>15</v>
      </c>
      <c r="L163" s="140" t="s">
        <v>441</v>
      </c>
      <c r="M163" s="140">
        <v>3</v>
      </c>
      <c r="Q163" s="108">
        <v>10</v>
      </c>
      <c r="R163" s="53">
        <v>8</v>
      </c>
      <c r="S163" s="53">
        <f t="shared" si="91"/>
        <v>2</v>
      </c>
      <c r="T163" s="82">
        <v>78</v>
      </c>
      <c r="U163" s="82" t="s">
        <v>347</v>
      </c>
      <c r="V163" s="83">
        <v>2.29418225</v>
      </c>
      <c r="W163" s="83">
        <v>13.386351734888363</v>
      </c>
      <c r="X163" s="81">
        <v>0.99549500000000002</v>
      </c>
      <c r="Y163" s="81">
        <v>-25.109268150276193</v>
      </c>
      <c r="Z163" s="154" t="s">
        <v>54</v>
      </c>
      <c r="AA163" s="75">
        <v>2.9111787500000004</v>
      </c>
      <c r="AB163" s="75">
        <v>7.1289713486518078</v>
      </c>
      <c r="AC163" s="75">
        <v>2.0592423593750002</v>
      </c>
      <c r="AD163" s="75">
        <v>-26.716135928040213</v>
      </c>
      <c r="AE163" s="75">
        <v>2.375375</v>
      </c>
      <c r="AF163" s="75">
        <v>2.375375</v>
      </c>
      <c r="AG163" s="32">
        <f t="shared" si="128"/>
        <v>2.3009777396870598E-2</v>
      </c>
      <c r="AH163" s="32">
        <f t="shared" si="129"/>
        <v>0.53073405008612418</v>
      </c>
      <c r="AI163" s="33">
        <f t="shared" si="130"/>
        <v>5.2788622880351729E-2</v>
      </c>
      <c r="AJ163" s="34">
        <f t="shared" si="131"/>
        <v>0.52834309319048622</v>
      </c>
      <c r="AK163" s="16">
        <f t="shared" si="132"/>
        <v>4.4870329448298975E-2</v>
      </c>
      <c r="AL163" s="16">
        <f t="shared" si="133"/>
        <v>0.44909162921191331</v>
      </c>
      <c r="AM163" s="27">
        <f t="shared" si="134"/>
        <v>44.870329448298975</v>
      </c>
      <c r="AN163" s="27">
        <f t="shared" si="135"/>
        <v>449.0916292119133</v>
      </c>
      <c r="AO163" s="29" t="e">
        <f t="shared" si="136"/>
        <v>#VALUE!</v>
      </c>
      <c r="AP163" s="29" t="e">
        <f t="shared" si="137"/>
        <v>#VALUE!</v>
      </c>
      <c r="AQ163" s="27">
        <f t="shared" si="138"/>
        <v>10.008654599458001</v>
      </c>
      <c r="AR163" s="14">
        <f t="shared" si="139"/>
        <v>8.2373803862365556</v>
      </c>
      <c r="AS163" s="25">
        <v>0.36620000000000003</v>
      </c>
      <c r="AT163" s="22">
        <f t="shared" si="140"/>
        <v>0.36925948177251766</v>
      </c>
      <c r="AU163" s="22">
        <f t="shared" si="141"/>
        <v>3.059481772517636E-3</v>
      </c>
      <c r="AV163" s="15"/>
      <c r="AW163" s="22"/>
      <c r="AX163" s="34">
        <f t="shared" si="142"/>
        <v>30.594817725176362</v>
      </c>
      <c r="AY163" s="14">
        <f t="shared" si="143"/>
        <v>-24.423132222235981</v>
      </c>
      <c r="AZ163" s="25">
        <v>1.0819000000000001</v>
      </c>
      <c r="BA163" s="22">
        <f t="shared" si="144"/>
        <v>1.0843682769909424</v>
      </c>
      <c r="BB163" s="38">
        <f t="shared" si="145"/>
        <v>2.4682769909423197E-3</v>
      </c>
      <c r="BC163" s="58">
        <f t="shared" si="146"/>
        <v>0.51275293712800996</v>
      </c>
      <c r="BD163" s="32">
        <f t="shared" si="147"/>
        <v>1.2656162767511608E-2</v>
      </c>
      <c r="BE163" s="38">
        <f t="shared" si="148"/>
        <v>24.682769909423197</v>
      </c>
    </row>
    <row r="164" spans="1:57" ht="15">
      <c r="A164" s="138">
        <v>149</v>
      </c>
      <c r="B164" s="139">
        <v>1</v>
      </c>
      <c r="C164" s="140" t="s">
        <v>419</v>
      </c>
      <c r="D164" s="140" t="s">
        <v>420</v>
      </c>
      <c r="E164" s="140" t="s">
        <v>437</v>
      </c>
      <c r="F164" s="140" t="s">
        <v>480</v>
      </c>
      <c r="G164" s="140"/>
      <c r="H164" s="140" t="s">
        <v>481</v>
      </c>
      <c r="I164" s="140">
        <v>50</v>
      </c>
      <c r="J164" s="140">
        <v>10</v>
      </c>
      <c r="K164" s="140">
        <v>15</v>
      </c>
      <c r="L164" s="140" t="s">
        <v>442</v>
      </c>
      <c r="M164" s="140">
        <v>3</v>
      </c>
      <c r="Q164" s="108">
        <v>10</v>
      </c>
      <c r="R164" s="53">
        <v>8</v>
      </c>
      <c r="S164" s="53">
        <f t="shared" si="91"/>
        <v>2</v>
      </c>
      <c r="T164" s="80">
        <v>79</v>
      </c>
      <c r="U164" s="80" t="s">
        <v>348</v>
      </c>
      <c r="V164" s="81">
        <v>2.5504715</v>
      </c>
      <c r="W164" s="81">
        <v>14.861810109343438</v>
      </c>
      <c r="X164" s="83">
        <v>1.2854239999999999</v>
      </c>
      <c r="Y164" s="83">
        <v>-25.520493423003902</v>
      </c>
      <c r="Z164" s="154" t="s">
        <v>54</v>
      </c>
      <c r="AA164" s="75">
        <v>2.9111787500000004</v>
      </c>
      <c r="AB164" s="75">
        <v>7.1289713486518078</v>
      </c>
      <c r="AC164" s="75">
        <v>2.0592423593750002</v>
      </c>
      <c r="AD164" s="75">
        <v>-26.716135928040213</v>
      </c>
      <c r="AE164" s="75">
        <v>2.375375</v>
      </c>
      <c r="AF164" s="75">
        <v>2.375375</v>
      </c>
      <c r="AG164" s="32">
        <f t="shared" si="128"/>
        <v>2.3009777396870598E-2</v>
      </c>
      <c r="AH164" s="32">
        <f t="shared" si="129"/>
        <v>0.53073405008612418</v>
      </c>
      <c r="AI164" s="33">
        <f t="shared" si="130"/>
        <v>5.8685781472062645E-2</v>
      </c>
      <c r="AJ164" s="34">
        <f t="shared" si="131"/>
        <v>0.68221828559790598</v>
      </c>
      <c r="AK164" s="16">
        <f t="shared" si="132"/>
        <v>4.9882914251253255E-2</v>
      </c>
      <c r="AL164" s="16">
        <f t="shared" si="133"/>
        <v>0.57988554275822002</v>
      </c>
      <c r="AM164" s="27">
        <f t="shared" si="134"/>
        <v>49.882914251253254</v>
      </c>
      <c r="AN164" s="27">
        <f t="shared" si="135"/>
        <v>579.88554275822003</v>
      </c>
      <c r="AO164" s="29" t="e">
        <f t="shared" si="136"/>
        <v>#VALUE!</v>
      </c>
      <c r="AP164" s="29" t="e">
        <f t="shared" si="137"/>
        <v>#VALUE!</v>
      </c>
      <c r="AQ164" s="27">
        <f t="shared" si="138"/>
        <v>11.624933135169647</v>
      </c>
      <c r="AR164" s="14">
        <f t="shared" si="139"/>
        <v>9.7128387606916302</v>
      </c>
      <c r="AS164" s="25">
        <v>0.36620000000000003</v>
      </c>
      <c r="AT164" s="22">
        <f t="shared" si="140"/>
        <v>0.36979785918911129</v>
      </c>
      <c r="AU164" s="22">
        <f t="shared" si="141"/>
        <v>3.5978591891112632E-3</v>
      </c>
      <c r="AV164" s="15"/>
      <c r="AW164" s="22"/>
      <c r="AX164" s="34">
        <f t="shared" si="142"/>
        <v>35.978591891112629</v>
      </c>
      <c r="AY164" s="14">
        <f t="shared" si="143"/>
        <v>-24.83435749496369</v>
      </c>
      <c r="AZ164" s="25">
        <v>1.0819000000000001</v>
      </c>
      <c r="BA164" s="22">
        <f t="shared" si="144"/>
        <v>1.0839161483478594</v>
      </c>
      <c r="BB164" s="38">
        <f t="shared" si="145"/>
        <v>2.0161483478593478E-3</v>
      </c>
      <c r="BC164" s="58">
        <f t="shared" si="146"/>
        <v>0.65984508024132194</v>
      </c>
      <c r="BD164" s="32">
        <f t="shared" si="147"/>
        <v>1.3303455683716598E-2</v>
      </c>
      <c r="BE164" s="38">
        <f t="shared" si="148"/>
        <v>20.161483478593478</v>
      </c>
    </row>
    <row r="165" spans="1:57" ht="15">
      <c r="A165" s="138">
        <v>150</v>
      </c>
      <c r="B165" s="139">
        <v>1</v>
      </c>
      <c r="C165" s="140" t="s">
        <v>421</v>
      </c>
      <c r="D165" s="140" t="s">
        <v>422</v>
      </c>
      <c r="E165" s="140" t="s">
        <v>437</v>
      </c>
      <c r="F165" s="140" t="s">
        <v>480</v>
      </c>
      <c r="G165" s="140"/>
      <c r="H165" s="140" t="s">
        <v>481</v>
      </c>
      <c r="I165" s="140">
        <v>50</v>
      </c>
      <c r="J165" s="140">
        <v>10</v>
      </c>
      <c r="K165" s="140">
        <v>15</v>
      </c>
      <c r="L165" s="140" t="s">
        <v>443</v>
      </c>
      <c r="M165" s="140">
        <v>3</v>
      </c>
      <c r="Q165" s="108">
        <v>10</v>
      </c>
      <c r="R165" s="53">
        <v>8</v>
      </c>
      <c r="S165" s="53">
        <f t="shared" si="91"/>
        <v>2</v>
      </c>
      <c r="T165" s="82">
        <v>80</v>
      </c>
      <c r="U165" s="82" t="s">
        <v>349</v>
      </c>
      <c r="V165" s="83">
        <v>3.3193917499999999</v>
      </c>
      <c r="W165" s="83">
        <v>11.761535839635888</v>
      </c>
      <c r="X165" s="81">
        <v>1.6739961249999999</v>
      </c>
      <c r="Y165" s="81">
        <v>-25.678454603552964</v>
      </c>
      <c r="Z165" s="154" t="s">
        <v>54</v>
      </c>
      <c r="AA165" s="75">
        <v>2.9111787500000004</v>
      </c>
      <c r="AB165" s="75">
        <v>7.1289713486518078</v>
      </c>
      <c r="AC165" s="75">
        <v>2.0592423593750002</v>
      </c>
      <c r="AD165" s="75">
        <v>-26.716135928040213</v>
      </c>
      <c r="AE165" s="75">
        <v>2.375375</v>
      </c>
      <c r="AF165" s="75">
        <v>2.375375</v>
      </c>
      <c r="AG165" s="32">
        <f t="shared" si="128"/>
        <v>2.3009777396870598E-2</v>
      </c>
      <c r="AH165" s="32">
        <f t="shared" si="129"/>
        <v>0.53073405008612418</v>
      </c>
      <c r="AI165" s="33">
        <f t="shared" si="130"/>
        <v>7.6378465260508732E-2</v>
      </c>
      <c r="AJ165" s="34">
        <f t="shared" si="131"/>
        <v>0.88844674324972772</v>
      </c>
      <c r="AK165" s="16">
        <f t="shared" si="132"/>
        <v>6.4921695471432422E-2</v>
      </c>
      <c r="AL165" s="16">
        <f t="shared" si="133"/>
        <v>0.75517973176226849</v>
      </c>
      <c r="AM165" s="27">
        <f t="shared" si="134"/>
        <v>64.921695471432429</v>
      </c>
      <c r="AN165" s="27">
        <f t="shared" si="135"/>
        <v>755.17973176226849</v>
      </c>
      <c r="AO165" s="29" t="e">
        <f t="shared" si="136"/>
        <v>#VALUE!</v>
      </c>
      <c r="AP165" s="29" t="e">
        <f t="shared" si="137"/>
        <v>#VALUE!</v>
      </c>
      <c r="AQ165" s="27">
        <f t="shared" si="138"/>
        <v>11.63216281211527</v>
      </c>
      <c r="AR165" s="14">
        <f t="shared" si="139"/>
        <v>6.6125644909840808</v>
      </c>
      <c r="AS165" s="25">
        <v>0.36620000000000003</v>
      </c>
      <c r="AT165" s="22">
        <f t="shared" si="140"/>
        <v>0.36866659882043828</v>
      </c>
      <c r="AU165" s="22">
        <f t="shared" si="141"/>
        <v>2.4665988204382594E-3</v>
      </c>
      <c r="AV165" s="15"/>
      <c r="AW165" s="22"/>
      <c r="AX165" s="34">
        <f t="shared" si="142"/>
        <v>24.665988204382593</v>
      </c>
      <c r="AY165" s="14">
        <f t="shared" si="143"/>
        <v>-24.992318675512752</v>
      </c>
      <c r="AZ165" s="25">
        <v>1.0819000000000001</v>
      </c>
      <c r="BA165" s="22">
        <f t="shared" si="144"/>
        <v>1.0837424741337529</v>
      </c>
      <c r="BB165" s="38">
        <f t="shared" si="145"/>
        <v>1.842474133752825E-3</v>
      </c>
      <c r="BC165" s="58">
        <f t="shared" si="146"/>
        <v>0.85698267813716489</v>
      </c>
      <c r="BD165" s="32">
        <f t="shared" si="147"/>
        <v>1.578968417541949E-2</v>
      </c>
      <c r="BE165" s="38">
        <f t="shared" si="148"/>
        <v>18.42474133752825</v>
      </c>
    </row>
    <row r="166" spans="1:57" ht="15">
      <c r="A166" s="138">
        <v>151</v>
      </c>
      <c r="B166" s="139">
        <v>1</v>
      </c>
      <c r="C166" s="140" t="s">
        <v>423</v>
      </c>
      <c r="D166" s="140" t="s">
        <v>424</v>
      </c>
      <c r="E166" s="140" t="s">
        <v>437</v>
      </c>
      <c r="F166" s="140" t="s">
        <v>480</v>
      </c>
      <c r="G166" s="140"/>
      <c r="H166" s="140" t="s">
        <v>481</v>
      </c>
      <c r="I166" s="140">
        <v>50</v>
      </c>
      <c r="J166" s="140">
        <v>10</v>
      </c>
      <c r="K166" s="140">
        <v>15</v>
      </c>
      <c r="L166" s="140" t="s">
        <v>444</v>
      </c>
      <c r="M166" s="140">
        <v>3</v>
      </c>
      <c r="Q166" s="108">
        <v>10</v>
      </c>
      <c r="R166" s="53">
        <v>8</v>
      </c>
      <c r="S166" s="53">
        <f t="shared" si="91"/>
        <v>2</v>
      </c>
      <c r="T166" s="80">
        <v>81</v>
      </c>
      <c r="U166" s="80" t="s">
        <v>350</v>
      </c>
      <c r="V166" s="81">
        <v>7.0501984999999996</v>
      </c>
      <c r="W166" s="81">
        <v>5.186349704887423</v>
      </c>
      <c r="X166" s="83">
        <v>3.1417107500000001</v>
      </c>
      <c r="Y166" s="83">
        <v>-26.124315684547394</v>
      </c>
      <c r="Z166" s="154" t="s">
        <v>54</v>
      </c>
      <c r="AA166" s="75">
        <v>2.9111787500000004</v>
      </c>
      <c r="AB166" s="75">
        <v>7.1289713486518078</v>
      </c>
      <c r="AC166" s="75">
        <v>2.0592423593750002</v>
      </c>
      <c r="AD166" s="75">
        <v>-26.716135928040213</v>
      </c>
      <c r="AE166" s="75">
        <v>2.375375</v>
      </c>
      <c r="AF166" s="75">
        <v>2.375375</v>
      </c>
      <c r="AG166" s="32">
        <f t="shared" si="128"/>
        <v>2.3009777396870598E-2</v>
      </c>
      <c r="AH166" s="32">
        <f t="shared" si="129"/>
        <v>0.53073405008612418</v>
      </c>
      <c r="AI166" s="33">
        <f t="shared" si="130"/>
        <v>0.16222349808875097</v>
      </c>
      <c r="AJ166" s="34">
        <f t="shared" si="131"/>
        <v>1.6674128705466149</v>
      </c>
      <c r="AK166" s="16">
        <f t="shared" si="132"/>
        <v>0.13788997337543835</v>
      </c>
      <c r="AL166" s="16">
        <f t="shared" si="133"/>
        <v>1.4173009399646226</v>
      </c>
      <c r="AM166" s="27">
        <f t="shared" si="134"/>
        <v>137.88997337543836</v>
      </c>
      <c r="AN166" s="27">
        <f t="shared" si="135"/>
        <v>1417.3009399646226</v>
      </c>
      <c r="AO166" s="29" t="e">
        <f t="shared" si="136"/>
        <v>#VALUE!</v>
      </c>
      <c r="AP166" s="29" t="e">
        <f t="shared" si="137"/>
        <v>#VALUE!</v>
      </c>
      <c r="AQ166" s="27">
        <f t="shared" si="138"/>
        <v>10.278491650046831</v>
      </c>
      <c r="AR166" s="14">
        <f t="shared" si="139"/>
        <v>3.7378356235615584E-2</v>
      </c>
      <c r="AS166" s="25">
        <v>0.36620000000000003</v>
      </c>
      <c r="AT166" s="22">
        <f t="shared" si="140"/>
        <v>0.3662672913944211</v>
      </c>
      <c r="AU166" s="22">
        <f t="shared" si="141"/>
        <v>6.7291394421076234E-5</v>
      </c>
      <c r="AV166" s="15"/>
      <c r="AW166" s="22"/>
      <c r="AX166" s="34">
        <f t="shared" si="142"/>
        <v>0.67291394421076234</v>
      </c>
      <c r="AY166" s="14">
        <f t="shared" si="143"/>
        <v>-25.438179756507182</v>
      </c>
      <c r="AZ166" s="25">
        <v>1.0819000000000001</v>
      </c>
      <c r="BA166" s="22">
        <f t="shared" si="144"/>
        <v>1.0832522581687478</v>
      </c>
      <c r="BB166" s="38">
        <f t="shared" si="145"/>
        <v>1.3522581687477331E-3</v>
      </c>
      <c r="BC166" s="58">
        <f t="shared" si="146"/>
        <v>1.6016108100936144</v>
      </c>
      <c r="BD166" s="32">
        <f t="shared" si="147"/>
        <v>2.1657913011037644E-2</v>
      </c>
      <c r="BE166" s="38">
        <f t="shared" si="148"/>
        <v>13.522581687477331</v>
      </c>
    </row>
    <row r="167" spans="1:57" ht="15">
      <c r="A167" s="135"/>
      <c r="B167" s="136"/>
      <c r="C167" s="135"/>
      <c r="D167" s="135" t="s">
        <v>116</v>
      </c>
      <c r="E167" s="135"/>
      <c r="F167" s="135" t="s">
        <v>55</v>
      </c>
      <c r="G167" s="135"/>
      <c r="H167" s="135"/>
      <c r="I167" s="135"/>
      <c r="J167" s="135"/>
      <c r="K167" s="135"/>
      <c r="L167" s="135" t="s">
        <v>132</v>
      </c>
      <c r="M167" s="137">
        <v>1</v>
      </c>
      <c r="Q167" s="108">
        <v>10</v>
      </c>
      <c r="R167" s="53">
        <v>8</v>
      </c>
      <c r="S167" s="53">
        <f t="shared" si="91"/>
        <v>2</v>
      </c>
      <c r="T167" s="82">
        <v>82</v>
      </c>
      <c r="U167" s="82" t="s">
        <v>351</v>
      </c>
      <c r="V167" s="83">
        <v>1.825352125</v>
      </c>
      <c r="W167" s="83">
        <v>13.088179799669504</v>
      </c>
      <c r="X167" s="81">
        <v>1.40410875</v>
      </c>
      <c r="Y167" s="81">
        <v>-25.641298062094315</v>
      </c>
      <c r="Z167" s="154">
        <v>1.641</v>
      </c>
      <c r="AA167" s="75">
        <v>2.9111787500000004</v>
      </c>
      <c r="AB167" s="75">
        <v>7.1289713486518078</v>
      </c>
      <c r="AC167" s="75">
        <v>2.0592423593750002</v>
      </c>
      <c r="AD167" s="75">
        <v>-26.716135928040213</v>
      </c>
      <c r="AE167" s="75">
        <v>2.375375</v>
      </c>
      <c r="AF167" s="75">
        <v>2.375375</v>
      </c>
      <c r="AG167" s="32">
        <f t="shared" si="128"/>
        <v>2.3009777396870598E-2</v>
      </c>
      <c r="AH167" s="32">
        <f t="shared" si="129"/>
        <v>0.53073405008612418</v>
      </c>
      <c r="AI167" s="33">
        <f t="shared" si="130"/>
        <v>4.2000946067154717E-2</v>
      </c>
      <c r="AJ167" s="34">
        <f t="shared" si="131"/>
        <v>0.74520832364886525</v>
      </c>
      <c r="AK167" s="16" t="e">
        <f t="shared" si="132"/>
        <v>#DIV/0!</v>
      </c>
      <c r="AL167" s="16" t="e">
        <f t="shared" si="133"/>
        <v>#DIV/0!</v>
      </c>
      <c r="AM167" s="27" t="e">
        <f t="shared" si="134"/>
        <v>#DIV/0!</v>
      </c>
      <c r="AN167" s="27" t="e">
        <f t="shared" si="135"/>
        <v>#DIV/0!</v>
      </c>
      <c r="AO167" s="29">
        <f t="shared" si="136"/>
        <v>2.5594726427272829</v>
      </c>
      <c r="AP167" s="29">
        <f t="shared" si="137"/>
        <v>45.411841782380577</v>
      </c>
      <c r="AQ167" s="27">
        <f t="shared" si="138"/>
        <v>17.742655664407231</v>
      </c>
      <c r="AR167" s="14">
        <f t="shared" si="139"/>
        <v>7.9392084510176968</v>
      </c>
      <c r="AS167" s="25">
        <v>0.36620000000000003</v>
      </c>
      <c r="AT167" s="22">
        <f t="shared" si="140"/>
        <v>0.36915068163167525</v>
      </c>
      <c r="AU167" s="22">
        <f t="shared" si="141"/>
        <v>2.9506816316752227E-3</v>
      </c>
      <c r="AV167" s="15"/>
      <c r="AW167" s="22"/>
      <c r="AX167" s="34">
        <f t="shared" si="142"/>
        <v>29.506816316752229</v>
      </c>
      <c r="AY167" s="14">
        <f t="shared" si="143"/>
        <v>-24.955162134054103</v>
      </c>
      <c r="AZ167" s="25">
        <v>1.0819000000000001</v>
      </c>
      <c r="BA167" s="22">
        <f t="shared" si="144"/>
        <v>1.0837833268405976</v>
      </c>
      <c r="BB167" s="38">
        <f t="shared" si="145"/>
        <v>1.8833268405975545E-3</v>
      </c>
      <c r="BC167" s="58" t="e">
        <f t="shared" si="146"/>
        <v>#DIV/0!</v>
      </c>
      <c r="BD167" s="32" t="e">
        <f t="shared" si="147"/>
        <v>#DIV/0!</v>
      </c>
      <c r="BE167" s="38">
        <f t="shared" si="148"/>
        <v>18.833268405975545</v>
      </c>
    </row>
    <row r="168" spans="1:57" ht="15">
      <c r="A168" s="138">
        <v>152</v>
      </c>
      <c r="B168" s="139">
        <v>1</v>
      </c>
      <c r="C168" s="140" t="s">
        <v>425</v>
      </c>
      <c r="D168" s="140" t="s">
        <v>426</v>
      </c>
      <c r="E168" s="140" t="s">
        <v>437</v>
      </c>
      <c r="F168" s="140" t="s">
        <v>480</v>
      </c>
      <c r="G168" s="140"/>
      <c r="H168" s="140" t="s">
        <v>481</v>
      </c>
      <c r="I168" s="140">
        <v>50</v>
      </c>
      <c r="J168" s="140">
        <v>10</v>
      </c>
      <c r="K168" s="140">
        <v>15</v>
      </c>
      <c r="L168" s="140" t="s">
        <v>445</v>
      </c>
      <c r="M168" s="140">
        <v>3</v>
      </c>
      <c r="Q168" s="108">
        <v>10</v>
      </c>
      <c r="R168" s="53">
        <v>8</v>
      </c>
      <c r="S168" s="53">
        <f t="shared" si="91"/>
        <v>2</v>
      </c>
      <c r="T168" s="80">
        <v>83</v>
      </c>
      <c r="U168" s="80" t="s">
        <v>352</v>
      </c>
      <c r="V168" s="81">
        <v>4.1734987500000003</v>
      </c>
      <c r="W168" s="81">
        <v>8.2264204190502248</v>
      </c>
      <c r="X168" s="83">
        <v>2.2512222500000001</v>
      </c>
      <c r="Y168" s="83">
        <v>-25.614568856335474</v>
      </c>
      <c r="Z168" s="154" t="s">
        <v>54</v>
      </c>
      <c r="AA168" s="75">
        <v>2.9111787500000004</v>
      </c>
      <c r="AB168" s="75">
        <v>7.1289713486518078</v>
      </c>
      <c r="AC168" s="75">
        <v>2.0592423593750002</v>
      </c>
      <c r="AD168" s="75">
        <v>-26.716135928040213</v>
      </c>
      <c r="AE168" s="75">
        <v>2.375375</v>
      </c>
      <c r="AF168" s="75">
        <v>2.375375</v>
      </c>
      <c r="AG168" s="32">
        <f t="shared" si="128"/>
        <v>2.3009777396870598E-2</v>
      </c>
      <c r="AH168" s="32">
        <f t="shared" si="129"/>
        <v>0.53073405008612418</v>
      </c>
      <c r="AI168" s="33">
        <f t="shared" si="130"/>
        <v>9.6031277203617704E-2</v>
      </c>
      <c r="AJ168" s="34">
        <f t="shared" si="131"/>
        <v>1.1948003023864973</v>
      </c>
      <c r="AK168" s="16">
        <f t="shared" si="132"/>
        <v>8.1626585623075051E-2</v>
      </c>
      <c r="AL168" s="16">
        <f t="shared" si="133"/>
        <v>1.0155802570285226</v>
      </c>
      <c r="AM168" s="27">
        <f t="shared" si="134"/>
        <v>81.626585623075044</v>
      </c>
      <c r="AN168" s="27">
        <f t="shared" si="135"/>
        <v>1015.5802570285226</v>
      </c>
      <c r="AO168" s="29" t="e">
        <f t="shared" si="136"/>
        <v>#VALUE!</v>
      </c>
      <c r="AP168" s="29" t="e">
        <f t="shared" si="137"/>
        <v>#VALUE!</v>
      </c>
      <c r="AQ168" s="27">
        <f t="shared" si="138"/>
        <v>12.441782898014884</v>
      </c>
      <c r="AR168" s="14">
        <f t="shared" si="139"/>
        <v>3.0774490703984174</v>
      </c>
      <c r="AS168" s="25">
        <v>0.36620000000000003</v>
      </c>
      <c r="AT168" s="22">
        <f t="shared" si="140"/>
        <v>0.36737663773525164</v>
      </c>
      <c r="AU168" s="22">
        <f t="shared" si="141"/>
        <v>1.1766377352516177E-3</v>
      </c>
      <c r="AV168" s="15"/>
      <c r="AW168" s="22"/>
      <c r="AX168" s="34">
        <f t="shared" si="142"/>
        <v>11.766377352516178</v>
      </c>
      <c r="AY168" s="14">
        <f t="shared" si="143"/>
        <v>-24.928432928295262</v>
      </c>
      <c r="AZ168" s="25">
        <v>1.0819000000000001</v>
      </c>
      <c r="BA168" s="22">
        <f t="shared" si="144"/>
        <v>1.0838127149264849</v>
      </c>
      <c r="BB168" s="38">
        <f t="shared" si="145"/>
        <v>1.9127149264848153E-3</v>
      </c>
      <c r="BC168" s="58">
        <f t="shared" si="146"/>
        <v>1.1498317128568469</v>
      </c>
      <c r="BD168" s="32">
        <f t="shared" si="147"/>
        <v>2.1993002801268934E-2</v>
      </c>
      <c r="BE168" s="38">
        <f t="shared" si="148"/>
        <v>19.127149264848153</v>
      </c>
    </row>
    <row r="169" spans="1:57" ht="15">
      <c r="A169" s="138">
        <v>153</v>
      </c>
      <c r="B169" s="139">
        <v>2</v>
      </c>
      <c r="C169" s="140" t="s">
        <v>408</v>
      </c>
      <c r="D169" s="140" t="s">
        <v>426</v>
      </c>
      <c r="E169" s="140" t="s">
        <v>437</v>
      </c>
      <c r="F169" s="140" t="s">
        <v>480</v>
      </c>
      <c r="G169" s="140"/>
      <c r="H169" s="140" t="s">
        <v>482</v>
      </c>
      <c r="I169" s="140">
        <v>100</v>
      </c>
      <c r="J169" s="140">
        <v>10</v>
      </c>
      <c r="K169" s="140">
        <v>15</v>
      </c>
      <c r="L169" s="140" t="s">
        <v>446</v>
      </c>
      <c r="M169" s="140">
        <v>3</v>
      </c>
      <c r="Q169" s="108">
        <v>10</v>
      </c>
      <c r="R169" s="53">
        <v>8</v>
      </c>
      <c r="S169" s="53">
        <f t="shared" si="91"/>
        <v>2</v>
      </c>
      <c r="T169" s="82">
        <v>84</v>
      </c>
      <c r="U169" s="82" t="s">
        <v>353</v>
      </c>
      <c r="V169" s="83">
        <v>0.630446375</v>
      </c>
      <c r="W169" s="83">
        <v>7257.4136827089515</v>
      </c>
      <c r="X169" s="81">
        <v>0.35023975000000002</v>
      </c>
      <c r="Y169" s="81">
        <v>351.92844193120823</v>
      </c>
      <c r="Z169" s="154" t="s">
        <v>54</v>
      </c>
      <c r="AA169" s="75">
        <v>2.9111787500000004</v>
      </c>
      <c r="AB169" s="75">
        <v>7.1289713486518078</v>
      </c>
      <c r="AC169" s="75">
        <v>2.0592423593750002</v>
      </c>
      <c r="AD169" s="75">
        <v>-26.716135928040213</v>
      </c>
      <c r="AE169" s="75">
        <v>2.375375</v>
      </c>
      <c r="AF169" s="75">
        <v>2.375375</v>
      </c>
      <c r="AG169" s="32">
        <f t="shared" si="128"/>
        <v>2.3009777396870598E-2</v>
      </c>
      <c r="AH169" s="32">
        <f t="shared" si="129"/>
        <v>0.53073405008612418</v>
      </c>
      <c r="AI169" s="33">
        <f t="shared" si="130"/>
        <v>1.4506430749414004E-2</v>
      </c>
      <c r="AJ169" s="34">
        <f t="shared" si="131"/>
        <v>0.18588416101865163</v>
      </c>
      <c r="AK169" s="16">
        <f t="shared" si="132"/>
        <v>1.2330466137001903E-2</v>
      </c>
      <c r="AL169" s="16">
        <f t="shared" si="133"/>
        <v>0.15800153686585389</v>
      </c>
      <c r="AM169" s="27">
        <f t="shared" si="134"/>
        <v>12.330466137001903</v>
      </c>
      <c r="AN169" s="27">
        <f t="shared" si="135"/>
        <v>158.00153686585389</v>
      </c>
      <c r="AO169" s="29" t="e">
        <f t="shared" si="136"/>
        <v>#VALUE!</v>
      </c>
      <c r="AP169" s="29" t="e">
        <f t="shared" si="137"/>
        <v>#VALUE!</v>
      </c>
      <c r="AQ169" s="27">
        <f t="shared" si="138"/>
        <v>12.813914341138707</v>
      </c>
      <c r="AR169" s="14">
        <f t="shared" si="139"/>
        <v>7252.2647113602998</v>
      </c>
      <c r="AS169" s="25">
        <v>0.36620000000000003</v>
      </c>
      <c r="AT169" s="22">
        <f t="shared" si="140"/>
        <v>2.9442186772190593</v>
      </c>
      <c r="AU169" s="22">
        <f t="shared" si="141"/>
        <v>2.5780186772190592</v>
      </c>
      <c r="AV169" s="15"/>
      <c r="AW169" s="22"/>
      <c r="AX169" s="34">
        <f t="shared" si="142"/>
        <v>25780.186772190595</v>
      </c>
      <c r="AY169" s="14">
        <f t="shared" si="143"/>
        <v>352.61457785924841</v>
      </c>
      <c r="AZ169" s="25">
        <v>1.0819000000000001</v>
      </c>
      <c r="BA169" s="22">
        <f t="shared" si="144"/>
        <v>1.4971769151220415</v>
      </c>
      <c r="BB169" s="38">
        <f t="shared" si="145"/>
        <v>0.41527691512204146</v>
      </c>
      <c r="BC169" s="58">
        <f t="shared" si="146"/>
        <v>0.18539010837470796</v>
      </c>
      <c r="BD169" s="32">
        <f t="shared" si="147"/>
        <v>0.76988232299989667</v>
      </c>
      <c r="BE169" s="38">
        <f t="shared" si="148"/>
        <v>4152.7691512204137</v>
      </c>
    </row>
    <row r="170" spans="1:57" ht="15">
      <c r="A170" s="138">
        <v>154</v>
      </c>
      <c r="B170" s="139">
        <v>2</v>
      </c>
      <c r="C170" s="140" t="s">
        <v>413</v>
      </c>
      <c r="D170" s="140" t="s">
        <v>418</v>
      </c>
      <c r="E170" s="140" t="s">
        <v>437</v>
      </c>
      <c r="F170" s="140" t="s">
        <v>480</v>
      </c>
      <c r="G170" s="140"/>
      <c r="H170" s="140" t="s">
        <v>482</v>
      </c>
      <c r="I170" s="140">
        <v>100</v>
      </c>
      <c r="J170" s="140">
        <v>10</v>
      </c>
      <c r="K170" s="140">
        <v>15</v>
      </c>
      <c r="L170" s="140" t="s">
        <v>447</v>
      </c>
      <c r="M170" s="140">
        <v>3</v>
      </c>
      <c r="Q170" s="108">
        <v>10</v>
      </c>
      <c r="R170" s="53">
        <v>8</v>
      </c>
      <c r="S170" s="53">
        <f t="shared" si="91"/>
        <v>2</v>
      </c>
      <c r="T170" s="80">
        <v>85</v>
      </c>
      <c r="U170" s="80" t="s">
        <v>354</v>
      </c>
      <c r="V170" s="81">
        <v>0.42552071875000003</v>
      </c>
      <c r="W170" s="81">
        <v>646.5493634210726</v>
      </c>
      <c r="X170" s="83">
        <v>0.181785671875</v>
      </c>
      <c r="Y170" s="83">
        <v>8.980863660842541</v>
      </c>
      <c r="Z170" s="154" t="s">
        <v>54</v>
      </c>
      <c r="AA170" s="75">
        <v>2.9111787500000004</v>
      </c>
      <c r="AB170" s="75">
        <v>7.1289713486518078</v>
      </c>
      <c r="AC170" s="75">
        <v>2.0592423593750002</v>
      </c>
      <c r="AD170" s="75">
        <v>-26.716135928040213</v>
      </c>
      <c r="AE170" s="75">
        <v>2.375375</v>
      </c>
      <c r="AF170" s="75">
        <v>2.375375</v>
      </c>
      <c r="AG170" s="32">
        <f t="shared" si="128"/>
        <v>2.3009777396870598E-2</v>
      </c>
      <c r="AH170" s="32">
        <f t="shared" si="129"/>
        <v>0.53073405008612418</v>
      </c>
      <c r="AI170" s="33">
        <f t="shared" si="130"/>
        <v>9.7911370161938814E-3</v>
      </c>
      <c r="AJ170" s="34">
        <f t="shared" si="131"/>
        <v>9.647984588184598E-2</v>
      </c>
      <c r="AK170" s="16">
        <f t="shared" si="132"/>
        <v>8.322466463764798E-3</v>
      </c>
      <c r="AL170" s="16">
        <f t="shared" si="133"/>
        <v>8.2007868999569092E-2</v>
      </c>
      <c r="AM170" s="27">
        <f t="shared" si="134"/>
        <v>8.3224664637647976</v>
      </c>
      <c r="AN170" s="27">
        <f t="shared" si="135"/>
        <v>82.007868999569098</v>
      </c>
      <c r="AO170" s="29" t="e">
        <f t="shared" si="136"/>
        <v>#VALUE!</v>
      </c>
      <c r="AP170" s="29" t="e">
        <f t="shared" si="137"/>
        <v>#VALUE!</v>
      </c>
      <c r="AQ170" s="27">
        <f t="shared" si="138"/>
        <v>9.8537938670733354</v>
      </c>
      <c r="AR170" s="14">
        <f t="shared" si="139"/>
        <v>641.4003920724208</v>
      </c>
      <c r="AS170" s="25">
        <v>0.36620000000000003</v>
      </c>
      <c r="AT170" s="22">
        <f t="shared" si="140"/>
        <v>0.59975995977287078</v>
      </c>
      <c r="AU170" s="22">
        <f t="shared" si="141"/>
        <v>0.23355995977287075</v>
      </c>
      <c r="AV170" s="15"/>
      <c r="AW170" s="22"/>
      <c r="AX170" s="34">
        <f t="shared" si="142"/>
        <v>2335.5995977287075</v>
      </c>
      <c r="AY170" s="14">
        <f t="shared" si="143"/>
        <v>9.6669995888827529</v>
      </c>
      <c r="AZ170" s="25">
        <v>1.0819000000000001</v>
      </c>
      <c r="BA170" s="22">
        <f t="shared" si="144"/>
        <v>1.121834886059927</v>
      </c>
      <c r="BB170" s="38">
        <f t="shared" si="145"/>
        <v>3.99348860599269E-2</v>
      </c>
      <c r="BC170" s="58">
        <f t="shared" si="146"/>
        <v>9.992686955560541E-2</v>
      </c>
      <c r="BD170" s="32">
        <f t="shared" si="147"/>
        <v>3.99056815002828E-2</v>
      </c>
      <c r="BE170" s="38">
        <f t="shared" si="148"/>
        <v>399.34886059926902</v>
      </c>
    </row>
    <row r="171" spans="1:57" ht="15">
      <c r="A171" s="138">
        <v>155</v>
      </c>
      <c r="B171" s="139">
        <v>2</v>
      </c>
      <c r="C171" s="140" t="s">
        <v>415</v>
      </c>
      <c r="D171" s="140" t="s">
        <v>416</v>
      </c>
      <c r="E171" s="140" t="s">
        <v>437</v>
      </c>
      <c r="F171" s="140" t="s">
        <v>480</v>
      </c>
      <c r="G171" s="140"/>
      <c r="H171" s="140" t="s">
        <v>482</v>
      </c>
      <c r="I171" s="140">
        <v>100</v>
      </c>
      <c r="J171" s="140">
        <v>10</v>
      </c>
      <c r="K171" s="140">
        <v>15</v>
      </c>
      <c r="L171" s="140" t="s">
        <v>448</v>
      </c>
      <c r="M171" s="140">
        <v>3</v>
      </c>
      <c r="Q171" s="108">
        <v>10</v>
      </c>
      <c r="R171" s="53">
        <v>8</v>
      </c>
      <c r="S171" s="53">
        <f t="shared" si="91"/>
        <v>2</v>
      </c>
      <c r="T171" s="82">
        <v>86</v>
      </c>
      <c r="U171" s="82" t="s">
        <v>355</v>
      </c>
      <c r="V171" s="83">
        <v>0.77774068750000003</v>
      </c>
      <c r="W171" s="83">
        <v>2654.0944566187559</v>
      </c>
      <c r="X171" s="81">
        <v>0.37642562499999999</v>
      </c>
      <c r="Y171" s="81">
        <v>96.200853864567719</v>
      </c>
      <c r="Z171" s="154" t="s">
        <v>54</v>
      </c>
      <c r="AA171" s="75">
        <v>2.9111787500000004</v>
      </c>
      <c r="AB171" s="75">
        <v>7.1289713486518078</v>
      </c>
      <c r="AC171" s="75">
        <v>2.0592423593750002</v>
      </c>
      <c r="AD171" s="75">
        <v>-26.716135928040213</v>
      </c>
      <c r="AE171" s="75">
        <v>2.375375</v>
      </c>
      <c r="AF171" s="75">
        <v>2.375375</v>
      </c>
      <c r="AG171" s="32">
        <f t="shared" si="128"/>
        <v>2.3009777396870598E-2</v>
      </c>
      <c r="AH171" s="32">
        <f t="shared" si="129"/>
        <v>0.53073405008612418</v>
      </c>
      <c r="AI171" s="33">
        <f t="shared" si="130"/>
        <v>1.7895640091864101E-2</v>
      </c>
      <c r="AJ171" s="34">
        <f t="shared" si="131"/>
        <v>0.1997818965124506</v>
      </c>
      <c r="AK171" s="16">
        <f t="shared" si="132"/>
        <v>1.5211294078084485E-2</v>
      </c>
      <c r="AL171" s="16">
        <f t="shared" si="133"/>
        <v>0.16981461203558301</v>
      </c>
      <c r="AM171" s="27">
        <f t="shared" si="134"/>
        <v>15.211294078084485</v>
      </c>
      <c r="AN171" s="27">
        <f t="shared" si="135"/>
        <v>169.81461203558302</v>
      </c>
      <c r="AO171" s="29" t="e">
        <f t="shared" si="136"/>
        <v>#VALUE!</v>
      </c>
      <c r="AP171" s="29" t="e">
        <f t="shared" si="137"/>
        <v>#VALUE!</v>
      </c>
      <c r="AQ171" s="27">
        <f t="shared" si="138"/>
        <v>11.163718955393916</v>
      </c>
      <c r="AR171" s="14">
        <f t="shared" si="139"/>
        <v>2648.9454852701042</v>
      </c>
      <c r="AS171" s="25">
        <v>0.36620000000000003</v>
      </c>
      <c r="AT171" s="22">
        <f t="shared" si="140"/>
        <v>1.3235982440960892</v>
      </c>
      <c r="AU171" s="22">
        <f t="shared" si="141"/>
        <v>0.95739824409608909</v>
      </c>
      <c r="AV171" s="15"/>
      <c r="AW171" s="22"/>
      <c r="AX171" s="34">
        <f t="shared" si="142"/>
        <v>9573.9824409608918</v>
      </c>
      <c r="AY171" s="14">
        <f t="shared" si="143"/>
        <v>96.886989792607935</v>
      </c>
      <c r="AZ171" s="25">
        <v>1.0819000000000001</v>
      </c>
      <c r="BA171" s="22">
        <f t="shared" si="144"/>
        <v>1.2175645517734419</v>
      </c>
      <c r="BB171" s="38">
        <f t="shared" si="145"/>
        <v>0.13566455177344183</v>
      </c>
      <c r="BC171" s="58">
        <f t="shared" si="146"/>
        <v>0.19867521084133705</v>
      </c>
      <c r="BD171" s="32">
        <f t="shared" si="147"/>
        <v>0.26953183427284044</v>
      </c>
      <c r="BE171" s="38">
        <f t="shared" si="148"/>
        <v>1356.6455177344183</v>
      </c>
    </row>
    <row r="172" spans="1:57" ht="15">
      <c r="A172" s="138">
        <v>156</v>
      </c>
      <c r="B172" s="139">
        <v>2</v>
      </c>
      <c r="C172" s="140" t="s">
        <v>417</v>
      </c>
      <c r="D172" s="140" t="s">
        <v>422</v>
      </c>
      <c r="E172" s="140" t="s">
        <v>437</v>
      </c>
      <c r="F172" s="140" t="s">
        <v>480</v>
      </c>
      <c r="G172" s="140"/>
      <c r="H172" s="140" t="s">
        <v>482</v>
      </c>
      <c r="I172" s="140">
        <v>100</v>
      </c>
      <c r="J172" s="140">
        <v>10</v>
      </c>
      <c r="K172" s="140">
        <v>15</v>
      </c>
      <c r="L172" s="140" t="s">
        <v>449</v>
      </c>
      <c r="M172" s="140">
        <v>3</v>
      </c>
      <c r="Q172" s="108">
        <v>10</v>
      </c>
      <c r="R172" s="53">
        <v>8</v>
      </c>
      <c r="S172" s="53">
        <f t="shared" si="91"/>
        <v>2</v>
      </c>
      <c r="T172" s="80">
        <v>87</v>
      </c>
      <c r="U172" s="80" t="s">
        <v>356</v>
      </c>
      <c r="V172" s="81">
        <v>1.408279375</v>
      </c>
      <c r="W172" s="81">
        <v>1452.3555755124275</v>
      </c>
      <c r="X172" s="83">
        <v>0.69073062500000004</v>
      </c>
      <c r="Y172" s="83">
        <v>30.991483556746555</v>
      </c>
      <c r="Z172" s="154" t="s">
        <v>54</v>
      </c>
      <c r="AA172" s="75">
        <v>2.9111787500000004</v>
      </c>
      <c r="AB172" s="75">
        <v>7.1289713486518078</v>
      </c>
      <c r="AC172" s="75">
        <v>2.0592423593750002</v>
      </c>
      <c r="AD172" s="75">
        <v>-26.716135928040213</v>
      </c>
      <c r="AE172" s="75">
        <v>2.375375</v>
      </c>
      <c r="AF172" s="75">
        <v>2.375375</v>
      </c>
      <c r="AG172" s="32">
        <f t="shared" si="128"/>
        <v>2.3009777396870598E-2</v>
      </c>
      <c r="AH172" s="32">
        <f t="shared" si="129"/>
        <v>0.53073405008612418</v>
      </c>
      <c r="AI172" s="33">
        <f t="shared" si="130"/>
        <v>3.2404194931354054E-2</v>
      </c>
      <c r="AJ172" s="34">
        <f t="shared" si="131"/>
        <v>0.36659426212476987</v>
      </c>
      <c r="AK172" s="16">
        <f t="shared" si="132"/>
        <v>2.7543565691650947E-2</v>
      </c>
      <c r="AL172" s="16">
        <f t="shared" si="133"/>
        <v>0.31160512280605435</v>
      </c>
      <c r="AM172" s="27">
        <f t="shared" si="134"/>
        <v>27.543565691650947</v>
      </c>
      <c r="AN172" s="27">
        <f t="shared" si="135"/>
        <v>311.60512280605434</v>
      </c>
      <c r="AO172" s="29" t="e">
        <f t="shared" si="136"/>
        <v>#VALUE!</v>
      </c>
      <c r="AP172" s="29" t="e">
        <f t="shared" si="137"/>
        <v>#VALUE!</v>
      </c>
      <c r="AQ172" s="27">
        <f t="shared" si="138"/>
        <v>11.313172967307885</v>
      </c>
      <c r="AR172" s="14">
        <f t="shared" si="139"/>
        <v>1447.2066041637756</v>
      </c>
      <c r="AS172" s="25">
        <v>0.36620000000000003</v>
      </c>
      <c r="AT172" s="22">
        <f t="shared" si="140"/>
        <v>0.89157262148107452</v>
      </c>
      <c r="AU172" s="22">
        <f t="shared" si="141"/>
        <v>0.52537262148107455</v>
      </c>
      <c r="AV172" s="15"/>
      <c r="AW172" s="22"/>
      <c r="AX172" s="34">
        <f t="shared" si="142"/>
        <v>5253.7262148107457</v>
      </c>
      <c r="AY172" s="14">
        <f t="shared" si="143"/>
        <v>31.677619484786767</v>
      </c>
      <c r="AZ172" s="25">
        <v>1.0819000000000001</v>
      </c>
      <c r="BA172" s="22">
        <f t="shared" si="144"/>
        <v>1.146010485678951</v>
      </c>
      <c r="BB172" s="38">
        <f t="shared" si="145"/>
        <v>6.4110485678950946E-2</v>
      </c>
      <c r="BC172" s="58">
        <f t="shared" si="146"/>
        <v>0.35813423715891679</v>
      </c>
      <c r="BD172" s="32">
        <f t="shared" si="147"/>
        <v>0.22960159882518755</v>
      </c>
      <c r="BE172" s="38">
        <f t="shared" si="148"/>
        <v>641.10485678950943</v>
      </c>
    </row>
    <row r="173" spans="1:57" ht="15">
      <c r="A173" s="138">
        <v>157</v>
      </c>
      <c r="B173" s="139">
        <v>2</v>
      </c>
      <c r="C173" s="140" t="s">
        <v>419</v>
      </c>
      <c r="D173" s="140" t="s">
        <v>409</v>
      </c>
      <c r="E173" s="140" t="s">
        <v>437</v>
      </c>
      <c r="F173" s="140" t="s">
        <v>480</v>
      </c>
      <c r="G173" s="140"/>
      <c r="H173" s="140" t="s">
        <v>482</v>
      </c>
      <c r="I173" s="140">
        <v>100</v>
      </c>
      <c r="J173" s="140">
        <v>10</v>
      </c>
      <c r="K173" s="140">
        <v>15</v>
      </c>
      <c r="L173" s="140" t="s">
        <v>450</v>
      </c>
      <c r="M173" s="140">
        <v>3</v>
      </c>
      <c r="Q173" s="108">
        <v>10</v>
      </c>
      <c r="R173" s="53">
        <v>8</v>
      </c>
      <c r="S173" s="53">
        <f t="shared" si="91"/>
        <v>2</v>
      </c>
      <c r="T173" s="82">
        <v>88</v>
      </c>
      <c r="U173" s="82" t="s">
        <v>357</v>
      </c>
      <c r="V173" s="83">
        <v>1.626209625</v>
      </c>
      <c r="W173" s="83">
        <v>2351.4572536701116</v>
      </c>
      <c r="X173" s="81">
        <v>0.70805962499999997</v>
      </c>
      <c r="Y173" s="81">
        <v>73.302566686557071</v>
      </c>
      <c r="Z173" s="154" t="s">
        <v>54</v>
      </c>
      <c r="AA173" s="75">
        <v>2.9111787500000004</v>
      </c>
      <c r="AB173" s="75">
        <v>7.1289713486518078</v>
      </c>
      <c r="AC173" s="75">
        <v>2.0592423593750002</v>
      </c>
      <c r="AD173" s="75">
        <v>-26.716135928040213</v>
      </c>
      <c r="AE173" s="75">
        <v>2.375375</v>
      </c>
      <c r="AF173" s="75">
        <v>2.375375</v>
      </c>
      <c r="AG173" s="32">
        <f t="shared" si="128"/>
        <v>2.3009777396870598E-2</v>
      </c>
      <c r="AH173" s="32">
        <f t="shared" si="129"/>
        <v>0.53073405008612418</v>
      </c>
      <c r="AI173" s="33">
        <f t="shared" si="130"/>
        <v>3.7418721471898411E-2</v>
      </c>
      <c r="AJ173" s="34">
        <f t="shared" si="131"/>
        <v>0.37579135247871226</v>
      </c>
      <c r="AK173" s="16">
        <f t="shared" si="132"/>
        <v>3.1805913251113649E-2</v>
      </c>
      <c r="AL173" s="16">
        <f t="shared" si="133"/>
        <v>0.31942264960690542</v>
      </c>
      <c r="AM173" s="27">
        <f t="shared" si="134"/>
        <v>31.805913251113648</v>
      </c>
      <c r="AN173" s="27">
        <f t="shared" si="135"/>
        <v>319.4226496069054</v>
      </c>
      <c r="AO173" s="29" t="e">
        <f t="shared" si="136"/>
        <v>#VALUE!</v>
      </c>
      <c r="AP173" s="29" t="e">
        <f t="shared" si="137"/>
        <v>#VALUE!</v>
      </c>
      <c r="AQ173" s="27">
        <f t="shared" si="138"/>
        <v>10.042869924375498</v>
      </c>
      <c r="AR173" s="14">
        <f t="shared" si="139"/>
        <v>2346.30828232146</v>
      </c>
      <c r="AS173" s="25">
        <v>0.36620000000000003</v>
      </c>
      <c r="AT173" s="22">
        <f t="shared" si="140"/>
        <v>1.2151552641389904</v>
      </c>
      <c r="AU173" s="22">
        <f t="shared" si="141"/>
        <v>0.84895526413899036</v>
      </c>
      <c r="AV173" s="15"/>
      <c r="AW173" s="22"/>
      <c r="AX173" s="34">
        <f t="shared" si="142"/>
        <v>8489.5526413899042</v>
      </c>
      <c r="AY173" s="14">
        <f t="shared" si="143"/>
        <v>73.988702614597287</v>
      </c>
      <c r="AZ173" s="25">
        <v>1.0819000000000001</v>
      </c>
      <c r="BA173" s="22">
        <f t="shared" si="144"/>
        <v>1.1924501268391767</v>
      </c>
      <c r="BB173" s="38">
        <f t="shared" si="145"/>
        <v>0.11055012683917664</v>
      </c>
      <c r="BC173" s="58">
        <f t="shared" si="146"/>
        <v>0.36692590597442193</v>
      </c>
      <c r="BD173" s="32">
        <f t="shared" si="147"/>
        <v>0.4056370544605214</v>
      </c>
      <c r="BE173" s="38">
        <f t="shared" si="148"/>
        <v>1105.5012683917664</v>
      </c>
    </row>
    <row r="174" spans="1:57" ht="15">
      <c r="A174" s="138">
        <v>158</v>
      </c>
      <c r="B174" s="139">
        <v>2</v>
      </c>
      <c r="C174" s="140" t="s">
        <v>421</v>
      </c>
      <c r="D174" s="140" t="s">
        <v>424</v>
      </c>
      <c r="E174" s="140" t="s">
        <v>437</v>
      </c>
      <c r="F174" s="140" t="s">
        <v>480</v>
      </c>
      <c r="G174" s="140"/>
      <c r="H174" s="140" t="s">
        <v>482</v>
      </c>
      <c r="I174" s="140">
        <v>100</v>
      </c>
      <c r="J174" s="140">
        <v>10</v>
      </c>
      <c r="K174" s="140">
        <v>15</v>
      </c>
      <c r="L174" s="140" t="s">
        <v>451</v>
      </c>
      <c r="M174" s="140">
        <v>3</v>
      </c>
      <c r="Q174" s="108">
        <v>10</v>
      </c>
      <c r="R174" s="53">
        <v>8</v>
      </c>
      <c r="S174" s="53">
        <f t="shared" si="91"/>
        <v>2</v>
      </c>
      <c r="T174" s="80">
        <v>89</v>
      </c>
      <c r="U174" s="80" t="s">
        <v>358</v>
      </c>
      <c r="V174" s="81">
        <v>1.1817314999999999</v>
      </c>
      <c r="W174" s="81">
        <v>776.61954418216953</v>
      </c>
      <c r="X174" s="83">
        <v>0.50158965624999996</v>
      </c>
      <c r="Y174" s="83">
        <v>18.455801494886799</v>
      </c>
      <c r="Z174" s="154" t="s">
        <v>54</v>
      </c>
      <c r="AA174" s="75">
        <v>2.9111787500000004</v>
      </c>
      <c r="AB174" s="75">
        <v>7.1289713486518078</v>
      </c>
      <c r="AC174" s="75">
        <v>2.0592423593750002</v>
      </c>
      <c r="AD174" s="75">
        <v>-26.716135928040213</v>
      </c>
      <c r="AE174" s="75">
        <v>2.375375</v>
      </c>
      <c r="AF174" s="75">
        <v>2.375375</v>
      </c>
      <c r="AG174" s="32">
        <f t="shared" si="128"/>
        <v>2.3009777396870598E-2</v>
      </c>
      <c r="AH174" s="32">
        <f t="shared" si="129"/>
        <v>0.53073405008612418</v>
      </c>
      <c r="AI174" s="33">
        <f t="shared" si="130"/>
        <v>2.7191378757869984E-2</v>
      </c>
      <c r="AJ174" s="34">
        <f t="shared" si="131"/>
        <v>0.26621070974286931</v>
      </c>
      <c r="AK174" s="16">
        <f t="shared" si="132"/>
        <v>2.3112671944189485E-2</v>
      </c>
      <c r="AL174" s="16">
        <f t="shared" si="133"/>
        <v>0.22627910328143894</v>
      </c>
      <c r="AM174" s="27">
        <f t="shared" si="134"/>
        <v>23.112671944189486</v>
      </c>
      <c r="AN174" s="27">
        <f t="shared" si="135"/>
        <v>226.27910328143895</v>
      </c>
      <c r="AO174" s="29" t="e">
        <f t="shared" si="136"/>
        <v>#VALUE!</v>
      </c>
      <c r="AP174" s="29" t="e">
        <f t="shared" si="137"/>
        <v>#VALUE!</v>
      </c>
      <c r="AQ174" s="27">
        <f t="shared" si="138"/>
        <v>9.7902615425788255</v>
      </c>
      <c r="AR174" s="14">
        <f t="shared" si="139"/>
        <v>771.47057283351774</v>
      </c>
      <c r="AS174" s="25">
        <v>0.36620000000000003</v>
      </c>
      <c r="AT174" s="22">
        <f t="shared" si="140"/>
        <v>0.64697950005844873</v>
      </c>
      <c r="AU174" s="22">
        <f t="shared" si="141"/>
        <v>0.28077950005844871</v>
      </c>
      <c r="AV174" s="15"/>
      <c r="AW174" s="22"/>
      <c r="AX174" s="34">
        <f t="shared" si="142"/>
        <v>2807.7950005844873</v>
      </c>
      <c r="AY174" s="14">
        <f t="shared" si="143"/>
        <v>19.141937422927011</v>
      </c>
      <c r="AZ174" s="25">
        <v>1.0819000000000001</v>
      </c>
      <c r="BA174" s="22">
        <f t="shared" si="144"/>
        <v>1.1322432346547224</v>
      </c>
      <c r="BB174" s="38">
        <f t="shared" si="145"/>
        <v>5.0343234654722346E-2</v>
      </c>
      <c r="BC174" s="58">
        <f t="shared" si="146"/>
        <v>0.26217574234133906</v>
      </c>
      <c r="BD174" s="32">
        <f t="shared" si="147"/>
        <v>0.13198774917466058</v>
      </c>
      <c r="BE174" s="38">
        <f t="shared" si="148"/>
        <v>503.43234654722346</v>
      </c>
    </row>
    <row r="175" spans="1:57" ht="15">
      <c r="A175" s="138">
        <v>159</v>
      </c>
      <c r="B175" s="139">
        <v>2</v>
      </c>
      <c r="C175" s="140" t="s">
        <v>423</v>
      </c>
      <c r="D175" s="140" t="s">
        <v>414</v>
      </c>
      <c r="E175" s="140" t="s">
        <v>437</v>
      </c>
      <c r="F175" s="140" t="s">
        <v>480</v>
      </c>
      <c r="G175" s="140"/>
      <c r="H175" s="140" t="s">
        <v>482</v>
      </c>
      <c r="I175" s="140">
        <v>100</v>
      </c>
      <c r="J175" s="140">
        <v>10</v>
      </c>
      <c r="K175" s="140">
        <v>15</v>
      </c>
      <c r="L175" s="140" t="s">
        <v>452</v>
      </c>
      <c r="M175" s="140">
        <v>3</v>
      </c>
      <c r="Q175" s="108">
        <v>10</v>
      </c>
      <c r="R175" s="53">
        <v>8</v>
      </c>
      <c r="S175" s="53">
        <f t="shared" si="91"/>
        <v>2</v>
      </c>
      <c r="T175" s="82">
        <v>90</v>
      </c>
      <c r="U175" s="82" t="s">
        <v>359</v>
      </c>
      <c r="V175" s="83">
        <v>0.54489656249999996</v>
      </c>
      <c r="W175" s="83">
        <v>3400.8175805222695</v>
      </c>
      <c r="X175" s="81">
        <v>0.29881228124999998</v>
      </c>
      <c r="Y175" s="81">
        <v>161.43237947087044</v>
      </c>
      <c r="Z175" s="154" t="s">
        <v>54</v>
      </c>
      <c r="AA175" s="75">
        <v>2.9111787500000004</v>
      </c>
      <c r="AB175" s="75">
        <v>7.1289713486518078</v>
      </c>
      <c r="AC175" s="75">
        <v>2.0592423593750002</v>
      </c>
      <c r="AD175" s="75">
        <v>-26.716135928040213</v>
      </c>
      <c r="AE175" s="75">
        <v>2.375375</v>
      </c>
      <c r="AF175" s="75">
        <v>2.375375</v>
      </c>
      <c r="AG175" s="32">
        <f t="shared" si="128"/>
        <v>2.3009777396870598E-2</v>
      </c>
      <c r="AH175" s="32">
        <f t="shared" si="129"/>
        <v>0.53073405008612418</v>
      </c>
      <c r="AI175" s="33">
        <f t="shared" si="130"/>
        <v>1.2537948607444985E-2</v>
      </c>
      <c r="AJ175" s="34">
        <f t="shared" si="131"/>
        <v>0.15858985224328651</v>
      </c>
      <c r="AK175" s="16">
        <f t="shared" si="132"/>
        <v>1.0657256316328237E-2</v>
      </c>
      <c r="AL175" s="16">
        <f t="shared" si="133"/>
        <v>0.13480137440679354</v>
      </c>
      <c r="AM175" s="27">
        <f t="shared" si="134"/>
        <v>10.657256316328237</v>
      </c>
      <c r="AN175" s="27">
        <f t="shared" si="135"/>
        <v>134.80137440679354</v>
      </c>
      <c r="AO175" s="29" t="e">
        <f t="shared" si="136"/>
        <v>#VALUE!</v>
      </c>
      <c r="AP175" s="29" t="e">
        <f t="shared" si="137"/>
        <v>#VALUE!</v>
      </c>
      <c r="AQ175" s="27">
        <f t="shared" si="138"/>
        <v>12.648787868624416</v>
      </c>
      <c r="AR175" s="14">
        <f t="shared" si="139"/>
        <v>3395.6686091736178</v>
      </c>
      <c r="AS175" s="25">
        <v>0.36620000000000003</v>
      </c>
      <c r="AT175" s="22">
        <f t="shared" si="140"/>
        <v>1.5901533235435044</v>
      </c>
      <c r="AU175" s="22">
        <f t="shared" si="141"/>
        <v>1.2239533235435043</v>
      </c>
      <c r="AV175" s="15"/>
      <c r="AW175" s="22"/>
      <c r="AX175" s="34">
        <f t="shared" si="142"/>
        <v>12239.533235435045</v>
      </c>
      <c r="AY175" s="14">
        <f t="shared" si="143"/>
        <v>162.11851539891066</v>
      </c>
      <c r="AZ175" s="25">
        <v>1.0819000000000001</v>
      </c>
      <c r="BA175" s="22">
        <f t="shared" si="144"/>
        <v>1.2890393642059204</v>
      </c>
      <c r="BB175" s="38">
        <f t="shared" si="145"/>
        <v>0.20713936420592027</v>
      </c>
      <c r="BC175" s="58">
        <f t="shared" si="146"/>
        <v>0.15929897367162413</v>
      </c>
      <c r="BD175" s="32">
        <f t="shared" si="147"/>
        <v>0.32997088124995855</v>
      </c>
      <c r="BE175" s="38">
        <f t="shared" si="148"/>
        <v>2071.3936420592026</v>
      </c>
    </row>
    <row r="176" spans="1:57" ht="15">
      <c r="A176" s="138">
        <v>160</v>
      </c>
      <c r="B176" s="139">
        <v>2</v>
      </c>
      <c r="C176" s="140" t="s">
        <v>425</v>
      </c>
      <c r="D176" s="140" t="s">
        <v>420</v>
      </c>
      <c r="E176" s="140" t="s">
        <v>437</v>
      </c>
      <c r="F176" s="140" t="s">
        <v>480</v>
      </c>
      <c r="G176" s="140"/>
      <c r="H176" s="140" t="s">
        <v>482</v>
      </c>
      <c r="I176" s="140">
        <v>100</v>
      </c>
      <c r="J176" s="140">
        <v>10</v>
      </c>
      <c r="K176" s="140">
        <v>15</v>
      </c>
      <c r="L176" s="140" t="s">
        <v>453</v>
      </c>
      <c r="M176" s="140">
        <v>3</v>
      </c>
      <c r="Q176" s="108">
        <v>10</v>
      </c>
      <c r="R176" s="53">
        <v>8</v>
      </c>
      <c r="S176" s="53">
        <f t="shared" si="91"/>
        <v>2</v>
      </c>
      <c r="T176" s="80">
        <v>91</v>
      </c>
      <c r="U176" s="80" t="s">
        <v>360</v>
      </c>
      <c r="V176" s="81">
        <v>1.4272646250000001</v>
      </c>
      <c r="W176" s="81">
        <v>2004.6529135262306</v>
      </c>
      <c r="X176" s="83">
        <v>0.81350187500000004</v>
      </c>
      <c r="Y176" s="83">
        <v>56.949327744146487</v>
      </c>
      <c r="Z176" s="154" t="s">
        <v>54</v>
      </c>
      <c r="AA176" s="75">
        <v>2.9111787500000004</v>
      </c>
      <c r="AB176" s="75">
        <v>7.1289713486518078</v>
      </c>
      <c r="AC176" s="75">
        <v>2.0592423593750002</v>
      </c>
      <c r="AD176" s="75">
        <v>-26.716135928040213</v>
      </c>
      <c r="AE176" s="75">
        <v>2.375375</v>
      </c>
      <c r="AF176" s="75">
        <v>2.375375</v>
      </c>
      <c r="AG176" s="32">
        <f t="shared" si="128"/>
        <v>2.3009777396870598E-2</v>
      </c>
      <c r="AH176" s="32">
        <f t="shared" si="129"/>
        <v>0.53073405008612418</v>
      </c>
      <c r="AI176" s="33">
        <f t="shared" si="130"/>
        <v>3.2841041307677989E-2</v>
      </c>
      <c r="AJ176" s="34">
        <f t="shared" si="131"/>
        <v>0.43175314487140593</v>
      </c>
      <c r="AK176" s="16">
        <f t="shared" si="132"/>
        <v>2.7914885111526292E-2</v>
      </c>
      <c r="AL176" s="16">
        <f t="shared" si="133"/>
        <v>0.36699017314069504</v>
      </c>
      <c r="AM176" s="27">
        <f t="shared" si="134"/>
        <v>27.914885111526292</v>
      </c>
      <c r="AN176" s="27">
        <f t="shared" si="135"/>
        <v>366.99017314069505</v>
      </c>
      <c r="AO176" s="29" t="e">
        <f t="shared" si="136"/>
        <v>#VALUE!</v>
      </c>
      <c r="AP176" s="29" t="e">
        <f t="shared" si="137"/>
        <v>#VALUE!</v>
      </c>
      <c r="AQ176" s="27">
        <f t="shared" si="138"/>
        <v>13.146755635012866</v>
      </c>
      <c r="AR176" s="14">
        <f t="shared" si="139"/>
        <v>1999.5039421775787</v>
      </c>
      <c r="AS176" s="25">
        <v>0.36620000000000003</v>
      </c>
      <c r="AT176" s="22">
        <f t="shared" si="140"/>
        <v>1.0905925828457597</v>
      </c>
      <c r="AU176" s="22">
        <f t="shared" si="141"/>
        <v>0.72439258284575958</v>
      </c>
      <c r="AV176" s="15"/>
      <c r="AW176" s="22"/>
      <c r="AX176" s="34">
        <f t="shared" si="142"/>
        <v>7243.9258284575963</v>
      </c>
      <c r="AY176" s="14">
        <f t="shared" si="143"/>
        <v>57.635463672186702</v>
      </c>
      <c r="AZ176" s="25">
        <v>1.0819000000000001</v>
      </c>
      <c r="BA176" s="22">
        <f t="shared" si="144"/>
        <v>1.1745063737003836</v>
      </c>
      <c r="BB176" s="38">
        <f t="shared" si="145"/>
        <v>9.2606373700383493E-2</v>
      </c>
      <c r="BC176" s="58">
        <f t="shared" si="146"/>
        <v>0.42042081861575709</v>
      </c>
      <c r="BD176" s="32">
        <f t="shared" si="147"/>
        <v>0.38933647440151942</v>
      </c>
      <c r="BE176" s="38">
        <f t="shared" si="148"/>
        <v>926.06373700383494</v>
      </c>
    </row>
    <row r="177" spans="1:57" ht="15">
      <c r="A177" s="138">
        <v>161</v>
      </c>
      <c r="B177" s="139">
        <v>3</v>
      </c>
      <c r="C177" s="140" t="s">
        <v>408</v>
      </c>
      <c r="D177" s="140" t="s">
        <v>418</v>
      </c>
      <c r="E177" s="140" t="s">
        <v>437</v>
      </c>
      <c r="F177" s="140" t="s">
        <v>480</v>
      </c>
      <c r="G177" s="140"/>
      <c r="H177" s="140" t="s">
        <v>483</v>
      </c>
      <c r="I177" s="140">
        <v>50</v>
      </c>
      <c r="J177" s="140">
        <v>10</v>
      </c>
      <c r="K177" s="140">
        <v>15</v>
      </c>
      <c r="L177" s="140" t="s">
        <v>454</v>
      </c>
      <c r="M177" s="140">
        <v>3</v>
      </c>
      <c r="Q177" s="108">
        <v>10</v>
      </c>
      <c r="R177" s="53">
        <v>8</v>
      </c>
      <c r="S177" s="53">
        <f t="shared" si="91"/>
        <v>2</v>
      </c>
      <c r="T177" s="82">
        <v>92</v>
      </c>
      <c r="U177" s="82" t="s">
        <v>361</v>
      </c>
      <c r="V177" s="83">
        <v>2.5942177499999999</v>
      </c>
      <c r="W177" s="83">
        <v>430.78063830501804</v>
      </c>
      <c r="X177" s="81">
        <v>1.208936875</v>
      </c>
      <c r="Y177" s="81">
        <v>-8.3298846358997665</v>
      </c>
      <c r="Z177" s="154" t="s">
        <v>54</v>
      </c>
      <c r="AA177" s="75">
        <v>2.9111787500000004</v>
      </c>
      <c r="AB177" s="75">
        <v>7.1289713486518078</v>
      </c>
      <c r="AC177" s="75">
        <v>2.0592423593750002</v>
      </c>
      <c r="AD177" s="75">
        <v>-26.716135928040213</v>
      </c>
      <c r="AE177" s="75">
        <v>2.375375</v>
      </c>
      <c r="AF177" s="75">
        <v>2.375375</v>
      </c>
      <c r="AG177" s="32">
        <f t="shared" si="128"/>
        <v>2.3009777396870598E-2</v>
      </c>
      <c r="AH177" s="32">
        <f t="shared" si="129"/>
        <v>0.53073405008612418</v>
      </c>
      <c r="AI177" s="33">
        <f t="shared" si="130"/>
        <v>5.9692372946510495E-2</v>
      </c>
      <c r="AJ177" s="34">
        <f t="shared" si="131"/>
        <v>0.64162396396721244</v>
      </c>
      <c r="AK177" s="16">
        <f t="shared" si="132"/>
        <v>5.0738517004533919E-2</v>
      </c>
      <c r="AL177" s="16">
        <f t="shared" si="133"/>
        <v>0.54538036937213052</v>
      </c>
      <c r="AM177" s="27">
        <f t="shared" si="134"/>
        <v>50.738517004533918</v>
      </c>
      <c r="AN177" s="27">
        <f t="shared" si="135"/>
        <v>545.38036937213053</v>
      </c>
      <c r="AO177" s="29" t="e">
        <f t="shared" si="136"/>
        <v>#VALUE!</v>
      </c>
      <c r="AP177" s="29" t="e">
        <f t="shared" si="137"/>
        <v>#VALUE!</v>
      </c>
      <c r="AQ177" s="27">
        <f t="shared" si="138"/>
        <v>10.748843316082654</v>
      </c>
      <c r="AR177" s="14">
        <f t="shared" si="139"/>
        <v>425.63166695636625</v>
      </c>
      <c r="AS177" s="25">
        <v>0.36620000000000003</v>
      </c>
      <c r="AT177" s="22">
        <f t="shared" si="140"/>
        <v>0.52133010674247249</v>
      </c>
      <c r="AU177" s="22">
        <f t="shared" si="141"/>
        <v>0.15513010674247246</v>
      </c>
      <c r="AV177" s="15"/>
      <c r="AW177" s="22"/>
      <c r="AX177" s="34">
        <f t="shared" si="142"/>
        <v>1551.3010674247246</v>
      </c>
      <c r="AY177" s="14">
        <f t="shared" si="143"/>
        <v>-7.6437487078595545</v>
      </c>
      <c r="AZ177" s="25">
        <v>1.0819000000000001</v>
      </c>
      <c r="BA177" s="22">
        <f t="shared" si="144"/>
        <v>1.1028131321237635</v>
      </c>
      <c r="BB177" s="38">
        <f t="shared" si="145"/>
        <v>2.0913132123763445E-2</v>
      </c>
      <c r="BC177" s="58">
        <f t="shared" si="146"/>
        <v>0.62104021719959179</v>
      </c>
      <c r="BD177" s="32">
        <f t="shared" si="147"/>
        <v>0.12987896116465811</v>
      </c>
      <c r="BE177" s="38">
        <f t="shared" si="148"/>
        <v>209.13132123763444</v>
      </c>
    </row>
    <row r="178" spans="1:57" ht="15">
      <c r="A178" s="138">
        <v>162</v>
      </c>
      <c r="B178" s="139">
        <v>3</v>
      </c>
      <c r="C178" s="140" t="s">
        <v>413</v>
      </c>
      <c r="D178" s="140" t="s">
        <v>416</v>
      </c>
      <c r="E178" s="140" t="s">
        <v>437</v>
      </c>
      <c r="F178" s="140" t="s">
        <v>480</v>
      </c>
      <c r="G178" s="140"/>
      <c r="H178" s="140" t="s">
        <v>483</v>
      </c>
      <c r="I178" s="140">
        <v>50</v>
      </c>
      <c r="J178" s="140">
        <v>10</v>
      </c>
      <c r="K178" s="140">
        <v>15</v>
      </c>
      <c r="L178" s="140" t="s">
        <v>455</v>
      </c>
      <c r="M178" s="140">
        <v>3</v>
      </c>
      <c r="Q178" s="108">
        <v>10</v>
      </c>
      <c r="R178" s="53">
        <v>8</v>
      </c>
      <c r="S178" s="53">
        <f t="shared" si="91"/>
        <v>2</v>
      </c>
      <c r="T178" s="80">
        <v>93</v>
      </c>
      <c r="U178" s="80" t="s">
        <v>362</v>
      </c>
      <c r="V178" s="81">
        <v>1.2364833749999999</v>
      </c>
      <c r="W178" s="81">
        <v>3599.1053261193329</v>
      </c>
      <c r="X178" s="83">
        <v>0.65517499999999995</v>
      </c>
      <c r="Y178" s="83">
        <v>148.10941166264863</v>
      </c>
      <c r="Z178" s="154" t="s">
        <v>54</v>
      </c>
      <c r="AA178" s="75">
        <v>2.9111787500000004</v>
      </c>
      <c r="AB178" s="75">
        <v>7.1289713486518078</v>
      </c>
      <c r="AC178" s="75">
        <v>2.0592423593750002</v>
      </c>
      <c r="AD178" s="75">
        <v>-26.716135928040213</v>
      </c>
      <c r="AE178" s="75">
        <v>2.375375</v>
      </c>
      <c r="AF178" s="75">
        <v>2.375375</v>
      </c>
      <c r="AG178" s="32">
        <f t="shared" si="128"/>
        <v>2.3009777396870598E-2</v>
      </c>
      <c r="AH178" s="32">
        <f t="shared" si="129"/>
        <v>0.53073405008612418</v>
      </c>
      <c r="AI178" s="33">
        <f t="shared" si="130"/>
        <v>2.845120721368127E-2</v>
      </c>
      <c r="AJ178" s="34">
        <f t="shared" si="131"/>
        <v>0.34772368126517639</v>
      </c>
      <c r="AK178" s="16">
        <f t="shared" si="132"/>
        <v>2.4183526131629079E-2</v>
      </c>
      <c r="AL178" s="16">
        <f t="shared" si="133"/>
        <v>0.29556512907539989</v>
      </c>
      <c r="AM178" s="27">
        <f t="shared" si="134"/>
        <v>24.18352613162908</v>
      </c>
      <c r="AN178" s="27">
        <f t="shared" si="135"/>
        <v>295.56512907539991</v>
      </c>
      <c r="AO178" s="29" t="e">
        <f t="shared" si="136"/>
        <v>#VALUE!</v>
      </c>
      <c r="AP178" s="29" t="e">
        <f t="shared" si="137"/>
        <v>#VALUE!</v>
      </c>
      <c r="AQ178" s="27">
        <f t="shared" si="138"/>
        <v>12.221754903179196</v>
      </c>
      <c r="AR178" s="14">
        <f t="shared" si="139"/>
        <v>3593.9563547706812</v>
      </c>
      <c r="AS178" s="25">
        <v>0.36620000000000003</v>
      </c>
      <c r="AT178" s="22">
        <f t="shared" si="140"/>
        <v>1.6606935864435699</v>
      </c>
      <c r="AU178" s="22">
        <f t="shared" si="141"/>
        <v>1.2944935864435698</v>
      </c>
      <c r="AV178" s="15"/>
      <c r="AW178" s="22"/>
      <c r="AX178" s="34">
        <f t="shared" si="142"/>
        <v>12944.935864435698</v>
      </c>
      <c r="AY178" s="14">
        <f t="shared" si="143"/>
        <v>148.79554759068884</v>
      </c>
      <c r="AZ178" s="25">
        <v>1.0819000000000001</v>
      </c>
      <c r="BA178" s="22">
        <f t="shared" si="144"/>
        <v>1.2744496662451141</v>
      </c>
      <c r="BB178" s="38">
        <f t="shared" si="145"/>
        <v>0.19254966624511405</v>
      </c>
      <c r="BC178" s="58">
        <f t="shared" si="146"/>
        <v>0.3400954998094855</v>
      </c>
      <c r="BD178" s="32">
        <f t="shared" si="147"/>
        <v>0.65485274979781671</v>
      </c>
      <c r="BE178" s="38">
        <f t="shared" si="148"/>
        <v>1925.4966624511405</v>
      </c>
    </row>
    <row r="179" spans="1:57" ht="15">
      <c r="A179" s="135"/>
      <c r="B179" s="136"/>
      <c r="C179" s="135"/>
      <c r="D179" s="135" t="s">
        <v>116</v>
      </c>
      <c r="E179" s="135"/>
      <c r="F179" s="135" t="s">
        <v>55</v>
      </c>
      <c r="G179" s="135"/>
      <c r="H179" s="135"/>
      <c r="I179" s="135"/>
      <c r="J179" s="135"/>
      <c r="K179" s="135"/>
      <c r="L179" s="135" t="s">
        <v>133</v>
      </c>
      <c r="M179" s="137">
        <v>1</v>
      </c>
      <c r="Q179" s="108">
        <v>10</v>
      </c>
      <c r="R179" s="53">
        <v>8</v>
      </c>
      <c r="S179" s="53">
        <f t="shared" si="91"/>
        <v>2</v>
      </c>
      <c r="T179" s="82">
        <v>94</v>
      </c>
      <c r="U179" s="82" t="s">
        <v>363</v>
      </c>
      <c r="V179" s="83">
        <v>1.8328692499999999</v>
      </c>
      <c r="W179" s="83">
        <v>8.4587230021404167</v>
      </c>
      <c r="X179" s="81">
        <v>1.4208183750000001</v>
      </c>
      <c r="Y179" s="81">
        <v>-25.782149570275543</v>
      </c>
      <c r="Z179" s="154">
        <v>2.073</v>
      </c>
      <c r="AA179" s="75">
        <v>2.9111787500000004</v>
      </c>
      <c r="AB179" s="75">
        <v>7.1289713486518078</v>
      </c>
      <c r="AC179" s="75">
        <v>2.0592423593750002</v>
      </c>
      <c r="AD179" s="75">
        <v>-26.716135928040213</v>
      </c>
      <c r="AE179" s="75">
        <v>2.375375</v>
      </c>
      <c r="AF179" s="75">
        <v>2.375375</v>
      </c>
      <c r="AG179" s="32">
        <f t="shared" si="128"/>
        <v>2.3009777396870598E-2</v>
      </c>
      <c r="AH179" s="32">
        <f t="shared" si="129"/>
        <v>0.53073405008612418</v>
      </c>
      <c r="AI179" s="33">
        <f t="shared" si="130"/>
        <v>4.2173913440069162E-2</v>
      </c>
      <c r="AJ179" s="34">
        <f t="shared" si="131"/>
        <v>0.75407669060053562</v>
      </c>
      <c r="AK179" s="16" t="e">
        <f t="shared" si="132"/>
        <v>#DIV/0!</v>
      </c>
      <c r="AL179" s="16" t="e">
        <f t="shared" si="133"/>
        <v>#DIV/0!</v>
      </c>
      <c r="AM179" s="27" t="e">
        <f t="shared" si="134"/>
        <v>#DIV/0!</v>
      </c>
      <c r="AN179" s="27" t="e">
        <f t="shared" si="135"/>
        <v>#DIV/0!</v>
      </c>
      <c r="AO179" s="29">
        <f t="shared" si="136"/>
        <v>2.0344386608812912</v>
      </c>
      <c r="AP179" s="29">
        <f t="shared" si="137"/>
        <v>36.376106637748947</v>
      </c>
      <c r="AQ179" s="27">
        <f t="shared" si="138"/>
        <v>17.880168784244059</v>
      </c>
      <c r="AR179" s="14">
        <f t="shared" si="139"/>
        <v>3.3097516534886093</v>
      </c>
      <c r="AS179" s="25">
        <v>0.36620000000000003</v>
      </c>
      <c r="AT179" s="22">
        <f t="shared" si="140"/>
        <v>0.36746140580683712</v>
      </c>
      <c r="AU179" s="22">
        <f t="shared" si="141"/>
        <v>1.2614058068370904E-3</v>
      </c>
      <c r="AV179" s="15"/>
      <c r="AW179" s="22"/>
      <c r="AX179" s="34">
        <f t="shared" si="142"/>
        <v>12.614058068370904</v>
      </c>
      <c r="AY179" s="14">
        <f t="shared" si="143"/>
        <v>-25.096013642235331</v>
      </c>
      <c r="AZ179" s="25">
        <v>1.0819000000000001</v>
      </c>
      <c r="BA179" s="22">
        <f t="shared" si="144"/>
        <v>1.0836284638803035</v>
      </c>
      <c r="BB179" s="38">
        <f t="shared" si="145"/>
        <v>1.7284638803034547E-3</v>
      </c>
      <c r="BC179" s="58" t="e">
        <f t="shared" si="146"/>
        <v>#DIV/0!</v>
      </c>
      <c r="BD179" s="32" t="e">
        <f t="shared" si="147"/>
        <v>#DIV/0!</v>
      </c>
      <c r="BE179" s="38">
        <f t="shared" si="148"/>
        <v>17.284638803034547</v>
      </c>
    </row>
    <row r="180" spans="1:57" ht="15">
      <c r="A180" s="138">
        <v>163</v>
      </c>
      <c r="B180" s="139">
        <v>3</v>
      </c>
      <c r="C180" s="140" t="s">
        <v>415</v>
      </c>
      <c r="D180" s="140" t="s">
        <v>426</v>
      </c>
      <c r="E180" s="140" t="s">
        <v>437</v>
      </c>
      <c r="F180" s="140" t="s">
        <v>480</v>
      </c>
      <c r="G180" s="140"/>
      <c r="H180" s="140" t="s">
        <v>483</v>
      </c>
      <c r="I180" s="140">
        <v>50</v>
      </c>
      <c r="J180" s="140">
        <v>10</v>
      </c>
      <c r="K180" s="140">
        <v>15</v>
      </c>
      <c r="L180" s="140" t="s">
        <v>456</v>
      </c>
      <c r="M180" s="140">
        <v>3</v>
      </c>
      <c r="Q180" s="108">
        <v>10</v>
      </c>
      <c r="R180" s="53">
        <v>8</v>
      </c>
      <c r="S180" s="53">
        <f t="shared" si="91"/>
        <v>2</v>
      </c>
      <c r="T180" s="80">
        <v>95</v>
      </c>
      <c r="U180" s="80" t="s">
        <v>364</v>
      </c>
      <c r="V180" s="81">
        <v>1.670666</v>
      </c>
      <c r="W180" s="81">
        <v>721.44276714058572</v>
      </c>
      <c r="X180" s="83">
        <v>1.08153875</v>
      </c>
      <c r="Y180" s="83">
        <v>-1.1770561817182525</v>
      </c>
      <c r="Z180" s="154" t="s">
        <v>54</v>
      </c>
      <c r="AA180" s="75">
        <v>2.9111787500000004</v>
      </c>
      <c r="AB180" s="75">
        <v>7.1289713486518078</v>
      </c>
      <c r="AC180" s="75">
        <v>2.0592423593750002</v>
      </c>
      <c r="AD180" s="75">
        <v>-26.716135928040213</v>
      </c>
      <c r="AE180" s="75">
        <v>2.375375</v>
      </c>
      <c r="AF180" s="75">
        <v>2.375375</v>
      </c>
      <c r="AG180" s="32">
        <f t="shared" si="128"/>
        <v>2.3009777396870598E-2</v>
      </c>
      <c r="AH180" s="32">
        <f t="shared" si="129"/>
        <v>0.53073405008612418</v>
      </c>
      <c r="AI180" s="33">
        <f t="shared" si="130"/>
        <v>3.8441652764520211E-2</v>
      </c>
      <c r="AJ180" s="34">
        <f t="shared" si="131"/>
        <v>0.57400944111258412</v>
      </c>
      <c r="AK180" s="16">
        <f t="shared" si="132"/>
        <v>3.2675404849842181E-2</v>
      </c>
      <c r="AL180" s="16">
        <f t="shared" si="133"/>
        <v>0.48790802494569646</v>
      </c>
      <c r="AM180" s="27">
        <f t="shared" si="134"/>
        <v>32.675404849842181</v>
      </c>
      <c r="AN180" s="27">
        <f t="shared" si="135"/>
        <v>487.90802494569647</v>
      </c>
      <c r="AO180" s="29" t="e">
        <f t="shared" si="136"/>
        <v>#VALUE!</v>
      </c>
      <c r="AP180" s="29" t="e">
        <f t="shared" si="137"/>
        <v>#VALUE!</v>
      </c>
      <c r="AQ180" s="27">
        <f t="shared" si="138"/>
        <v>14.931965715125733</v>
      </c>
      <c r="AR180" s="14">
        <f t="shared" si="139"/>
        <v>716.29379579193392</v>
      </c>
      <c r="AS180" s="25">
        <v>0.36620000000000003</v>
      </c>
      <c r="AT180" s="22">
        <f t="shared" si="140"/>
        <v>0.62695408582225109</v>
      </c>
      <c r="AU180" s="22">
        <f t="shared" si="141"/>
        <v>0.26075408582225107</v>
      </c>
      <c r="AV180" s="15"/>
      <c r="AW180" s="22"/>
      <c r="AX180" s="34">
        <f t="shared" si="142"/>
        <v>2607.5408582225105</v>
      </c>
      <c r="AY180" s="14">
        <f t="shared" si="143"/>
        <v>-0.4909202536780406</v>
      </c>
      <c r="AZ180" s="25">
        <v>1.0819000000000001</v>
      </c>
      <c r="BA180" s="22">
        <f t="shared" si="144"/>
        <v>1.1106738379933074</v>
      </c>
      <c r="BB180" s="38">
        <f t="shared" si="145"/>
        <v>2.877383799330735E-2</v>
      </c>
      <c r="BC180" s="58">
        <f t="shared" si="146"/>
        <v>0.55640624393417981</v>
      </c>
      <c r="BD180" s="32">
        <f t="shared" si="147"/>
        <v>0.1600994312142674</v>
      </c>
      <c r="BE180" s="38">
        <f t="shared" si="148"/>
        <v>287.73837993307347</v>
      </c>
    </row>
    <row r="181" spans="1:57" ht="15">
      <c r="A181" s="138">
        <v>164</v>
      </c>
      <c r="B181" s="139">
        <v>3</v>
      </c>
      <c r="C181" s="140" t="s">
        <v>417</v>
      </c>
      <c r="D181" s="140" t="s">
        <v>420</v>
      </c>
      <c r="E181" s="140" t="s">
        <v>437</v>
      </c>
      <c r="F181" s="140" t="s">
        <v>480</v>
      </c>
      <c r="G181" s="140"/>
      <c r="H181" s="140" t="s">
        <v>483</v>
      </c>
      <c r="I181" s="140">
        <v>50</v>
      </c>
      <c r="J181" s="140">
        <v>10</v>
      </c>
      <c r="K181" s="140">
        <v>15</v>
      </c>
      <c r="L181" s="140" t="s">
        <v>457</v>
      </c>
      <c r="M181" s="140">
        <v>3</v>
      </c>
      <c r="Q181" s="108">
        <v>10</v>
      </c>
      <c r="R181" s="53">
        <v>8</v>
      </c>
      <c r="S181" s="53">
        <f t="shared" si="91"/>
        <v>2</v>
      </c>
      <c r="T181" s="82">
        <v>96</v>
      </c>
      <c r="U181" s="82" t="s">
        <v>365</v>
      </c>
      <c r="V181" s="83">
        <v>4.7670320000000004</v>
      </c>
      <c r="W181" s="83">
        <v>708.61354447268729</v>
      </c>
      <c r="X181" s="81">
        <v>2.094391125</v>
      </c>
      <c r="Y181" s="81">
        <v>0.4968136537177818</v>
      </c>
      <c r="Z181" s="154" t="s">
        <v>54</v>
      </c>
      <c r="AA181" s="75">
        <v>2.9111787500000004</v>
      </c>
      <c r="AB181" s="75">
        <v>7.1289713486518078</v>
      </c>
      <c r="AC181" s="75">
        <v>2.0592423593750002</v>
      </c>
      <c r="AD181" s="75">
        <v>-26.716135928040213</v>
      </c>
      <c r="AE181" s="75">
        <v>2.375375</v>
      </c>
      <c r="AF181" s="75">
        <v>2.375375</v>
      </c>
      <c r="AG181" s="32">
        <f t="shared" si="128"/>
        <v>2.3009777396870598E-2</v>
      </c>
      <c r="AH181" s="32">
        <f t="shared" si="129"/>
        <v>0.53073405008612418</v>
      </c>
      <c r="AI181" s="33">
        <f t="shared" si="130"/>
        <v>0.10968834516375885</v>
      </c>
      <c r="AJ181" s="34">
        <f t="shared" si="131"/>
        <v>1.1115646842356839</v>
      </c>
      <c r="AK181" s="16">
        <f t="shared" si="132"/>
        <v>9.3235093389195015E-2</v>
      </c>
      <c r="AL181" s="16">
        <f t="shared" si="133"/>
        <v>0.94482998160033138</v>
      </c>
      <c r="AM181" s="27">
        <f t="shared" si="134"/>
        <v>93.235093389195015</v>
      </c>
      <c r="AN181" s="27">
        <f t="shared" si="135"/>
        <v>944.82998160033139</v>
      </c>
      <c r="AO181" s="29" t="e">
        <f t="shared" si="136"/>
        <v>#VALUE!</v>
      </c>
      <c r="AP181" s="29" t="e">
        <f t="shared" si="137"/>
        <v>#VALUE!</v>
      </c>
      <c r="AQ181" s="27">
        <f t="shared" si="138"/>
        <v>10.133844963894543</v>
      </c>
      <c r="AR181" s="14">
        <f t="shared" si="139"/>
        <v>703.4645731240355</v>
      </c>
      <c r="AS181" s="25">
        <v>0.36620000000000003</v>
      </c>
      <c r="AT181" s="22">
        <f t="shared" si="140"/>
        <v>0.62229679452271702</v>
      </c>
      <c r="AU181" s="22">
        <f t="shared" si="141"/>
        <v>0.256096794522717</v>
      </c>
      <c r="AV181" s="15"/>
      <c r="AW181" s="22"/>
      <c r="AX181" s="34">
        <f t="shared" si="142"/>
        <v>2560.9679452271703</v>
      </c>
      <c r="AY181" s="14">
        <f t="shared" si="143"/>
        <v>1.1829495817579938</v>
      </c>
      <c r="AZ181" s="25">
        <v>1.0819000000000001</v>
      </c>
      <c r="BA181" s="22">
        <f t="shared" si="144"/>
        <v>1.1125131814054003</v>
      </c>
      <c r="BB181" s="38">
        <f t="shared" si="145"/>
        <v>3.0613181405400258E-2</v>
      </c>
      <c r="BC181" s="58">
        <f t="shared" si="146"/>
        <v>1.0702652456075488</v>
      </c>
      <c r="BD181" s="32">
        <f t="shared" si="147"/>
        <v>0.32764224115679152</v>
      </c>
      <c r="BE181" s="38">
        <f t="shared" si="148"/>
        <v>306.13181405400258</v>
      </c>
    </row>
    <row r="182" spans="1:57" ht="15">
      <c r="A182" s="138">
        <v>165</v>
      </c>
      <c r="B182" s="139">
        <v>3</v>
      </c>
      <c r="C182" s="140" t="s">
        <v>419</v>
      </c>
      <c r="D182" s="140" t="s">
        <v>422</v>
      </c>
      <c r="E182" s="140" t="s">
        <v>437</v>
      </c>
      <c r="F182" s="140" t="s">
        <v>480</v>
      </c>
      <c r="G182" s="140"/>
      <c r="H182" s="140" t="s">
        <v>483</v>
      </c>
      <c r="I182" s="140">
        <v>50</v>
      </c>
      <c r="J182" s="140">
        <v>10</v>
      </c>
      <c r="K182" s="140">
        <v>15</v>
      </c>
      <c r="L182" s="140" t="s">
        <v>458</v>
      </c>
      <c r="M182" s="140">
        <v>3</v>
      </c>
      <c r="Q182" s="108">
        <v>10</v>
      </c>
      <c r="R182" s="53">
        <v>8</v>
      </c>
      <c r="S182" s="53">
        <f t="shared" si="91"/>
        <v>2</v>
      </c>
      <c r="T182" s="80">
        <v>97</v>
      </c>
      <c r="U182" s="80" t="s">
        <v>366</v>
      </c>
      <c r="V182" s="81">
        <v>2.6004999999999998</v>
      </c>
      <c r="W182" s="81">
        <v>1988.1577616420616</v>
      </c>
      <c r="X182" s="83">
        <v>1.38263475</v>
      </c>
      <c r="Y182" s="83">
        <v>34.665813444253402</v>
      </c>
      <c r="Z182" s="154" t="s">
        <v>54</v>
      </c>
      <c r="AA182" s="75">
        <v>2.9111787500000004</v>
      </c>
      <c r="AB182" s="75">
        <v>7.1289713486518078</v>
      </c>
      <c r="AC182" s="75">
        <v>2.0592423593750002</v>
      </c>
      <c r="AD182" s="75">
        <v>-26.716135928040213</v>
      </c>
      <c r="AE182" s="75">
        <v>2.375375</v>
      </c>
      <c r="AF182" s="75">
        <v>2.375375</v>
      </c>
      <c r="AG182" s="32">
        <f t="shared" si="128"/>
        <v>2.3009777396870598E-2</v>
      </c>
      <c r="AH182" s="32">
        <f t="shared" si="129"/>
        <v>0.53073405008612418</v>
      </c>
      <c r="AI182" s="33">
        <f t="shared" si="130"/>
        <v>5.9836926120561983E-2</v>
      </c>
      <c r="AJ182" s="34">
        <f t="shared" si="131"/>
        <v>0.73381134065731579</v>
      </c>
      <c r="AK182" s="16">
        <f t="shared" si="132"/>
        <v>5.0861387202477688E-2</v>
      </c>
      <c r="AL182" s="16">
        <f t="shared" si="133"/>
        <v>0.62373963955871847</v>
      </c>
      <c r="AM182" s="27">
        <f t="shared" si="134"/>
        <v>50.861387202477687</v>
      </c>
      <c r="AN182" s="27">
        <f t="shared" si="135"/>
        <v>623.73963955871852</v>
      </c>
      <c r="AO182" s="29" t="e">
        <f t="shared" si="136"/>
        <v>#VALUE!</v>
      </c>
      <c r="AP182" s="29" t="e">
        <f t="shared" si="137"/>
        <v>#VALUE!</v>
      </c>
      <c r="AQ182" s="27">
        <f t="shared" si="138"/>
        <v>12.263520007341311</v>
      </c>
      <c r="AR182" s="14">
        <f t="shared" si="139"/>
        <v>1983.0087902934097</v>
      </c>
      <c r="AS182" s="25">
        <v>0.36620000000000003</v>
      </c>
      <c r="AT182" s="22">
        <f t="shared" si="140"/>
        <v>1.0846601467466737</v>
      </c>
      <c r="AU182" s="22">
        <f t="shared" si="141"/>
        <v>0.71846014674667358</v>
      </c>
      <c r="AV182" s="15"/>
      <c r="AW182" s="22"/>
      <c r="AX182" s="34">
        <f t="shared" si="142"/>
        <v>7184.6014674667358</v>
      </c>
      <c r="AY182" s="14">
        <f t="shared" si="143"/>
        <v>35.351949372293618</v>
      </c>
      <c r="AZ182" s="25">
        <v>1.0819000000000001</v>
      </c>
      <c r="BA182" s="22">
        <f t="shared" si="144"/>
        <v>1.1500450737767052</v>
      </c>
      <c r="BB182" s="38">
        <f t="shared" si="145"/>
        <v>6.814507377670509E-2</v>
      </c>
      <c r="BC182" s="58">
        <f t="shared" si="146"/>
        <v>0.70916383604413047</v>
      </c>
      <c r="BD182" s="32">
        <f t="shared" si="147"/>
        <v>0.48326021926998464</v>
      </c>
      <c r="BE182" s="38">
        <f t="shared" si="148"/>
        <v>681.4507377670509</v>
      </c>
    </row>
    <row r="183" spans="1:57" ht="15">
      <c r="A183" s="138">
        <v>166</v>
      </c>
      <c r="B183" s="139">
        <v>3</v>
      </c>
      <c r="C183" s="140" t="s">
        <v>421</v>
      </c>
      <c r="D183" s="140" t="s">
        <v>424</v>
      </c>
      <c r="E183" s="140" t="s">
        <v>437</v>
      </c>
      <c r="F183" s="140" t="s">
        <v>480</v>
      </c>
      <c r="G183" s="140"/>
      <c r="H183" s="140" t="s">
        <v>483</v>
      </c>
      <c r="I183" s="140">
        <v>50</v>
      </c>
      <c r="J183" s="140">
        <v>10</v>
      </c>
      <c r="K183" s="140">
        <v>15</v>
      </c>
      <c r="L183" s="140" t="s">
        <v>459</v>
      </c>
      <c r="M183" s="140">
        <v>3</v>
      </c>
      <c r="Q183" s="108">
        <v>10</v>
      </c>
      <c r="R183" s="53">
        <v>8</v>
      </c>
      <c r="S183" s="53">
        <f t="shared" si="91"/>
        <v>2</v>
      </c>
      <c r="T183" s="82">
        <v>98</v>
      </c>
      <c r="U183" s="82" t="s">
        <v>367</v>
      </c>
      <c r="V183" s="83">
        <v>1.343141125</v>
      </c>
      <c r="W183" s="83">
        <v>2480.9982373276448</v>
      </c>
      <c r="X183" s="81">
        <v>0.80991181249999999</v>
      </c>
      <c r="Y183" s="81">
        <v>66.937033265026813</v>
      </c>
      <c r="Z183" s="154" t="s">
        <v>54</v>
      </c>
      <c r="AA183" s="75">
        <v>2.9111787500000004</v>
      </c>
      <c r="AB183" s="75">
        <v>7.1289713486518078</v>
      </c>
      <c r="AC183" s="75">
        <v>2.0592423593750002</v>
      </c>
      <c r="AD183" s="75">
        <v>-26.716135928040213</v>
      </c>
      <c r="AE183" s="75">
        <v>2.375375</v>
      </c>
      <c r="AF183" s="75">
        <v>2.375375</v>
      </c>
      <c r="AG183" s="32">
        <f t="shared" si="128"/>
        <v>2.3009777396870598E-2</v>
      </c>
      <c r="AH183" s="32">
        <f t="shared" si="129"/>
        <v>0.53073405008612418</v>
      </c>
      <c r="AI183" s="33">
        <f t="shared" si="130"/>
        <v>3.0905378298832348E-2</v>
      </c>
      <c r="AJ183" s="34">
        <f t="shared" si="131"/>
        <v>0.42984777646071859</v>
      </c>
      <c r="AK183" s="16">
        <f t="shared" si="132"/>
        <v>2.6269571554007498E-2</v>
      </c>
      <c r="AL183" s="16">
        <f t="shared" si="133"/>
        <v>0.36537060999161081</v>
      </c>
      <c r="AM183" s="27">
        <f t="shared" si="134"/>
        <v>26.269571554007499</v>
      </c>
      <c r="AN183" s="27">
        <f t="shared" si="135"/>
        <v>365.37060999161082</v>
      </c>
      <c r="AO183" s="29" t="e">
        <f t="shared" si="136"/>
        <v>#VALUE!</v>
      </c>
      <c r="AP183" s="29" t="e">
        <f t="shared" si="137"/>
        <v>#VALUE!</v>
      </c>
      <c r="AQ183" s="27">
        <f t="shared" si="138"/>
        <v>13.908510431563263</v>
      </c>
      <c r="AR183" s="14">
        <f t="shared" si="139"/>
        <v>2475.8492659789931</v>
      </c>
      <c r="AS183" s="25">
        <v>0.36620000000000003</v>
      </c>
      <c r="AT183" s="22">
        <f t="shared" si="140"/>
        <v>1.2616024161509474</v>
      </c>
      <c r="AU183" s="22">
        <f t="shared" si="141"/>
        <v>0.89540241615094729</v>
      </c>
      <c r="AV183" s="15"/>
      <c r="AW183" s="22"/>
      <c r="AX183" s="34">
        <f t="shared" si="142"/>
        <v>8954.0241615094728</v>
      </c>
      <c r="AY183" s="14">
        <f t="shared" si="143"/>
        <v>67.623169193067028</v>
      </c>
      <c r="AZ183" s="25">
        <v>1.0819000000000001</v>
      </c>
      <c r="BA183" s="22">
        <f t="shared" si="144"/>
        <v>1.1854662569534229</v>
      </c>
      <c r="BB183" s="38">
        <f t="shared" si="145"/>
        <v>0.10356625695342281</v>
      </c>
      <c r="BC183" s="58">
        <f t="shared" si="146"/>
        <v>0.41859944170266544</v>
      </c>
      <c r="BD183" s="32">
        <f t="shared" si="147"/>
        <v>0.43352777339937582</v>
      </c>
      <c r="BE183" s="38">
        <f t="shared" si="148"/>
        <v>1035.6625695342282</v>
      </c>
    </row>
    <row r="184" spans="1:57" ht="15">
      <c r="A184" s="138">
        <v>167</v>
      </c>
      <c r="B184" s="139">
        <v>3</v>
      </c>
      <c r="C184" s="140" t="s">
        <v>423</v>
      </c>
      <c r="D184" s="140" t="s">
        <v>414</v>
      </c>
      <c r="E184" s="140" t="s">
        <v>437</v>
      </c>
      <c r="F184" s="140" t="s">
        <v>480</v>
      </c>
      <c r="G184" s="140"/>
      <c r="H184" s="140" t="s">
        <v>483</v>
      </c>
      <c r="I184" s="140">
        <v>50</v>
      </c>
      <c r="J184" s="140">
        <v>10</v>
      </c>
      <c r="K184" s="140">
        <v>15</v>
      </c>
      <c r="L184" s="140" t="s">
        <v>460</v>
      </c>
      <c r="M184" s="140">
        <v>3</v>
      </c>
      <c r="Q184" s="108">
        <v>10</v>
      </c>
      <c r="R184" s="53">
        <v>8</v>
      </c>
      <c r="S184" s="53">
        <f t="shared" si="91"/>
        <v>2</v>
      </c>
      <c r="T184" s="80">
        <v>99</v>
      </c>
      <c r="U184" s="80" t="s">
        <v>368</v>
      </c>
      <c r="V184" s="81">
        <v>1.5980848750000001</v>
      </c>
      <c r="W184" s="81">
        <v>1135.527255781833</v>
      </c>
      <c r="X184" s="83">
        <v>0.98998275000000002</v>
      </c>
      <c r="Y184" s="83">
        <v>13.712621920449296</v>
      </c>
      <c r="Z184" s="154" t="s">
        <v>54</v>
      </c>
      <c r="AA184" s="75">
        <v>2.9111787500000004</v>
      </c>
      <c r="AB184" s="75">
        <v>7.1289713486518078</v>
      </c>
      <c r="AC184" s="75">
        <v>2.0592423593750002</v>
      </c>
      <c r="AD184" s="75">
        <v>-26.716135928040213</v>
      </c>
      <c r="AE184" s="75">
        <v>2.375375</v>
      </c>
      <c r="AF184" s="75">
        <v>2.375375</v>
      </c>
      <c r="AG184" s="32">
        <f t="shared" si="128"/>
        <v>2.3009777396870598E-2</v>
      </c>
      <c r="AH184" s="32">
        <f t="shared" si="129"/>
        <v>0.53073405008612418</v>
      </c>
      <c r="AI184" s="33">
        <f t="shared" si="130"/>
        <v>3.6771577235055773E-2</v>
      </c>
      <c r="AJ184" s="34">
        <f t="shared" si="131"/>
        <v>0.52541755442289895</v>
      </c>
      <c r="AK184" s="16">
        <f t="shared" si="132"/>
        <v>3.125584064979741E-2</v>
      </c>
      <c r="AL184" s="16">
        <f t="shared" si="133"/>
        <v>0.44660492125946405</v>
      </c>
      <c r="AM184" s="27">
        <f t="shared" si="134"/>
        <v>31.25584064979741</v>
      </c>
      <c r="AN184" s="27">
        <f t="shared" si="135"/>
        <v>446.60492125946405</v>
      </c>
      <c r="AO184" s="29" t="e">
        <f t="shared" si="136"/>
        <v>#VALUE!</v>
      </c>
      <c r="AP184" s="29" t="e">
        <f t="shared" si="137"/>
        <v>#VALUE!</v>
      </c>
      <c r="AQ184" s="27">
        <f t="shared" si="138"/>
        <v>14.288686913380424</v>
      </c>
      <c r="AR184" s="14">
        <f t="shared" si="139"/>
        <v>1130.3782844331811</v>
      </c>
      <c r="AS184" s="25">
        <v>0.36620000000000003</v>
      </c>
      <c r="AT184" s="22">
        <f t="shared" si="140"/>
        <v>0.77704183252018422</v>
      </c>
      <c r="AU184" s="22">
        <f t="shared" si="141"/>
        <v>0.41084183252018419</v>
      </c>
      <c r="AV184" s="15"/>
      <c r="AW184" s="22"/>
      <c r="AX184" s="34">
        <f t="shared" si="142"/>
        <v>4108.418325201842</v>
      </c>
      <c r="AY184" s="14">
        <f t="shared" si="143"/>
        <v>14.398757848489508</v>
      </c>
      <c r="AZ184" s="25">
        <v>1.0819000000000001</v>
      </c>
      <c r="BA184" s="22">
        <f t="shared" si="144"/>
        <v>1.1270330610432955</v>
      </c>
      <c r="BB184" s="38">
        <f t="shared" si="145"/>
        <v>4.5133061043295397E-2</v>
      </c>
      <c r="BC184" s="58">
        <f t="shared" si="146"/>
        <v>0.50995636049760595</v>
      </c>
      <c r="BD184" s="32">
        <f t="shared" si="147"/>
        <v>0.23015891547755202</v>
      </c>
      <c r="BE184" s="38">
        <f t="shared" si="148"/>
        <v>451.33061043295396</v>
      </c>
    </row>
    <row r="185" spans="1:57" ht="15">
      <c r="A185" s="138">
        <v>168</v>
      </c>
      <c r="B185" s="139">
        <v>3</v>
      </c>
      <c r="C185" s="140" t="s">
        <v>425</v>
      </c>
      <c r="D185" s="140" t="s">
        <v>409</v>
      </c>
      <c r="E185" s="140" t="s">
        <v>437</v>
      </c>
      <c r="F185" s="140" t="s">
        <v>480</v>
      </c>
      <c r="G185" s="140"/>
      <c r="H185" s="140" t="s">
        <v>483</v>
      </c>
      <c r="I185" s="140">
        <v>50</v>
      </c>
      <c r="J185" s="140">
        <v>10</v>
      </c>
      <c r="K185" s="140">
        <v>15</v>
      </c>
      <c r="L185" s="140" t="s">
        <v>461</v>
      </c>
      <c r="M185" s="140">
        <v>3</v>
      </c>
      <c r="Q185" s="108">
        <v>10</v>
      </c>
      <c r="R185" s="53">
        <v>8</v>
      </c>
      <c r="S185" s="53">
        <f t="shared" si="91"/>
        <v>2</v>
      </c>
      <c r="T185" s="82">
        <v>100</v>
      </c>
      <c r="U185" s="82" t="s">
        <v>369</v>
      </c>
      <c r="V185" s="83">
        <v>1.9032770000000001</v>
      </c>
      <c r="W185" s="83">
        <v>1612.9911391047087</v>
      </c>
      <c r="X185" s="81">
        <v>1.194954375</v>
      </c>
      <c r="Y185" s="81">
        <v>31.96433914939055</v>
      </c>
      <c r="Z185" s="154" t="s">
        <v>54</v>
      </c>
      <c r="AA185" s="75">
        <v>2.9111787500000004</v>
      </c>
      <c r="AB185" s="75">
        <v>7.1289713486518078</v>
      </c>
      <c r="AC185" s="75">
        <v>2.0592423593750002</v>
      </c>
      <c r="AD185" s="75">
        <v>-26.716135928040213</v>
      </c>
      <c r="AE185" s="75">
        <v>2.375375</v>
      </c>
      <c r="AF185" s="75">
        <v>2.375375</v>
      </c>
      <c r="AG185" s="32">
        <f t="shared" si="128"/>
        <v>2.3009777396870598E-2</v>
      </c>
      <c r="AH185" s="32">
        <f t="shared" si="129"/>
        <v>0.53073405008612418</v>
      </c>
      <c r="AI185" s="33">
        <f t="shared" si="130"/>
        <v>4.3793980094583684E-2</v>
      </c>
      <c r="AJ185" s="34">
        <f t="shared" si="131"/>
        <v>0.63420297511188317</v>
      </c>
      <c r="AK185" s="16">
        <f t="shared" si="132"/>
        <v>3.7224883080396128E-2</v>
      </c>
      <c r="AL185" s="16">
        <f t="shared" si="133"/>
        <v>0.53907252884510071</v>
      </c>
      <c r="AM185" s="27">
        <f t="shared" si="134"/>
        <v>37.224883080396125</v>
      </c>
      <c r="AN185" s="27">
        <f t="shared" si="135"/>
        <v>539.07252884510069</v>
      </c>
      <c r="AO185" s="29" t="e">
        <f t="shared" si="136"/>
        <v>#VALUE!</v>
      </c>
      <c r="AP185" s="29" t="e">
        <f t="shared" si="137"/>
        <v>#VALUE!</v>
      </c>
      <c r="AQ185" s="27">
        <f t="shared" si="138"/>
        <v>14.481510329551426</v>
      </c>
      <c r="AR185" s="14">
        <f t="shared" si="139"/>
        <v>1607.8421677560568</v>
      </c>
      <c r="AS185" s="25">
        <v>0.36620000000000003</v>
      </c>
      <c r="AT185" s="22">
        <f t="shared" si="140"/>
        <v>0.94954008340611396</v>
      </c>
      <c r="AU185" s="22">
        <f t="shared" si="141"/>
        <v>0.58334008340611399</v>
      </c>
      <c r="AV185" s="15"/>
      <c r="AW185" s="22"/>
      <c r="AX185" s="34">
        <f t="shared" si="142"/>
        <v>5833.400834061139</v>
      </c>
      <c r="AY185" s="14">
        <f t="shared" si="143"/>
        <v>32.650475077430762</v>
      </c>
      <c r="AZ185" s="25">
        <v>1.0819000000000001</v>
      </c>
      <c r="BA185" s="22">
        <f t="shared" si="144"/>
        <v>1.1470787592144351</v>
      </c>
      <c r="BB185" s="38">
        <f t="shared" si="145"/>
        <v>6.5178759214435056E-2</v>
      </c>
      <c r="BC185" s="58">
        <f t="shared" si="146"/>
        <v>0.61394635666448882</v>
      </c>
      <c r="BD185" s="32">
        <f t="shared" si="147"/>
        <v>0.40016261751614374</v>
      </c>
      <c r="BE185" s="38">
        <f t="shared" si="148"/>
        <v>651.78759214435058</v>
      </c>
    </row>
    <row r="186" spans="1:57" ht="15">
      <c r="A186" s="138">
        <v>169</v>
      </c>
      <c r="B186" s="139">
        <v>4</v>
      </c>
      <c r="C186" s="140" t="s">
        <v>408</v>
      </c>
      <c r="D186" s="140" t="s">
        <v>416</v>
      </c>
      <c r="E186" s="140" t="s">
        <v>437</v>
      </c>
      <c r="F186" s="140" t="s">
        <v>480</v>
      </c>
      <c r="G186" s="140"/>
      <c r="H186" s="140" t="s">
        <v>484</v>
      </c>
      <c r="I186" s="140">
        <v>50</v>
      </c>
      <c r="J186" s="140">
        <v>10</v>
      </c>
      <c r="K186" s="140">
        <v>15</v>
      </c>
      <c r="L186" s="140" t="s">
        <v>462</v>
      </c>
      <c r="M186" s="140">
        <v>3</v>
      </c>
      <c r="Q186" s="108">
        <v>10</v>
      </c>
      <c r="R186" s="53">
        <v>8</v>
      </c>
      <c r="S186" s="53">
        <f t="shared" si="91"/>
        <v>2</v>
      </c>
      <c r="T186" s="80">
        <v>101</v>
      </c>
      <c r="U186" s="80" t="s">
        <v>370</v>
      </c>
      <c r="V186" s="81">
        <v>3.0500335000000001</v>
      </c>
      <c r="W186" s="81">
        <v>3174.6704271666717</v>
      </c>
      <c r="X186" s="83">
        <v>1.3848525</v>
      </c>
      <c r="Y186" s="83">
        <v>122.59815991421837</v>
      </c>
      <c r="Z186" s="154" t="s">
        <v>54</v>
      </c>
      <c r="AA186" s="75">
        <v>2.9111787500000004</v>
      </c>
      <c r="AB186" s="75">
        <v>7.1289713486518078</v>
      </c>
      <c r="AC186" s="75">
        <v>2.0592423593750002</v>
      </c>
      <c r="AD186" s="75">
        <v>-26.716135928040213</v>
      </c>
      <c r="AE186" s="75">
        <v>2.375375</v>
      </c>
      <c r="AF186" s="75">
        <v>2.375375</v>
      </c>
      <c r="AG186" s="32">
        <f t="shared" si="128"/>
        <v>2.3009777396870598E-2</v>
      </c>
      <c r="AH186" s="32">
        <f t="shared" si="129"/>
        <v>0.53073405008612418</v>
      </c>
      <c r="AI186" s="33">
        <f t="shared" si="130"/>
        <v>7.018059188799812E-2</v>
      </c>
      <c r="AJ186" s="34">
        <f t="shared" si="131"/>
        <v>0.73498837609689427</v>
      </c>
      <c r="AK186" s="16">
        <f t="shared" si="132"/>
        <v>5.9653503104798403E-2</v>
      </c>
      <c r="AL186" s="16">
        <f t="shared" si="133"/>
        <v>0.6247401196823601</v>
      </c>
      <c r="AM186" s="27">
        <f t="shared" si="134"/>
        <v>59.653503104798403</v>
      </c>
      <c r="AN186" s="27">
        <f t="shared" si="135"/>
        <v>624.74011968236005</v>
      </c>
      <c r="AO186" s="29" t="e">
        <f t="shared" si="136"/>
        <v>#VALUE!</v>
      </c>
      <c r="AP186" s="29" t="e">
        <f t="shared" si="137"/>
        <v>#VALUE!</v>
      </c>
      <c r="AQ186" s="27">
        <f t="shared" si="138"/>
        <v>10.472815294431674</v>
      </c>
      <c r="AR186" s="14">
        <f t="shared" si="139"/>
        <v>3169.5214558180201</v>
      </c>
      <c r="AS186" s="25">
        <v>0.36620000000000003</v>
      </c>
      <c r="AT186" s="22">
        <f t="shared" si="140"/>
        <v>1.5095785341179833</v>
      </c>
      <c r="AU186" s="22">
        <f t="shared" si="141"/>
        <v>1.1433785341179832</v>
      </c>
      <c r="AV186" s="15"/>
      <c r="AW186" s="22"/>
      <c r="AX186" s="34">
        <f t="shared" si="142"/>
        <v>11433.785341179831</v>
      </c>
      <c r="AY186" s="14">
        <f t="shared" si="143"/>
        <v>123.28429584225859</v>
      </c>
      <c r="AZ186" s="25">
        <v>1.0819000000000001</v>
      </c>
      <c r="BA186" s="22">
        <f t="shared" si="144"/>
        <v>1.246500799317918</v>
      </c>
      <c r="BB186" s="38">
        <f t="shared" si="145"/>
        <v>0.16460079931791793</v>
      </c>
      <c r="BC186" s="58">
        <f t="shared" si="146"/>
        <v>0.71028898599597912</v>
      </c>
      <c r="BD186" s="32">
        <f t="shared" si="147"/>
        <v>1.1691413484165158</v>
      </c>
      <c r="BE186" s="38">
        <f t="shared" si="148"/>
        <v>1646.007993179179</v>
      </c>
    </row>
    <row r="187" spans="1:57" ht="15">
      <c r="A187" s="138">
        <v>170</v>
      </c>
      <c r="B187" s="139">
        <v>4</v>
      </c>
      <c r="C187" s="140" t="s">
        <v>413</v>
      </c>
      <c r="D187" s="140" t="s">
        <v>409</v>
      </c>
      <c r="E187" s="140" t="s">
        <v>437</v>
      </c>
      <c r="F187" s="140" t="s">
        <v>480</v>
      </c>
      <c r="G187" s="140"/>
      <c r="H187" s="140" t="s">
        <v>484</v>
      </c>
      <c r="I187" s="140">
        <v>50</v>
      </c>
      <c r="J187" s="140">
        <v>10</v>
      </c>
      <c r="K187" s="140">
        <v>15</v>
      </c>
      <c r="L187" s="140" t="s">
        <v>463</v>
      </c>
      <c r="M187" s="140">
        <v>3</v>
      </c>
      <c r="Q187" s="108">
        <v>10</v>
      </c>
      <c r="R187" s="53">
        <v>8</v>
      </c>
      <c r="S187" s="53">
        <f t="shared" si="91"/>
        <v>2</v>
      </c>
      <c r="T187" s="82">
        <v>102</v>
      </c>
      <c r="U187" s="82" t="s">
        <v>371</v>
      </c>
      <c r="V187" s="83">
        <v>4.4292685000000001</v>
      </c>
      <c r="W187" s="83">
        <v>1585.397596320199</v>
      </c>
      <c r="X187" s="81">
        <v>2.0564260000000001</v>
      </c>
      <c r="Y187" s="81">
        <v>18.333963226024718</v>
      </c>
      <c r="Z187" s="154" t="s">
        <v>54</v>
      </c>
      <c r="AA187" s="75">
        <v>2.9111787500000004</v>
      </c>
      <c r="AB187" s="75">
        <v>7.1289713486518078</v>
      </c>
      <c r="AC187" s="75">
        <v>2.0592423593750002</v>
      </c>
      <c r="AD187" s="75">
        <v>-26.716135928040213</v>
      </c>
      <c r="AE187" s="75">
        <v>2.375375</v>
      </c>
      <c r="AF187" s="75">
        <v>2.375375</v>
      </c>
      <c r="AG187" s="32">
        <f t="shared" si="128"/>
        <v>2.3009777396870598E-2</v>
      </c>
      <c r="AH187" s="32">
        <f t="shared" si="129"/>
        <v>0.53073405008612418</v>
      </c>
      <c r="AI187" s="33">
        <f t="shared" si="130"/>
        <v>0.10191648221597094</v>
      </c>
      <c r="AJ187" s="34">
        <f t="shared" si="131"/>
        <v>1.091415299682408</v>
      </c>
      <c r="AK187" s="16">
        <f t="shared" si="132"/>
        <v>8.6629009883575303E-2</v>
      </c>
      <c r="AL187" s="16">
        <f t="shared" si="133"/>
        <v>0.92770300473004674</v>
      </c>
      <c r="AM187" s="27">
        <f t="shared" si="134"/>
        <v>86.629009883575307</v>
      </c>
      <c r="AN187" s="27">
        <f t="shared" si="135"/>
        <v>927.7030047300467</v>
      </c>
      <c r="AO187" s="29" t="e">
        <f t="shared" si="136"/>
        <v>#VALUE!</v>
      </c>
      <c r="AP187" s="29" t="e">
        <f t="shared" si="137"/>
        <v>#VALUE!</v>
      </c>
      <c r="AQ187" s="27">
        <f t="shared" si="138"/>
        <v>10.708918478657779</v>
      </c>
      <c r="AR187" s="14">
        <f t="shared" si="139"/>
        <v>1580.2486249715471</v>
      </c>
      <c r="AS187" s="25">
        <v>0.36620000000000003</v>
      </c>
      <c r="AT187" s="22">
        <f t="shared" si="140"/>
        <v>0.93958741361027753</v>
      </c>
      <c r="AU187" s="22">
        <f t="shared" si="141"/>
        <v>0.57338741361027745</v>
      </c>
      <c r="AV187" s="15"/>
      <c r="AW187" s="22"/>
      <c r="AX187" s="34">
        <f t="shared" si="142"/>
        <v>5733.8741361027742</v>
      </c>
      <c r="AY187" s="14">
        <f t="shared" si="143"/>
        <v>19.02009915406493</v>
      </c>
      <c r="AZ187" s="25">
        <v>1.0819000000000001</v>
      </c>
      <c r="BA187" s="22">
        <f t="shared" si="144"/>
        <v>1.132109407560169</v>
      </c>
      <c r="BB187" s="38">
        <f t="shared" si="145"/>
        <v>5.0209407560168895E-2</v>
      </c>
      <c r="BC187" s="58">
        <f t="shared" si="146"/>
        <v>1.0510040761494579</v>
      </c>
      <c r="BD187" s="32">
        <f t="shared" si="147"/>
        <v>0.52770292006786923</v>
      </c>
      <c r="BE187" s="38">
        <f t="shared" si="148"/>
        <v>502.09407560168893</v>
      </c>
    </row>
    <row r="188" spans="1:57" ht="15">
      <c r="A188" s="138">
        <v>171</v>
      </c>
      <c r="B188" s="139">
        <v>4</v>
      </c>
      <c r="C188" s="140" t="s">
        <v>415</v>
      </c>
      <c r="D188" s="140" t="s">
        <v>418</v>
      </c>
      <c r="E188" s="140" t="s">
        <v>437</v>
      </c>
      <c r="F188" s="140" t="s">
        <v>480</v>
      </c>
      <c r="G188" s="140"/>
      <c r="H188" s="140" t="s">
        <v>484</v>
      </c>
      <c r="I188" s="140">
        <v>50</v>
      </c>
      <c r="J188" s="140">
        <v>10</v>
      </c>
      <c r="K188" s="140">
        <v>15</v>
      </c>
      <c r="L188" s="140" t="s">
        <v>464</v>
      </c>
      <c r="M188" s="140">
        <v>3</v>
      </c>
      <c r="Q188" s="108">
        <v>10</v>
      </c>
      <c r="R188" s="53">
        <v>8</v>
      </c>
      <c r="S188" s="53">
        <f t="shared" si="91"/>
        <v>2</v>
      </c>
      <c r="T188" s="80">
        <v>103</v>
      </c>
      <c r="U188" s="80" t="s">
        <v>372</v>
      </c>
      <c r="V188" s="81">
        <v>2.66353975</v>
      </c>
      <c r="W188" s="81">
        <v>2731.8936550468984</v>
      </c>
      <c r="X188" s="83">
        <v>1.395845625</v>
      </c>
      <c r="Y188" s="83">
        <v>80.351429930506569</v>
      </c>
      <c r="Z188" s="154" t="s">
        <v>54</v>
      </c>
      <c r="AA188" s="75">
        <v>2.9111787500000004</v>
      </c>
      <c r="AB188" s="75">
        <v>7.1289713486518078</v>
      </c>
      <c r="AC188" s="75">
        <v>2.0592423593750002</v>
      </c>
      <c r="AD188" s="75">
        <v>-26.716135928040213</v>
      </c>
      <c r="AE188" s="75">
        <v>2.375375</v>
      </c>
      <c r="AF188" s="75">
        <v>2.375375</v>
      </c>
      <c r="AG188" s="32">
        <f t="shared" si="128"/>
        <v>2.3009777396870598E-2</v>
      </c>
      <c r="AH188" s="32">
        <f t="shared" si="129"/>
        <v>0.53073405008612418</v>
      </c>
      <c r="AI188" s="33">
        <f t="shared" si="130"/>
        <v>6.1287456735216364E-2</v>
      </c>
      <c r="AJ188" s="34">
        <f t="shared" si="131"/>
        <v>0.74082280185124727</v>
      </c>
      <c r="AK188" s="16">
        <f t="shared" si="132"/>
        <v>5.2094338224933909E-2</v>
      </c>
      <c r="AL188" s="16">
        <f t="shared" si="133"/>
        <v>0.6296993815735602</v>
      </c>
      <c r="AM188" s="27">
        <f t="shared" si="134"/>
        <v>52.094338224933907</v>
      </c>
      <c r="AN188" s="27">
        <f t="shared" si="135"/>
        <v>629.69938157356023</v>
      </c>
      <c r="AO188" s="29" t="e">
        <f t="shared" si="136"/>
        <v>#VALUE!</v>
      </c>
      <c r="AP188" s="29" t="e">
        <f t="shared" si="137"/>
        <v>#VALUE!</v>
      </c>
      <c r="AQ188" s="27">
        <f t="shared" si="138"/>
        <v>12.087674074188877</v>
      </c>
      <c r="AR188" s="14">
        <f t="shared" si="139"/>
        <v>2726.7446836982467</v>
      </c>
      <c r="AS188" s="25">
        <v>0.36620000000000003</v>
      </c>
      <c r="AT188" s="22">
        <f t="shared" si="140"/>
        <v>1.3514373120839185</v>
      </c>
      <c r="AU188" s="22">
        <f t="shared" si="141"/>
        <v>0.9852373120839184</v>
      </c>
      <c r="AV188" s="15"/>
      <c r="AW188" s="22"/>
      <c r="AX188" s="34">
        <f t="shared" si="142"/>
        <v>9852.3731208391837</v>
      </c>
      <c r="AY188" s="14">
        <f t="shared" si="143"/>
        <v>81.037565858546785</v>
      </c>
      <c r="AZ188" s="25">
        <v>1.0819000000000001</v>
      </c>
      <c r="BA188" s="22">
        <f t="shared" si="144"/>
        <v>1.2001825522272584</v>
      </c>
      <c r="BB188" s="38">
        <f t="shared" si="145"/>
        <v>0.11828255222725836</v>
      </c>
      <c r="BC188" s="58">
        <f t="shared" si="146"/>
        <v>0.71586622151144164</v>
      </c>
      <c r="BD188" s="32">
        <f t="shared" si="147"/>
        <v>0.84674483733657202</v>
      </c>
      <c r="BE188" s="38">
        <f t="shared" si="148"/>
        <v>1182.8255222725836</v>
      </c>
    </row>
    <row r="189" spans="1:57" ht="15">
      <c r="A189" s="138">
        <v>172</v>
      </c>
      <c r="B189" s="139">
        <v>4</v>
      </c>
      <c r="C189" s="140" t="s">
        <v>417</v>
      </c>
      <c r="D189" s="140" t="s">
        <v>424</v>
      </c>
      <c r="E189" s="140" t="s">
        <v>437</v>
      </c>
      <c r="F189" s="140" t="s">
        <v>480</v>
      </c>
      <c r="G189" s="140"/>
      <c r="H189" s="140" t="s">
        <v>484</v>
      </c>
      <c r="I189" s="140">
        <v>50</v>
      </c>
      <c r="J189" s="140">
        <v>10</v>
      </c>
      <c r="K189" s="140">
        <v>15</v>
      </c>
      <c r="L189" s="140" t="s">
        <v>465</v>
      </c>
      <c r="M189" s="140">
        <v>3</v>
      </c>
      <c r="Q189" s="108">
        <v>10</v>
      </c>
      <c r="R189" s="53">
        <v>8</v>
      </c>
      <c r="S189" s="53">
        <f t="shared" si="91"/>
        <v>2</v>
      </c>
      <c r="T189" s="82">
        <v>104</v>
      </c>
      <c r="U189" s="82" t="s">
        <v>373</v>
      </c>
      <c r="V189" s="83">
        <v>1.554033</v>
      </c>
      <c r="W189" s="83">
        <v>3126.9188855715879</v>
      </c>
      <c r="X189" s="81">
        <v>0.924697875</v>
      </c>
      <c r="Y189" s="81">
        <v>107.05002475539034</v>
      </c>
      <c r="Z189" s="154" t="s">
        <v>54</v>
      </c>
      <c r="AA189" s="75">
        <v>2.9111787500000004</v>
      </c>
      <c r="AB189" s="75">
        <v>7.1289713486518078</v>
      </c>
      <c r="AC189" s="75">
        <v>2.0592423593750002</v>
      </c>
      <c r="AD189" s="75">
        <v>-26.716135928040213</v>
      </c>
      <c r="AE189" s="75">
        <v>2.375375</v>
      </c>
      <c r="AF189" s="75">
        <v>2.375375</v>
      </c>
      <c r="AG189" s="32">
        <f t="shared" si="128"/>
        <v>2.3009777396870598E-2</v>
      </c>
      <c r="AH189" s="32">
        <f t="shared" si="129"/>
        <v>0.53073405008612418</v>
      </c>
      <c r="AI189" s="33">
        <f t="shared" si="130"/>
        <v>3.5757953397391004E-2</v>
      </c>
      <c r="AJ189" s="34">
        <f t="shared" si="131"/>
        <v>0.49076864830478262</v>
      </c>
      <c r="AK189" s="16">
        <f t="shared" si="132"/>
        <v>3.0394260387782354E-2</v>
      </c>
      <c r="AL189" s="16">
        <f t="shared" si="133"/>
        <v>0.41715335105906526</v>
      </c>
      <c r="AM189" s="27">
        <f t="shared" si="134"/>
        <v>30.394260387782353</v>
      </c>
      <c r="AN189" s="27">
        <f t="shared" si="135"/>
        <v>417.15335105906524</v>
      </c>
      <c r="AO189" s="29" t="e">
        <f t="shared" si="136"/>
        <v>#VALUE!</v>
      </c>
      <c r="AP189" s="29" t="e">
        <f t="shared" si="137"/>
        <v>#VALUE!</v>
      </c>
      <c r="AQ189" s="27">
        <f t="shared" si="138"/>
        <v>13.724740978620728</v>
      </c>
      <c r="AR189" s="14">
        <f t="shared" si="139"/>
        <v>3121.7699142229362</v>
      </c>
      <c r="AS189" s="25">
        <v>0.36620000000000003</v>
      </c>
      <c r="AT189" s="22">
        <f t="shared" si="140"/>
        <v>1.4925480897203933</v>
      </c>
      <c r="AU189" s="22">
        <f t="shared" si="141"/>
        <v>1.1263480897203932</v>
      </c>
      <c r="AV189" s="15"/>
      <c r="AW189" s="22"/>
      <c r="AX189" s="34">
        <f t="shared" si="142"/>
        <v>11263.480897203932</v>
      </c>
      <c r="AY189" s="14">
        <f t="shared" si="143"/>
        <v>107.73616068343055</v>
      </c>
      <c r="AZ189" s="25">
        <v>1.0819000000000001</v>
      </c>
      <c r="BA189" s="22">
        <f t="shared" si="144"/>
        <v>1.2294592681681649</v>
      </c>
      <c r="BB189" s="38">
        <f t="shared" si="145"/>
        <v>0.14755926816816478</v>
      </c>
      <c r="BC189" s="58">
        <f t="shared" si="146"/>
        <v>0.47683483013453543</v>
      </c>
      <c r="BD189" s="32">
        <f t="shared" si="147"/>
        <v>0.70361398571743217</v>
      </c>
      <c r="BE189" s="38">
        <f t="shared" si="148"/>
        <v>1475.5926816816475</v>
      </c>
    </row>
    <row r="190" spans="1:57" ht="15">
      <c r="A190" s="138">
        <v>173</v>
      </c>
      <c r="B190" s="139">
        <v>4</v>
      </c>
      <c r="C190" s="140" t="s">
        <v>419</v>
      </c>
      <c r="D190" s="140" t="s">
        <v>414</v>
      </c>
      <c r="E190" s="140" t="s">
        <v>437</v>
      </c>
      <c r="F190" s="140" t="s">
        <v>480</v>
      </c>
      <c r="G190" s="140"/>
      <c r="H190" s="140" t="s">
        <v>484</v>
      </c>
      <c r="I190" s="140">
        <v>50</v>
      </c>
      <c r="J190" s="140">
        <v>10</v>
      </c>
      <c r="K190" s="140">
        <v>15</v>
      </c>
      <c r="L190" s="140" t="s">
        <v>466</v>
      </c>
      <c r="M190" s="140">
        <v>3</v>
      </c>
      <c r="Q190" s="108">
        <v>10</v>
      </c>
      <c r="R190" s="53">
        <v>8</v>
      </c>
      <c r="S190" s="53">
        <f t="shared" si="91"/>
        <v>2</v>
      </c>
      <c r="T190" s="80">
        <v>105</v>
      </c>
      <c r="U190" s="80" t="s">
        <v>374</v>
      </c>
      <c r="V190" s="81">
        <v>1.6594015</v>
      </c>
      <c r="W190" s="81">
        <v>2190.5231135693912</v>
      </c>
      <c r="X190" s="83">
        <v>0.86926387500000002</v>
      </c>
      <c r="Y190" s="83">
        <v>72.998218745599857</v>
      </c>
      <c r="Z190" s="154" t="s">
        <v>54</v>
      </c>
      <c r="AA190" s="75">
        <v>2.9111787500000004</v>
      </c>
      <c r="AB190" s="75">
        <v>7.1289713486518078</v>
      </c>
      <c r="AC190" s="75">
        <v>2.0592423593750002</v>
      </c>
      <c r="AD190" s="75">
        <v>-26.716135928040213</v>
      </c>
      <c r="AE190" s="75">
        <v>2.375375</v>
      </c>
      <c r="AF190" s="75">
        <v>2.375375</v>
      </c>
      <c r="AG190" s="32">
        <f t="shared" si="128"/>
        <v>2.3009777396870598E-2</v>
      </c>
      <c r="AH190" s="32">
        <f t="shared" si="129"/>
        <v>0.53073405008612418</v>
      </c>
      <c r="AI190" s="33">
        <f t="shared" si="130"/>
        <v>3.8182459127033164E-2</v>
      </c>
      <c r="AJ190" s="34">
        <f t="shared" si="131"/>
        <v>0.46134793697230841</v>
      </c>
      <c r="AK190" s="16">
        <f t="shared" si="132"/>
        <v>3.2455090257978193E-2</v>
      </c>
      <c r="AL190" s="16">
        <f t="shared" si="133"/>
        <v>0.39214574642646216</v>
      </c>
      <c r="AM190" s="27">
        <f t="shared" si="134"/>
        <v>32.455090257978192</v>
      </c>
      <c r="AN190" s="27">
        <f t="shared" si="135"/>
        <v>392.14574642646215</v>
      </c>
      <c r="AO190" s="29" t="e">
        <f t="shared" si="136"/>
        <v>#VALUE!</v>
      </c>
      <c r="AP190" s="29" t="e">
        <f t="shared" si="137"/>
        <v>#VALUE!</v>
      </c>
      <c r="AQ190" s="27">
        <f t="shared" si="138"/>
        <v>12.082719330292539</v>
      </c>
      <c r="AR190" s="14">
        <f t="shared" si="139"/>
        <v>2185.3741422207395</v>
      </c>
      <c r="AS190" s="25">
        <v>0.36620000000000003</v>
      </c>
      <c r="AT190" s="22">
        <f t="shared" si="140"/>
        <v>1.157391137979213</v>
      </c>
      <c r="AU190" s="22">
        <f t="shared" si="141"/>
        <v>0.79119113797921292</v>
      </c>
      <c r="AV190" s="15"/>
      <c r="AW190" s="22"/>
      <c r="AX190" s="34">
        <f t="shared" si="142"/>
        <v>7911.9113797921291</v>
      </c>
      <c r="AY190" s="14">
        <f t="shared" si="143"/>
        <v>73.684354673640073</v>
      </c>
      <c r="AZ190" s="25">
        <v>1.0819000000000001</v>
      </c>
      <c r="BA190" s="22">
        <f t="shared" si="144"/>
        <v>1.1921162375582512</v>
      </c>
      <c r="BB190" s="38">
        <f t="shared" si="145"/>
        <v>0.11021623755825116</v>
      </c>
      <c r="BC190" s="58">
        <f t="shared" si="146"/>
        <v>0.44871102788866363</v>
      </c>
      <c r="BD190" s="32">
        <f t="shared" si="147"/>
        <v>0.4945524124478401</v>
      </c>
      <c r="BE190" s="38">
        <f t="shared" si="148"/>
        <v>1102.1623755825117</v>
      </c>
    </row>
    <row r="191" spans="1:57" ht="15">
      <c r="A191" s="135"/>
      <c r="B191" s="136"/>
      <c r="C191" s="135"/>
      <c r="D191" s="135" t="s">
        <v>116</v>
      </c>
      <c r="E191" s="135"/>
      <c r="F191" s="135" t="s">
        <v>55</v>
      </c>
      <c r="G191" s="135"/>
      <c r="H191" s="135"/>
      <c r="I191" s="135"/>
      <c r="J191" s="135"/>
      <c r="K191" s="135"/>
      <c r="L191" s="135" t="s">
        <v>467</v>
      </c>
      <c r="M191" s="137">
        <v>1</v>
      </c>
      <c r="Q191" s="108">
        <v>10</v>
      </c>
      <c r="R191" s="53">
        <v>8</v>
      </c>
      <c r="S191" s="53">
        <f t="shared" si="91"/>
        <v>2</v>
      </c>
      <c r="T191" s="82">
        <v>106</v>
      </c>
      <c r="U191" s="82" t="s">
        <v>375</v>
      </c>
      <c r="V191" s="83">
        <v>2.7977032500000001</v>
      </c>
      <c r="W191" s="83">
        <v>5.8351803400319806</v>
      </c>
      <c r="X191" s="81">
        <v>2.056187875</v>
      </c>
      <c r="Y191" s="81">
        <v>-25.738668788271422</v>
      </c>
      <c r="Z191" s="154">
        <v>2.5289999999999999</v>
      </c>
      <c r="AA191" s="75">
        <v>2.9111787500000004</v>
      </c>
      <c r="AB191" s="75">
        <v>7.1289713486518078</v>
      </c>
      <c r="AC191" s="75">
        <v>2.0592423593750002</v>
      </c>
      <c r="AD191" s="75">
        <v>-26.716135928040213</v>
      </c>
      <c r="AE191" s="75">
        <v>2.375375</v>
      </c>
      <c r="AF191" s="75">
        <v>2.375375</v>
      </c>
      <c r="AG191" s="32">
        <f t="shared" si="128"/>
        <v>2.3009777396870598E-2</v>
      </c>
      <c r="AH191" s="32">
        <f t="shared" si="129"/>
        <v>0.53073405008612418</v>
      </c>
      <c r="AI191" s="33">
        <f t="shared" si="130"/>
        <v>6.4374529005001416E-2</v>
      </c>
      <c r="AJ191" s="34">
        <f t="shared" si="131"/>
        <v>1.0912889186367312</v>
      </c>
      <c r="AK191" s="16" t="e">
        <f t="shared" si="132"/>
        <v>#DIV/0!</v>
      </c>
      <c r="AL191" s="16" t="e">
        <f t="shared" si="133"/>
        <v>#DIV/0!</v>
      </c>
      <c r="AM191" s="27" t="e">
        <f t="shared" si="134"/>
        <v>#DIV/0!</v>
      </c>
      <c r="AN191" s="27" t="e">
        <f t="shared" si="135"/>
        <v>#DIV/0!</v>
      </c>
      <c r="AO191" s="29">
        <f t="shared" si="136"/>
        <v>2.5454538950178498</v>
      </c>
      <c r="AP191" s="29">
        <f t="shared" si="137"/>
        <v>43.151005086466242</v>
      </c>
      <c r="AQ191" s="27">
        <f t="shared" si="138"/>
        <v>16.952184901452966</v>
      </c>
      <c r="AR191" s="14">
        <f t="shared" si="139"/>
        <v>0.68620899138017322</v>
      </c>
      <c r="AS191" s="25">
        <v>0.36620000000000003</v>
      </c>
      <c r="AT191" s="22">
        <f t="shared" si="140"/>
        <v>0.36650405700364364</v>
      </c>
      <c r="AU191" s="22">
        <f t="shared" si="141"/>
        <v>3.0405700364360966E-4</v>
      </c>
      <c r="AV191" s="15"/>
      <c r="AW191" s="22"/>
      <c r="AX191" s="34">
        <f t="shared" si="142"/>
        <v>3.0405700364360966</v>
      </c>
      <c r="AY191" s="14">
        <f t="shared" si="143"/>
        <v>-25.05253286023121</v>
      </c>
      <c r="AZ191" s="25">
        <v>1.0819000000000001</v>
      </c>
      <c r="BA191" s="22">
        <f t="shared" si="144"/>
        <v>1.0836762700414992</v>
      </c>
      <c r="BB191" s="38">
        <f t="shared" si="145"/>
        <v>1.7762700414991617E-3</v>
      </c>
      <c r="BC191" s="58" t="e">
        <f t="shared" si="146"/>
        <v>#DIV/0!</v>
      </c>
      <c r="BD191" s="32" t="e">
        <f t="shared" si="147"/>
        <v>#DIV/0!</v>
      </c>
      <c r="BE191" s="38">
        <f t="shared" si="148"/>
        <v>17.762700414991617</v>
      </c>
    </row>
    <row r="192" spans="1:57" ht="15">
      <c r="A192" s="138">
        <v>174</v>
      </c>
      <c r="B192" s="139">
        <v>4</v>
      </c>
      <c r="C192" s="140" t="s">
        <v>421</v>
      </c>
      <c r="D192" s="140" t="s">
        <v>420</v>
      </c>
      <c r="E192" s="140" t="s">
        <v>437</v>
      </c>
      <c r="F192" s="140" t="s">
        <v>480</v>
      </c>
      <c r="G192" s="140"/>
      <c r="H192" s="140" t="s">
        <v>484</v>
      </c>
      <c r="I192" s="140">
        <v>50</v>
      </c>
      <c r="J192" s="140">
        <v>10</v>
      </c>
      <c r="K192" s="140">
        <v>15</v>
      </c>
      <c r="L192" s="140" t="s">
        <v>468</v>
      </c>
      <c r="M192" s="140">
        <v>3</v>
      </c>
      <c r="Q192" s="108">
        <v>10</v>
      </c>
      <c r="R192" s="53">
        <v>8</v>
      </c>
      <c r="S192" s="53">
        <f t="shared" si="91"/>
        <v>2</v>
      </c>
      <c r="T192" s="80">
        <v>107</v>
      </c>
      <c r="U192" s="80" t="s">
        <v>376</v>
      </c>
      <c r="V192" s="81">
        <v>2.7294119999999999</v>
      </c>
      <c r="W192" s="81">
        <v>1368.755802846207</v>
      </c>
      <c r="X192" s="83">
        <v>1.27018275</v>
      </c>
      <c r="Y192" s="83">
        <v>22.180848981875091</v>
      </c>
      <c r="Z192" s="154" t="s">
        <v>54</v>
      </c>
      <c r="AA192" s="75">
        <v>2.9111787500000004</v>
      </c>
      <c r="AB192" s="75">
        <v>7.1289713486518078</v>
      </c>
      <c r="AC192" s="75">
        <v>2.0592423593750002</v>
      </c>
      <c r="AD192" s="75">
        <v>-26.716135928040213</v>
      </c>
      <c r="AE192" s="75">
        <v>2.375375</v>
      </c>
      <c r="AF192" s="75">
        <v>2.375375</v>
      </c>
      <c r="AG192" s="32">
        <f t="shared" si="128"/>
        <v>2.3009777396870598E-2</v>
      </c>
      <c r="AH192" s="32">
        <f t="shared" si="129"/>
        <v>0.53073405008612418</v>
      </c>
      <c r="AI192" s="33">
        <f t="shared" si="130"/>
        <v>6.2803162544347368E-2</v>
      </c>
      <c r="AJ192" s="34">
        <f t="shared" si="131"/>
        <v>0.67412923525703095</v>
      </c>
      <c r="AK192" s="16">
        <f t="shared" si="132"/>
        <v>5.3382688162695258E-2</v>
      </c>
      <c r="AL192" s="16">
        <f t="shared" si="133"/>
        <v>0.57300984996847637</v>
      </c>
      <c r="AM192" s="27">
        <f t="shared" si="134"/>
        <v>53.38268816269526</v>
      </c>
      <c r="AN192" s="27">
        <f t="shared" si="135"/>
        <v>573.00984996847637</v>
      </c>
      <c r="AO192" s="29" t="e">
        <f t="shared" si="136"/>
        <v>#VALUE!</v>
      </c>
      <c r="AP192" s="29" t="e">
        <f t="shared" si="137"/>
        <v>#VALUE!</v>
      </c>
      <c r="AQ192" s="27">
        <f t="shared" si="138"/>
        <v>10.734001409260342</v>
      </c>
      <c r="AR192" s="14">
        <f t="shared" si="139"/>
        <v>1363.606831497555</v>
      </c>
      <c r="AS192" s="25">
        <v>0.36620000000000003</v>
      </c>
      <c r="AT192" s="22">
        <f t="shared" si="140"/>
        <v>0.86137768895167255</v>
      </c>
      <c r="AU192" s="22">
        <f t="shared" si="141"/>
        <v>0.49517768895167252</v>
      </c>
      <c r="AV192" s="15"/>
      <c r="AW192" s="22"/>
      <c r="AX192" s="34">
        <f t="shared" si="142"/>
        <v>4951.7768895167255</v>
      </c>
      <c r="AY192" s="14">
        <f t="shared" si="143"/>
        <v>22.866984909915303</v>
      </c>
      <c r="AZ192" s="25">
        <v>1.0819000000000001</v>
      </c>
      <c r="BA192" s="22">
        <f t="shared" si="144"/>
        <v>1.1363346501218765</v>
      </c>
      <c r="BB192" s="38">
        <f t="shared" si="145"/>
        <v>5.4434650121876427E-2</v>
      </c>
      <c r="BC192" s="58">
        <f t="shared" si="146"/>
        <v>0.65211260737304833</v>
      </c>
      <c r="BD192" s="32">
        <f t="shared" si="147"/>
        <v>0.35497521622416456</v>
      </c>
      <c r="BE192" s="38">
        <f t="shared" si="148"/>
        <v>544.34650121876427</v>
      </c>
    </row>
    <row r="193" spans="1:57" ht="15">
      <c r="A193" s="138">
        <v>175</v>
      </c>
      <c r="B193" s="139">
        <v>4</v>
      </c>
      <c r="C193" s="140" t="s">
        <v>423</v>
      </c>
      <c r="D193" s="140" t="s">
        <v>426</v>
      </c>
      <c r="E193" s="140" t="s">
        <v>437</v>
      </c>
      <c r="F193" s="140" t="s">
        <v>480</v>
      </c>
      <c r="G193" s="140"/>
      <c r="H193" s="140" t="s">
        <v>484</v>
      </c>
      <c r="I193" s="140">
        <v>50</v>
      </c>
      <c r="J193" s="140">
        <v>10</v>
      </c>
      <c r="K193" s="140">
        <v>15</v>
      </c>
      <c r="L193" s="140" t="s">
        <v>469</v>
      </c>
      <c r="M193" s="140">
        <v>3</v>
      </c>
      <c r="Q193" s="108">
        <v>10</v>
      </c>
      <c r="R193" s="53">
        <v>8</v>
      </c>
      <c r="S193" s="53">
        <f t="shared" si="91"/>
        <v>2</v>
      </c>
      <c r="T193" s="82">
        <v>108</v>
      </c>
      <c r="U193" s="82" t="s">
        <v>377</v>
      </c>
      <c r="V193" s="83">
        <v>3.9077570000000001</v>
      </c>
      <c r="W193" s="83">
        <v>2416.9884808888487</v>
      </c>
      <c r="X193" s="81">
        <v>2.0981507499999998</v>
      </c>
      <c r="Y193" s="81">
        <v>50.124438767221051</v>
      </c>
      <c r="Z193" s="154" t="s">
        <v>54</v>
      </c>
      <c r="AA193" s="75">
        <v>2.9111787500000004</v>
      </c>
      <c r="AB193" s="75">
        <v>7.1289713486518078</v>
      </c>
      <c r="AC193" s="75">
        <v>2.0592423593750002</v>
      </c>
      <c r="AD193" s="75">
        <v>-26.716135928040213</v>
      </c>
      <c r="AE193" s="75">
        <v>2.375375</v>
      </c>
      <c r="AF193" s="75">
        <v>2.375375</v>
      </c>
      <c r="AG193" s="32">
        <f t="shared" si="128"/>
        <v>2.3009777396870598E-2</v>
      </c>
      <c r="AH193" s="32">
        <f t="shared" si="129"/>
        <v>0.53073405008612418</v>
      </c>
      <c r="AI193" s="33">
        <f t="shared" si="130"/>
        <v>8.9916618691062863E-2</v>
      </c>
      <c r="AJ193" s="34">
        <f t="shared" si="131"/>
        <v>1.1135600452387389</v>
      </c>
      <c r="AK193" s="16">
        <f t="shared" si="132"/>
        <v>7.6429125887403443E-2</v>
      </c>
      <c r="AL193" s="16">
        <f t="shared" si="133"/>
        <v>0.94652603845292804</v>
      </c>
      <c r="AM193" s="27">
        <f t="shared" si="134"/>
        <v>76.429125887403444</v>
      </c>
      <c r="AN193" s="27">
        <f t="shared" si="135"/>
        <v>946.52603845292799</v>
      </c>
      <c r="AO193" s="29" t="e">
        <f t="shared" si="136"/>
        <v>#VALUE!</v>
      </c>
      <c r="AP193" s="29" t="e">
        <f t="shared" si="137"/>
        <v>#VALUE!</v>
      </c>
      <c r="AQ193" s="27">
        <f t="shared" si="138"/>
        <v>12.384362995952156</v>
      </c>
      <c r="AR193" s="14">
        <f t="shared" si="139"/>
        <v>2411.839509540197</v>
      </c>
      <c r="AS193" s="25">
        <v>0.36620000000000003</v>
      </c>
      <c r="AT193" s="22">
        <f t="shared" si="140"/>
        <v>1.2386570633873071</v>
      </c>
      <c r="AU193" s="22">
        <f t="shared" si="141"/>
        <v>0.872457063387307</v>
      </c>
      <c r="AV193" s="15"/>
      <c r="AW193" s="22"/>
      <c r="AX193" s="34">
        <f t="shared" si="142"/>
        <v>8724.5706338730688</v>
      </c>
      <c r="AY193" s="14">
        <f t="shared" si="143"/>
        <v>50.810574695261266</v>
      </c>
      <c r="AZ193" s="25">
        <v>1.0819000000000001</v>
      </c>
      <c r="BA193" s="22">
        <f t="shared" si="144"/>
        <v>1.1670157690988994</v>
      </c>
      <c r="BB193" s="38">
        <f t="shared" si="145"/>
        <v>8.5115769098899285E-2</v>
      </c>
      <c r="BC193" s="58">
        <f t="shared" si="146"/>
        <v>1.0721726481045475</v>
      </c>
      <c r="BD193" s="32">
        <f t="shared" si="147"/>
        <v>0.91258799550222069</v>
      </c>
      <c r="BE193" s="38">
        <f t="shared" si="148"/>
        <v>851.15769098899284</v>
      </c>
    </row>
    <row r="194" spans="1:57" ht="15">
      <c r="A194" s="138">
        <v>176</v>
      </c>
      <c r="B194" s="139">
        <v>4</v>
      </c>
      <c r="C194" s="140" t="s">
        <v>425</v>
      </c>
      <c r="D194" s="140" t="s">
        <v>422</v>
      </c>
      <c r="E194" s="140" t="s">
        <v>437</v>
      </c>
      <c r="F194" s="140" t="s">
        <v>480</v>
      </c>
      <c r="G194" s="140"/>
      <c r="H194" s="140" t="s">
        <v>484</v>
      </c>
      <c r="I194" s="140">
        <v>50</v>
      </c>
      <c r="J194" s="140">
        <v>10</v>
      </c>
      <c r="K194" s="140">
        <v>15</v>
      </c>
      <c r="L194" s="140" t="s">
        <v>470</v>
      </c>
      <c r="M194" s="140">
        <v>3</v>
      </c>
      <c r="Q194" s="108">
        <v>10</v>
      </c>
      <c r="R194" s="53">
        <v>8</v>
      </c>
      <c r="S194" s="53">
        <f t="shared" si="91"/>
        <v>2</v>
      </c>
      <c r="T194" s="80">
        <v>109</v>
      </c>
      <c r="U194" s="80" t="s">
        <v>378</v>
      </c>
      <c r="V194" s="81">
        <v>1.141175125</v>
      </c>
      <c r="W194" s="81">
        <v>1841.1392534529675</v>
      </c>
      <c r="X194" s="83">
        <v>0.66749906250000002</v>
      </c>
      <c r="Y194" s="83">
        <v>49.901508446243888</v>
      </c>
      <c r="Z194" s="154" t="s">
        <v>54</v>
      </c>
      <c r="AA194" s="75">
        <v>2.9111787500000004</v>
      </c>
      <c r="AB194" s="75">
        <v>7.1289713486518078</v>
      </c>
      <c r="AC194" s="75">
        <v>2.0592423593750002</v>
      </c>
      <c r="AD194" s="75">
        <v>-26.716135928040213</v>
      </c>
      <c r="AE194" s="75">
        <v>2.375375</v>
      </c>
      <c r="AF194" s="75">
        <v>2.375375</v>
      </c>
      <c r="AG194" s="32">
        <f t="shared" si="128"/>
        <v>2.3009777396870598E-2</v>
      </c>
      <c r="AH194" s="32">
        <f t="shared" si="129"/>
        <v>0.53073405008612418</v>
      </c>
      <c r="AI194" s="33">
        <f t="shared" si="130"/>
        <v>2.6258185597095977E-2</v>
      </c>
      <c r="AJ194" s="34">
        <f t="shared" si="131"/>
        <v>0.35426448086931595</v>
      </c>
      <c r="AK194" s="16">
        <f t="shared" si="132"/>
        <v>2.231945775753158E-2</v>
      </c>
      <c r="AL194" s="16">
        <f t="shared" si="133"/>
        <v>0.30112480873891856</v>
      </c>
      <c r="AM194" s="27">
        <f t="shared" si="134"/>
        <v>22.31945775753158</v>
      </c>
      <c r="AN194" s="27">
        <f t="shared" si="135"/>
        <v>301.12480873891855</v>
      </c>
      <c r="AO194" s="29" t="e">
        <f t="shared" si="136"/>
        <v>#VALUE!</v>
      </c>
      <c r="AP194" s="29" t="e">
        <f t="shared" si="137"/>
        <v>#VALUE!</v>
      </c>
      <c r="AQ194" s="27">
        <f t="shared" si="138"/>
        <v>13.491582636558705</v>
      </c>
      <c r="AR194" s="14">
        <f t="shared" si="139"/>
        <v>1835.9902821043156</v>
      </c>
      <c r="AS194" s="25">
        <v>0.36620000000000003</v>
      </c>
      <c r="AT194" s="22">
        <f t="shared" si="140"/>
        <v>1.0317538899377448</v>
      </c>
      <c r="AU194" s="22">
        <f t="shared" si="141"/>
        <v>0.66555388993774467</v>
      </c>
      <c r="AV194" s="15"/>
      <c r="AW194" s="22"/>
      <c r="AX194" s="34">
        <f t="shared" si="142"/>
        <v>6655.5388993774459</v>
      </c>
      <c r="AY194" s="14">
        <f t="shared" si="143"/>
        <v>50.587644374284096</v>
      </c>
      <c r="AZ194" s="25">
        <v>1.0819000000000001</v>
      </c>
      <c r="BA194" s="22">
        <f t="shared" si="144"/>
        <v>1.1667710744819833</v>
      </c>
      <c r="BB194" s="38">
        <f t="shared" si="145"/>
        <v>8.4871074481983166E-2</v>
      </c>
      <c r="BC194" s="58">
        <f t="shared" si="146"/>
        <v>0.34634797115587523</v>
      </c>
      <c r="BD194" s="32">
        <f t="shared" si="147"/>
        <v>0.29394924456654048</v>
      </c>
      <c r="BE194" s="38">
        <f t="shared" si="148"/>
        <v>848.71074481983169</v>
      </c>
    </row>
    <row r="195" spans="1:57" ht="15">
      <c r="A195" s="138">
        <v>177</v>
      </c>
      <c r="B195" s="140">
        <v>5</v>
      </c>
      <c r="C195" s="140" t="s">
        <v>408</v>
      </c>
      <c r="D195" s="140" t="s">
        <v>420</v>
      </c>
      <c r="E195" s="140" t="s">
        <v>437</v>
      </c>
      <c r="F195" s="140" t="s">
        <v>480</v>
      </c>
      <c r="G195" s="140"/>
      <c r="H195" s="140" t="s">
        <v>485</v>
      </c>
      <c r="I195" s="140">
        <v>50</v>
      </c>
      <c r="J195" s="140">
        <v>10</v>
      </c>
      <c r="K195" s="140">
        <v>15</v>
      </c>
      <c r="L195" s="140" t="s">
        <v>471</v>
      </c>
      <c r="M195" s="140">
        <v>3</v>
      </c>
      <c r="Q195" s="108">
        <v>10</v>
      </c>
      <c r="R195" s="53">
        <v>8</v>
      </c>
      <c r="S195" s="53">
        <f t="shared" si="91"/>
        <v>2</v>
      </c>
      <c r="T195" s="82">
        <v>110</v>
      </c>
      <c r="U195" s="82" t="s">
        <v>379</v>
      </c>
      <c r="V195" s="83">
        <v>4.0064942500000003</v>
      </c>
      <c r="W195" s="83">
        <v>3396.214579855844</v>
      </c>
      <c r="X195" s="81">
        <v>2.3249057500000001</v>
      </c>
      <c r="Y195" s="81">
        <v>87.476433431123056</v>
      </c>
      <c r="Z195" s="154" t="s">
        <v>54</v>
      </c>
      <c r="AA195" s="75">
        <v>2.9111787500000004</v>
      </c>
      <c r="AB195" s="75">
        <v>7.1289713486518078</v>
      </c>
      <c r="AC195" s="75">
        <v>2.0592423593750002</v>
      </c>
      <c r="AD195" s="75">
        <v>-26.716135928040213</v>
      </c>
      <c r="AE195" s="75">
        <v>2.375375</v>
      </c>
      <c r="AF195" s="75">
        <v>2.375375</v>
      </c>
      <c r="AG195" s="32">
        <f t="shared" si="128"/>
        <v>2.3009777396870598E-2</v>
      </c>
      <c r="AH195" s="32">
        <f t="shared" si="129"/>
        <v>0.53073405008612418</v>
      </c>
      <c r="AI195" s="33">
        <f t="shared" si="130"/>
        <v>9.2188540834342025E-2</v>
      </c>
      <c r="AJ195" s="34">
        <f t="shared" si="131"/>
        <v>1.2339066447660181</v>
      </c>
      <c r="AK195" s="16">
        <f t="shared" si="132"/>
        <v>7.8360259709190722E-2</v>
      </c>
      <c r="AL195" s="16">
        <f t="shared" si="133"/>
        <v>1.0488206480511153</v>
      </c>
      <c r="AM195" s="27">
        <f t="shared" si="134"/>
        <v>78.360259709190728</v>
      </c>
      <c r="AN195" s="27">
        <f t="shared" si="135"/>
        <v>1048.8206480511153</v>
      </c>
      <c r="AO195" s="29" t="e">
        <f t="shared" si="136"/>
        <v>#VALUE!</v>
      </c>
      <c r="AP195" s="29" t="e">
        <f t="shared" si="137"/>
        <v>#VALUE!</v>
      </c>
      <c r="AQ195" s="27">
        <f t="shared" si="138"/>
        <v>13.384598927357834</v>
      </c>
      <c r="AR195" s="14">
        <f t="shared" si="139"/>
        <v>3391.0656085071923</v>
      </c>
      <c r="AS195" s="25">
        <v>0.36620000000000003</v>
      </c>
      <c r="AT195" s="22">
        <f t="shared" si="140"/>
        <v>1.5885146181520451</v>
      </c>
      <c r="AU195" s="22">
        <f t="shared" si="141"/>
        <v>1.222314618152045</v>
      </c>
      <c r="AV195" s="15"/>
      <c r="AW195" s="22"/>
      <c r="AX195" s="34">
        <f t="shared" si="142"/>
        <v>12223.146181520447</v>
      </c>
      <c r="AY195" s="14">
        <f t="shared" si="143"/>
        <v>88.162569359163271</v>
      </c>
      <c r="AZ195" s="25">
        <v>1.0819000000000001</v>
      </c>
      <c r="BA195" s="22">
        <f t="shared" si="144"/>
        <v>1.207997271736629</v>
      </c>
      <c r="BB195" s="38">
        <f t="shared" si="145"/>
        <v>0.12609727173662888</v>
      </c>
      <c r="BC195" s="58">
        <f t="shared" si="146"/>
        <v>1.1872141890047649</v>
      </c>
      <c r="BD195" s="32">
        <f t="shared" si="147"/>
        <v>1.4970447020051532</v>
      </c>
      <c r="BE195" s="38">
        <f t="shared" si="148"/>
        <v>1260.9727173662889</v>
      </c>
    </row>
    <row r="196" spans="1:57" ht="15">
      <c r="A196" s="138">
        <v>178</v>
      </c>
      <c r="B196" s="140">
        <v>5</v>
      </c>
      <c r="C196" s="140" t="s">
        <v>413</v>
      </c>
      <c r="D196" s="140" t="s">
        <v>424</v>
      </c>
      <c r="E196" s="140" t="s">
        <v>437</v>
      </c>
      <c r="F196" s="140" t="s">
        <v>480</v>
      </c>
      <c r="G196" s="140"/>
      <c r="H196" s="140" t="s">
        <v>485</v>
      </c>
      <c r="I196" s="140">
        <v>50</v>
      </c>
      <c r="J196" s="140">
        <v>10</v>
      </c>
      <c r="K196" s="140">
        <v>15</v>
      </c>
      <c r="L196" s="140" t="s">
        <v>472</v>
      </c>
      <c r="M196" s="140">
        <v>3</v>
      </c>
      <c r="Q196" s="108">
        <v>10</v>
      </c>
      <c r="R196" s="53">
        <v>8</v>
      </c>
      <c r="S196" s="53">
        <f t="shared" ref="S196:S211" si="149">Q196-R196</f>
        <v>2</v>
      </c>
      <c r="T196" s="80">
        <v>111</v>
      </c>
      <c r="U196" s="80" t="s">
        <v>380</v>
      </c>
      <c r="V196" s="81">
        <v>2.4857174999999998</v>
      </c>
      <c r="W196" s="81">
        <v>1914.8557913080431</v>
      </c>
      <c r="X196" s="83">
        <v>1.323766</v>
      </c>
      <c r="Y196" s="83">
        <v>45.252146188609338</v>
      </c>
      <c r="Z196" s="154" t="s">
        <v>54</v>
      </c>
      <c r="AA196" s="75">
        <v>2.9111787500000004</v>
      </c>
      <c r="AB196" s="75">
        <v>7.1289713486518078</v>
      </c>
      <c r="AC196" s="75">
        <v>2.0592423593750002</v>
      </c>
      <c r="AD196" s="75">
        <v>-26.716135928040213</v>
      </c>
      <c r="AE196" s="75">
        <v>2.375375</v>
      </c>
      <c r="AF196" s="75">
        <v>2.375375</v>
      </c>
      <c r="AG196" s="32">
        <f t="shared" si="128"/>
        <v>2.3009777396870598E-2</v>
      </c>
      <c r="AH196" s="32">
        <f t="shared" si="129"/>
        <v>0.53073405008612418</v>
      </c>
      <c r="AI196" s="33">
        <f t="shared" si="130"/>
        <v>5.7195806346505687E-2</v>
      </c>
      <c r="AJ196" s="34">
        <f t="shared" si="131"/>
        <v>0.7025676905463083</v>
      </c>
      <c r="AK196" s="16">
        <f t="shared" si="132"/>
        <v>4.8616435394529832E-2</v>
      </c>
      <c r="AL196" s="16">
        <f t="shared" si="133"/>
        <v>0.59718253696436208</v>
      </c>
      <c r="AM196" s="27">
        <f t="shared" si="134"/>
        <v>48.61643539452983</v>
      </c>
      <c r="AN196" s="27">
        <f t="shared" si="135"/>
        <v>597.18253696436204</v>
      </c>
      <c r="AO196" s="29" t="e">
        <f t="shared" si="136"/>
        <v>#VALUE!</v>
      </c>
      <c r="AP196" s="29" t="e">
        <f t="shared" si="137"/>
        <v>#VALUE!</v>
      </c>
      <c r="AQ196" s="27">
        <f t="shared" si="138"/>
        <v>12.28355250890227</v>
      </c>
      <c r="AR196" s="14">
        <f t="shared" si="139"/>
        <v>1909.7068199593912</v>
      </c>
      <c r="AS196" s="25">
        <v>0.36620000000000003</v>
      </c>
      <c r="AT196" s="22">
        <f t="shared" si="140"/>
        <v>1.058288684185434</v>
      </c>
      <c r="AU196" s="22">
        <f t="shared" si="141"/>
        <v>0.6920886841854339</v>
      </c>
      <c r="AV196" s="15"/>
      <c r="AW196" s="22"/>
      <c r="AX196" s="34">
        <f t="shared" si="142"/>
        <v>6920.8868418543398</v>
      </c>
      <c r="AY196" s="14">
        <f t="shared" si="143"/>
        <v>45.938282116649546</v>
      </c>
      <c r="AZ196" s="25">
        <v>1.0819000000000001</v>
      </c>
      <c r="BA196" s="22">
        <f t="shared" si="144"/>
        <v>1.1616675269898009</v>
      </c>
      <c r="BB196" s="38">
        <f t="shared" si="145"/>
        <v>7.976752698980083E-2</v>
      </c>
      <c r="BC196" s="58">
        <f t="shared" si="146"/>
        <v>0.67929745289549137</v>
      </c>
      <c r="BD196" s="32">
        <f t="shared" si="147"/>
        <v>0.54185877907944069</v>
      </c>
      <c r="BE196" s="38">
        <f t="shared" si="148"/>
        <v>797.67526989800831</v>
      </c>
    </row>
    <row r="197" spans="1:57" ht="15">
      <c r="A197" s="138">
        <v>179</v>
      </c>
      <c r="B197" s="140">
        <v>5</v>
      </c>
      <c r="C197" s="140" t="s">
        <v>415</v>
      </c>
      <c r="D197" s="140" t="s">
        <v>409</v>
      </c>
      <c r="E197" s="140" t="s">
        <v>437</v>
      </c>
      <c r="F197" s="140" t="s">
        <v>480</v>
      </c>
      <c r="G197" s="140"/>
      <c r="H197" s="140" t="s">
        <v>485</v>
      </c>
      <c r="I197" s="140">
        <v>50</v>
      </c>
      <c r="J197" s="140">
        <v>10</v>
      </c>
      <c r="K197" s="140">
        <v>15</v>
      </c>
      <c r="L197" s="140" t="s">
        <v>473</v>
      </c>
      <c r="M197" s="140">
        <v>3</v>
      </c>
      <c r="Q197" s="108">
        <v>10</v>
      </c>
      <c r="R197" s="53">
        <v>8</v>
      </c>
      <c r="S197" s="53">
        <f t="shared" si="149"/>
        <v>2</v>
      </c>
      <c r="T197" s="82">
        <v>112</v>
      </c>
      <c r="U197" s="82" t="s">
        <v>381</v>
      </c>
      <c r="V197" s="83">
        <v>2.3698524999999999</v>
      </c>
      <c r="W197" s="83">
        <v>2662.9440182500807</v>
      </c>
      <c r="X197" s="81">
        <v>1.3530303749999999</v>
      </c>
      <c r="Y197" s="81">
        <v>62.560226418462584</v>
      </c>
      <c r="Z197" s="154" t="s">
        <v>54</v>
      </c>
      <c r="AA197" s="75">
        <v>2.9111787500000004</v>
      </c>
      <c r="AB197" s="75">
        <v>7.1289713486518078</v>
      </c>
      <c r="AC197" s="75">
        <v>2.0592423593750002</v>
      </c>
      <c r="AD197" s="75">
        <v>-26.716135928040213</v>
      </c>
      <c r="AE197" s="75">
        <v>2.375375</v>
      </c>
      <c r="AF197" s="75">
        <v>2.375375</v>
      </c>
      <c r="AG197" s="32">
        <f t="shared" si="128"/>
        <v>2.3009777396870598E-2</v>
      </c>
      <c r="AH197" s="32">
        <f t="shared" si="129"/>
        <v>0.53073405008612418</v>
      </c>
      <c r="AI197" s="33">
        <f t="shared" si="130"/>
        <v>5.4529778488417273E-2</v>
      </c>
      <c r="AJ197" s="34">
        <f t="shared" si="131"/>
        <v>0.71809929081329738</v>
      </c>
      <c r="AK197" s="16">
        <f t="shared" si="132"/>
        <v>4.6350311715154677E-2</v>
      </c>
      <c r="AL197" s="16">
        <f t="shared" si="133"/>
        <v>0.61038439719130277</v>
      </c>
      <c r="AM197" s="27">
        <f t="shared" si="134"/>
        <v>46.350311715154675</v>
      </c>
      <c r="AN197" s="27">
        <f t="shared" si="135"/>
        <v>610.38439719130281</v>
      </c>
      <c r="AO197" s="29" t="e">
        <f t="shared" si="136"/>
        <v>#VALUE!</v>
      </c>
      <c r="AP197" s="29" t="e">
        <f t="shared" si="137"/>
        <v>#VALUE!</v>
      </c>
      <c r="AQ197" s="27">
        <f t="shared" si="138"/>
        <v>13.168938343768067</v>
      </c>
      <c r="AR197" s="14">
        <f t="shared" si="139"/>
        <v>2657.795046901429</v>
      </c>
      <c r="AS197" s="25">
        <v>0.36620000000000003</v>
      </c>
      <c r="AT197" s="22">
        <f t="shared" si="140"/>
        <v>1.326765695271015</v>
      </c>
      <c r="AU197" s="22">
        <f t="shared" si="141"/>
        <v>0.96056569527101487</v>
      </c>
      <c r="AV197" s="15"/>
      <c r="AW197" s="22"/>
      <c r="AX197" s="34">
        <f t="shared" si="142"/>
        <v>9605.6569527101492</v>
      </c>
      <c r="AY197" s="14">
        <f t="shared" si="143"/>
        <v>63.246362346502792</v>
      </c>
      <c r="AZ197" s="25">
        <v>1.0819000000000001</v>
      </c>
      <c r="BA197" s="22">
        <f t="shared" si="144"/>
        <v>1.1806637221550378</v>
      </c>
      <c r="BB197" s="38">
        <f t="shared" si="145"/>
        <v>9.8763722155037703E-2</v>
      </c>
      <c r="BC197" s="58">
        <f t="shared" si="146"/>
        <v>0.69414439692531116</v>
      </c>
      <c r="BD197" s="32">
        <f t="shared" si="147"/>
        <v>0.68556284353407637</v>
      </c>
      <c r="BE197" s="38">
        <f t="shared" si="148"/>
        <v>987.63722155037703</v>
      </c>
    </row>
    <row r="198" spans="1:57" ht="15">
      <c r="A198" s="138">
        <v>180</v>
      </c>
      <c r="B198" s="140">
        <v>5</v>
      </c>
      <c r="C198" s="140" t="s">
        <v>417</v>
      </c>
      <c r="D198" s="140" t="s">
        <v>426</v>
      </c>
      <c r="E198" s="140" t="s">
        <v>437</v>
      </c>
      <c r="F198" s="140" t="s">
        <v>480</v>
      </c>
      <c r="G198" s="140"/>
      <c r="H198" s="140" t="s">
        <v>485</v>
      </c>
      <c r="I198" s="140">
        <v>50</v>
      </c>
      <c r="J198" s="140">
        <v>10</v>
      </c>
      <c r="K198" s="140">
        <v>15</v>
      </c>
      <c r="L198" s="140" t="s">
        <v>474</v>
      </c>
      <c r="M198" s="140">
        <v>3</v>
      </c>
      <c r="Q198" s="108">
        <v>10</v>
      </c>
      <c r="R198" s="53">
        <v>8</v>
      </c>
      <c r="S198" s="53">
        <f t="shared" si="149"/>
        <v>2</v>
      </c>
      <c r="T198" s="80">
        <v>113</v>
      </c>
      <c r="U198" s="80" t="s">
        <v>382</v>
      </c>
      <c r="V198" s="81">
        <v>1.44495825</v>
      </c>
      <c r="W198" s="81">
        <v>3127.5791230628311</v>
      </c>
      <c r="X198" s="83">
        <v>0.82013293750000005</v>
      </c>
      <c r="Y198" s="83">
        <v>115.83618161124382</v>
      </c>
      <c r="Z198" s="154" t="s">
        <v>54</v>
      </c>
      <c r="AA198" s="75">
        <v>2.9111787500000004</v>
      </c>
      <c r="AB198" s="75">
        <v>7.1289713486518078</v>
      </c>
      <c r="AC198" s="75">
        <v>2.0592423593750002</v>
      </c>
      <c r="AD198" s="75">
        <v>-26.716135928040213</v>
      </c>
      <c r="AE198" s="75">
        <v>2.375375</v>
      </c>
      <c r="AF198" s="75">
        <v>2.375375</v>
      </c>
      <c r="AG198" s="32">
        <f t="shared" si="128"/>
        <v>2.3009777396870598E-2</v>
      </c>
      <c r="AH198" s="32">
        <f t="shared" si="129"/>
        <v>0.53073405008612418</v>
      </c>
      <c r="AI198" s="33">
        <f t="shared" si="130"/>
        <v>3.3248167680271695E-2</v>
      </c>
      <c r="AJ198" s="34">
        <f t="shared" si="131"/>
        <v>0.4352724755284052</v>
      </c>
      <c r="AK198" s="16">
        <f t="shared" si="132"/>
        <v>2.8260942528230942E-2</v>
      </c>
      <c r="AL198" s="16">
        <f t="shared" si="133"/>
        <v>0.36998160419914444</v>
      </c>
      <c r="AM198" s="27">
        <f t="shared" si="134"/>
        <v>28.260942528230942</v>
      </c>
      <c r="AN198" s="27">
        <f t="shared" si="135"/>
        <v>369.98160419914444</v>
      </c>
      <c r="AO198" s="29" t="e">
        <f t="shared" si="136"/>
        <v>#VALUE!</v>
      </c>
      <c r="AP198" s="29" t="e">
        <f t="shared" si="137"/>
        <v>#VALUE!</v>
      </c>
      <c r="AQ198" s="27">
        <f t="shared" si="138"/>
        <v>13.09162296443424</v>
      </c>
      <c r="AR198" s="14">
        <f t="shared" si="139"/>
        <v>3122.4301517141794</v>
      </c>
      <c r="AS198" s="25">
        <v>0.36620000000000003</v>
      </c>
      <c r="AT198" s="22">
        <f t="shared" si="140"/>
        <v>1.4927836015991318</v>
      </c>
      <c r="AU198" s="22">
        <f t="shared" si="141"/>
        <v>1.1265836015991317</v>
      </c>
      <c r="AV198" s="15"/>
      <c r="AW198" s="22"/>
      <c r="AX198" s="34">
        <f t="shared" si="142"/>
        <v>11265.836015991317</v>
      </c>
      <c r="AY198" s="14">
        <f t="shared" si="143"/>
        <v>116.52231753928403</v>
      </c>
      <c r="AZ198" s="25">
        <v>1.0819000000000001</v>
      </c>
      <c r="BA198" s="22">
        <f t="shared" si="144"/>
        <v>1.2390900567062884</v>
      </c>
      <c r="BB198" s="38">
        <f t="shared" si="145"/>
        <v>0.15719005670628827</v>
      </c>
      <c r="BC198" s="58">
        <f t="shared" si="146"/>
        <v>0.42378501189839984</v>
      </c>
      <c r="BD198" s="32">
        <f t="shared" si="147"/>
        <v>0.66614790051584527</v>
      </c>
      <c r="BE198" s="38">
        <f t="shared" si="148"/>
        <v>1571.9005670628828</v>
      </c>
    </row>
    <row r="199" spans="1:57" ht="15">
      <c r="A199" s="138">
        <v>181</v>
      </c>
      <c r="B199" s="140">
        <v>5</v>
      </c>
      <c r="C199" s="140" t="s">
        <v>419</v>
      </c>
      <c r="D199" s="140" t="s">
        <v>418</v>
      </c>
      <c r="E199" s="140" t="s">
        <v>437</v>
      </c>
      <c r="F199" s="140" t="s">
        <v>480</v>
      </c>
      <c r="G199" s="140"/>
      <c r="H199" s="140" t="s">
        <v>485</v>
      </c>
      <c r="I199" s="140">
        <v>50</v>
      </c>
      <c r="J199" s="140">
        <v>10</v>
      </c>
      <c r="K199" s="140">
        <v>15</v>
      </c>
      <c r="L199" s="140" t="s">
        <v>475</v>
      </c>
      <c r="M199" s="140">
        <v>3</v>
      </c>
      <c r="Q199" s="108">
        <v>10</v>
      </c>
      <c r="R199" s="53">
        <v>8</v>
      </c>
      <c r="S199" s="53">
        <f t="shared" si="149"/>
        <v>2</v>
      </c>
      <c r="T199" s="82">
        <v>114</v>
      </c>
      <c r="U199" s="82" t="s">
        <v>383</v>
      </c>
      <c r="V199" s="83">
        <v>1.944598125</v>
      </c>
      <c r="W199" s="83">
        <v>148.2685433675542</v>
      </c>
      <c r="X199" s="81">
        <v>0.94722218749999998</v>
      </c>
      <c r="Y199" s="81">
        <v>-20.802742239118519</v>
      </c>
      <c r="Z199" s="154" t="s">
        <v>54</v>
      </c>
      <c r="AA199" s="75">
        <v>2.9111787500000004</v>
      </c>
      <c r="AB199" s="75">
        <v>7.1289713486518078</v>
      </c>
      <c r="AC199" s="75">
        <v>2.0592423593750002</v>
      </c>
      <c r="AD199" s="75">
        <v>-26.716135928040213</v>
      </c>
      <c r="AE199" s="75">
        <v>2.375375</v>
      </c>
      <c r="AF199" s="75">
        <v>2.375375</v>
      </c>
      <c r="AG199" s="32">
        <f t="shared" si="128"/>
        <v>2.3009777396870598E-2</v>
      </c>
      <c r="AH199" s="32">
        <f t="shared" si="129"/>
        <v>0.53073405008612418</v>
      </c>
      <c r="AI199" s="33">
        <f t="shared" si="130"/>
        <v>4.4744769982621946E-2</v>
      </c>
      <c r="AJ199" s="34">
        <f t="shared" si="131"/>
        <v>0.50272306790331311</v>
      </c>
      <c r="AK199" s="16">
        <f t="shared" si="132"/>
        <v>3.8033054485228653E-2</v>
      </c>
      <c r="AL199" s="16">
        <f t="shared" si="133"/>
        <v>0.42731460771781615</v>
      </c>
      <c r="AM199" s="27">
        <f t="shared" si="134"/>
        <v>38.033054485228654</v>
      </c>
      <c r="AN199" s="27">
        <f t="shared" si="135"/>
        <v>427.31460771781616</v>
      </c>
      <c r="AO199" s="29" t="e">
        <f t="shared" si="136"/>
        <v>#VALUE!</v>
      </c>
      <c r="AP199" s="29" t="e">
        <f t="shared" si="137"/>
        <v>#VALUE!</v>
      </c>
      <c r="AQ199" s="27">
        <f t="shared" si="138"/>
        <v>11.235348133392161</v>
      </c>
      <c r="AR199" s="14">
        <f t="shared" si="139"/>
        <v>143.1195720189024</v>
      </c>
      <c r="AS199" s="25">
        <v>0.36620000000000003</v>
      </c>
      <c r="AT199" s="22">
        <f t="shared" si="140"/>
        <v>0.41845237280045183</v>
      </c>
      <c r="AU199" s="22">
        <f t="shared" si="141"/>
        <v>5.2252372800451807E-2</v>
      </c>
      <c r="AV199" s="15"/>
      <c r="AW199" s="22"/>
      <c r="AX199" s="34">
        <f t="shared" si="142"/>
        <v>522.52372800451803</v>
      </c>
      <c r="AY199" s="14">
        <f t="shared" si="143"/>
        <v>-20.116606311078307</v>
      </c>
      <c r="AZ199" s="25">
        <v>1.0819000000000001</v>
      </c>
      <c r="BA199" s="22">
        <f t="shared" si="144"/>
        <v>1.0891029121104434</v>
      </c>
      <c r="BB199" s="38">
        <f t="shared" si="145"/>
        <v>7.2029121104433269E-3</v>
      </c>
      <c r="BC199" s="58">
        <f t="shared" si="146"/>
        <v>0.48826228098553326</v>
      </c>
      <c r="BD199" s="32">
        <f t="shared" si="147"/>
        <v>3.51691029678338E-2</v>
      </c>
      <c r="BE199" s="38">
        <f t="shared" si="148"/>
        <v>72.029121104433273</v>
      </c>
    </row>
    <row r="200" spans="1:57" ht="15">
      <c r="A200" s="138">
        <v>182</v>
      </c>
      <c r="B200" s="140">
        <v>5</v>
      </c>
      <c r="C200" s="140" t="s">
        <v>421</v>
      </c>
      <c r="D200" s="140" t="s">
        <v>416</v>
      </c>
      <c r="E200" s="140" t="s">
        <v>437</v>
      </c>
      <c r="F200" s="140" t="s">
        <v>480</v>
      </c>
      <c r="G200" s="140"/>
      <c r="H200" s="140" t="s">
        <v>485</v>
      </c>
      <c r="I200" s="140">
        <v>50</v>
      </c>
      <c r="J200" s="140">
        <v>10</v>
      </c>
      <c r="K200" s="140">
        <v>15</v>
      </c>
      <c r="L200" s="140" t="s">
        <v>476</v>
      </c>
      <c r="M200" s="140">
        <v>3</v>
      </c>
      <c r="Q200" s="108">
        <v>10</v>
      </c>
      <c r="R200" s="53">
        <v>8</v>
      </c>
      <c r="S200" s="53">
        <f t="shared" si="149"/>
        <v>2</v>
      </c>
      <c r="T200" s="80">
        <v>115</v>
      </c>
      <c r="U200" s="80" t="s">
        <v>384</v>
      </c>
      <c r="V200" s="81">
        <v>1.462021</v>
      </c>
      <c r="W200" s="81">
        <v>1229.8720850354894</v>
      </c>
      <c r="X200" s="83">
        <v>0.80778806250000001</v>
      </c>
      <c r="Y200" s="83">
        <v>25.639980981604019</v>
      </c>
      <c r="Z200" s="154" t="s">
        <v>54</v>
      </c>
      <c r="AA200" s="75">
        <v>2.9111787500000004</v>
      </c>
      <c r="AB200" s="75">
        <v>7.1289713486518078</v>
      </c>
      <c r="AC200" s="75">
        <v>2.0592423593750002</v>
      </c>
      <c r="AD200" s="75">
        <v>-26.716135928040213</v>
      </c>
      <c r="AE200" s="75">
        <v>2.375375</v>
      </c>
      <c r="AF200" s="75">
        <v>2.375375</v>
      </c>
      <c r="AG200" s="32">
        <f t="shared" si="128"/>
        <v>2.3009777396870598E-2</v>
      </c>
      <c r="AH200" s="32">
        <f t="shared" si="129"/>
        <v>0.53073405008612418</v>
      </c>
      <c r="AI200" s="33">
        <f t="shared" si="130"/>
        <v>3.3640777759550149E-2</v>
      </c>
      <c r="AJ200" s="34">
        <f t="shared" si="131"/>
        <v>0.42872063002184824</v>
      </c>
      <c r="AK200" s="16">
        <f t="shared" si="132"/>
        <v>2.8594661095617625E-2</v>
      </c>
      <c r="AL200" s="16">
        <f t="shared" si="133"/>
        <v>0.364412535518571</v>
      </c>
      <c r="AM200" s="27">
        <f t="shared" si="134"/>
        <v>28.594661095617624</v>
      </c>
      <c r="AN200" s="27">
        <f t="shared" si="135"/>
        <v>364.41253551857102</v>
      </c>
      <c r="AO200" s="29" t="e">
        <f t="shared" si="136"/>
        <v>#VALUE!</v>
      </c>
      <c r="AP200" s="29" t="e">
        <f t="shared" si="137"/>
        <v>#VALUE!</v>
      </c>
      <c r="AQ200" s="27">
        <f t="shared" si="138"/>
        <v>12.744076046224597</v>
      </c>
      <c r="AR200" s="14">
        <f t="shared" si="139"/>
        <v>1224.7231136868375</v>
      </c>
      <c r="AS200" s="25">
        <v>0.36620000000000003</v>
      </c>
      <c r="AT200" s="22">
        <f t="shared" si="140"/>
        <v>0.81117436597545212</v>
      </c>
      <c r="AU200" s="22">
        <f t="shared" si="141"/>
        <v>0.44497436597545209</v>
      </c>
      <c r="AV200" s="15"/>
      <c r="AW200" s="22"/>
      <c r="AX200" s="34">
        <f t="shared" si="142"/>
        <v>4449.7436597545211</v>
      </c>
      <c r="AY200" s="14">
        <f t="shared" si="143"/>
        <v>26.326116909644231</v>
      </c>
      <c r="AZ200" s="25">
        <v>1.0819000000000001</v>
      </c>
      <c r="BA200" s="22">
        <f t="shared" si="144"/>
        <v>1.1401336934121176</v>
      </c>
      <c r="BB200" s="38">
        <f t="shared" si="145"/>
        <v>5.8233693412117482E-2</v>
      </c>
      <c r="BC200" s="58">
        <f t="shared" si="146"/>
        <v>0.41752198156954018</v>
      </c>
      <c r="BD200" s="32">
        <f t="shared" si="147"/>
        <v>0.2431384706754037</v>
      </c>
      <c r="BE200" s="38">
        <f t="shared" si="148"/>
        <v>582.33693412117486</v>
      </c>
    </row>
    <row r="201" spans="1:57" ht="15">
      <c r="A201" s="138">
        <v>183</v>
      </c>
      <c r="B201" s="140">
        <v>5</v>
      </c>
      <c r="C201" s="140" t="s">
        <v>423</v>
      </c>
      <c r="D201" s="140" t="s">
        <v>422</v>
      </c>
      <c r="E201" s="140" t="s">
        <v>437</v>
      </c>
      <c r="F201" s="140" t="s">
        <v>480</v>
      </c>
      <c r="G201" s="140"/>
      <c r="H201" s="140" t="s">
        <v>485</v>
      </c>
      <c r="I201" s="140">
        <v>50</v>
      </c>
      <c r="J201" s="140">
        <v>10</v>
      </c>
      <c r="K201" s="140">
        <v>15</v>
      </c>
      <c r="L201" s="140" t="s">
        <v>477</v>
      </c>
      <c r="M201" s="140">
        <v>3</v>
      </c>
      <c r="Q201" s="108">
        <v>10</v>
      </c>
      <c r="R201" s="53">
        <v>8</v>
      </c>
      <c r="S201" s="53">
        <f t="shared" si="149"/>
        <v>2</v>
      </c>
      <c r="T201" s="82">
        <v>116</v>
      </c>
      <c r="U201" s="82" t="s">
        <v>385</v>
      </c>
      <c r="V201" s="83">
        <v>3.4357932500000001</v>
      </c>
      <c r="W201" s="83">
        <v>5980.493083171451</v>
      </c>
      <c r="X201" s="81">
        <v>1.810720125</v>
      </c>
      <c r="Y201" s="81">
        <v>199.97124894771338</v>
      </c>
      <c r="Z201" s="154" t="s">
        <v>54</v>
      </c>
      <c r="AA201" s="75">
        <v>2.9111787500000004</v>
      </c>
      <c r="AB201" s="75">
        <v>7.1289713486518078</v>
      </c>
      <c r="AC201" s="75">
        <v>2.0592423593750002</v>
      </c>
      <c r="AD201" s="75">
        <v>-26.716135928040213</v>
      </c>
      <c r="AE201" s="75">
        <v>2.375375</v>
      </c>
      <c r="AF201" s="75">
        <v>2.375375</v>
      </c>
      <c r="AG201" s="32">
        <f t="shared" si="128"/>
        <v>2.3009777396870598E-2</v>
      </c>
      <c r="AH201" s="32">
        <f t="shared" si="129"/>
        <v>0.53073405008612418</v>
      </c>
      <c r="AI201" s="33">
        <f t="shared" si="130"/>
        <v>7.9056837864170573E-2</v>
      </c>
      <c r="AJ201" s="34">
        <f t="shared" si="131"/>
        <v>0.96101082551370298</v>
      </c>
      <c r="AK201" s="16">
        <f t="shared" si="132"/>
        <v>6.7198312184544987E-2</v>
      </c>
      <c r="AL201" s="16">
        <f t="shared" si="133"/>
        <v>0.81685920168664761</v>
      </c>
      <c r="AM201" s="27">
        <f t="shared" si="134"/>
        <v>67.198312184544989</v>
      </c>
      <c r="AN201" s="27">
        <f t="shared" si="135"/>
        <v>816.85920168664757</v>
      </c>
      <c r="AO201" s="29" t="e">
        <f t="shared" si="136"/>
        <v>#VALUE!</v>
      </c>
      <c r="AP201" s="29" t="e">
        <f t="shared" si="137"/>
        <v>#VALUE!</v>
      </c>
      <c r="AQ201" s="27">
        <f t="shared" si="138"/>
        <v>12.155948194700608</v>
      </c>
      <c r="AR201" s="14">
        <f t="shared" si="139"/>
        <v>5975.3441118227993</v>
      </c>
      <c r="AS201" s="25">
        <v>0.36620000000000003</v>
      </c>
      <c r="AT201" s="22">
        <f t="shared" si="140"/>
        <v>2.5000322560297779</v>
      </c>
      <c r="AU201" s="22">
        <f t="shared" si="141"/>
        <v>2.1338322560297778</v>
      </c>
      <c r="AV201" s="15"/>
      <c r="AW201" s="22"/>
      <c r="AX201" s="34">
        <f t="shared" si="142"/>
        <v>21338.322560297776</v>
      </c>
      <c r="AY201" s="14">
        <f t="shared" si="143"/>
        <v>200.65738487575359</v>
      </c>
      <c r="AZ201" s="25">
        <v>1.0819000000000001</v>
      </c>
      <c r="BA201" s="22">
        <f t="shared" si="144"/>
        <v>1.3312181910555771</v>
      </c>
      <c r="BB201" s="38">
        <f t="shared" si="145"/>
        <v>0.24931819105557707</v>
      </c>
      <c r="BC201" s="58">
        <f t="shared" si="146"/>
        <v>0.92634802680882089</v>
      </c>
      <c r="BD201" s="32">
        <f t="shared" si="147"/>
        <v>2.3095541433187843</v>
      </c>
      <c r="BE201" s="38">
        <f t="shared" si="148"/>
        <v>2493.1819105557706</v>
      </c>
    </row>
    <row r="202" spans="1:57" ht="15">
      <c r="A202" s="138">
        <v>184</v>
      </c>
      <c r="B202" s="140">
        <v>5</v>
      </c>
      <c r="C202" s="140" t="s">
        <v>425</v>
      </c>
      <c r="D202" s="140" t="s">
        <v>414</v>
      </c>
      <c r="E202" s="140" t="s">
        <v>437</v>
      </c>
      <c r="F202" s="140" t="s">
        <v>480</v>
      </c>
      <c r="G202" s="140"/>
      <c r="H202" s="140" t="s">
        <v>485</v>
      </c>
      <c r="I202" s="140">
        <v>50</v>
      </c>
      <c r="J202" s="140">
        <v>10</v>
      </c>
      <c r="K202" s="140">
        <v>15</v>
      </c>
      <c r="L202" s="140" t="s">
        <v>478</v>
      </c>
      <c r="M202" s="140">
        <v>3</v>
      </c>
      <c r="Q202" s="108">
        <v>10</v>
      </c>
      <c r="R202" s="53">
        <v>8</v>
      </c>
      <c r="S202" s="53">
        <f t="shared" si="149"/>
        <v>2</v>
      </c>
      <c r="T202" s="80">
        <v>117</v>
      </c>
      <c r="U202" s="80" t="s">
        <v>386</v>
      </c>
      <c r="V202" s="81">
        <v>2.1080527500000001</v>
      </c>
      <c r="W202" s="81">
        <v>2177.5469631473115</v>
      </c>
      <c r="X202" s="83">
        <v>1.0447834375</v>
      </c>
      <c r="Y202" s="83">
        <v>68.47223956774063</v>
      </c>
      <c r="Z202" s="154" t="s">
        <v>54</v>
      </c>
      <c r="AA202" s="75">
        <v>2.9111787500000004</v>
      </c>
      <c r="AB202" s="75">
        <v>7.1289713486518078</v>
      </c>
      <c r="AC202" s="75">
        <v>2.0592423593750002</v>
      </c>
      <c r="AD202" s="75">
        <v>-26.716135928040213</v>
      </c>
      <c r="AE202" s="75">
        <v>2.375375</v>
      </c>
      <c r="AF202" s="75">
        <v>2.375375</v>
      </c>
      <c r="AG202" s="32">
        <f t="shared" si="128"/>
        <v>2.3009777396870598E-2</v>
      </c>
      <c r="AH202" s="32">
        <f t="shared" si="129"/>
        <v>0.53073405008612418</v>
      </c>
      <c r="AI202" s="33">
        <f t="shared" si="130"/>
        <v>4.8505824518360906E-2</v>
      </c>
      <c r="AJ202" s="34">
        <f t="shared" si="131"/>
        <v>0.55450214524727803</v>
      </c>
      <c r="AK202" s="16">
        <f t="shared" si="132"/>
        <v>4.1229950840606773E-2</v>
      </c>
      <c r="AL202" s="16">
        <f t="shared" si="133"/>
        <v>0.47132682346018634</v>
      </c>
      <c r="AM202" s="27">
        <f t="shared" si="134"/>
        <v>41.229950840606776</v>
      </c>
      <c r="AN202" s="27">
        <f t="shared" si="135"/>
        <v>471.32682346018635</v>
      </c>
      <c r="AO202" s="29" t="e">
        <f t="shared" si="136"/>
        <v>#VALUE!</v>
      </c>
      <c r="AP202" s="29" t="e">
        <f t="shared" si="137"/>
        <v>#VALUE!</v>
      </c>
      <c r="AQ202" s="27">
        <f t="shared" si="138"/>
        <v>11.431661058299966</v>
      </c>
      <c r="AR202" s="14">
        <f t="shared" si="139"/>
        <v>2172.3979917986599</v>
      </c>
      <c r="AS202" s="25">
        <v>0.36620000000000003</v>
      </c>
      <c r="AT202" s="22">
        <f t="shared" si="140"/>
        <v>1.1527306622550164</v>
      </c>
      <c r="AU202" s="22">
        <f t="shared" si="141"/>
        <v>0.78653066225501633</v>
      </c>
      <c r="AV202" s="15"/>
      <c r="AW202" s="22"/>
      <c r="AX202" s="34">
        <f t="shared" si="142"/>
        <v>7865.3066225501625</v>
      </c>
      <c r="AY202" s="14">
        <f t="shared" si="143"/>
        <v>69.158375495780845</v>
      </c>
      <c r="AZ202" s="25">
        <v>1.0819000000000001</v>
      </c>
      <c r="BA202" s="22">
        <f t="shared" si="144"/>
        <v>1.1871506807719401</v>
      </c>
      <c r="BB202" s="38">
        <f t="shared" si="145"/>
        <v>0.10525068077194</v>
      </c>
      <c r="BC202" s="58">
        <f t="shared" si="146"/>
        <v>0.53775885893156028</v>
      </c>
      <c r="BD202" s="32">
        <f t="shared" si="147"/>
        <v>0.56599485993688359</v>
      </c>
      <c r="BE202" s="38">
        <f t="shared" si="148"/>
        <v>1052.5068077194001</v>
      </c>
    </row>
    <row r="203" spans="1:57" ht="15">
      <c r="A203" s="135"/>
      <c r="B203" s="136"/>
      <c r="C203" s="135"/>
      <c r="D203" s="135" t="s">
        <v>116</v>
      </c>
      <c r="E203" s="135"/>
      <c r="F203" s="135" t="s">
        <v>55</v>
      </c>
      <c r="G203" s="135"/>
      <c r="H203" s="135"/>
      <c r="I203" s="135"/>
      <c r="J203" s="135"/>
      <c r="K203" s="135"/>
      <c r="L203" s="135" t="s">
        <v>479</v>
      </c>
      <c r="M203" s="137">
        <v>3</v>
      </c>
      <c r="Q203" s="108">
        <v>10</v>
      </c>
      <c r="R203" s="53">
        <v>8</v>
      </c>
      <c r="S203" s="53">
        <f t="shared" si="149"/>
        <v>2</v>
      </c>
      <c r="T203" s="82">
        <v>118</v>
      </c>
      <c r="U203" s="82" t="s">
        <v>387</v>
      </c>
      <c r="V203" s="83">
        <v>1.4949133750000001</v>
      </c>
      <c r="W203" s="83">
        <v>3.9238927795591683</v>
      </c>
      <c r="X203" s="81">
        <v>1.1594733749999999</v>
      </c>
      <c r="Y203" s="81">
        <v>-32.179676125237457</v>
      </c>
      <c r="Z203" s="154">
        <v>1.353</v>
      </c>
      <c r="AA203" s="75">
        <v>2.9111787500000004</v>
      </c>
      <c r="AB203" s="75">
        <v>7.1289713486518078</v>
      </c>
      <c r="AC203" s="75">
        <v>2.0592423593750002</v>
      </c>
      <c r="AD203" s="75">
        <v>-26.716135928040213</v>
      </c>
      <c r="AE203" s="75">
        <v>2.375375</v>
      </c>
      <c r="AF203" s="75">
        <v>2.375375</v>
      </c>
      <c r="AG203" s="32">
        <f t="shared" si="128"/>
        <v>2.3009777396870598E-2</v>
      </c>
      <c r="AH203" s="32">
        <f t="shared" si="129"/>
        <v>0.53073405008612418</v>
      </c>
      <c r="AI203" s="33">
        <f t="shared" si="130"/>
        <v>3.4397623986354542E-2</v>
      </c>
      <c r="AJ203" s="34">
        <f t="shared" si="131"/>
        <v>0.61537200028077743</v>
      </c>
      <c r="AK203" s="16" t="e">
        <f t="shared" si="132"/>
        <v>#DIV/0!</v>
      </c>
      <c r="AL203" s="16" t="e">
        <f t="shared" si="133"/>
        <v>#DIV/0!</v>
      </c>
      <c r="AM203" s="27" t="e">
        <f t="shared" si="134"/>
        <v>#DIV/0!</v>
      </c>
      <c r="AN203" s="27" t="e">
        <f t="shared" si="135"/>
        <v>#DIV/0!</v>
      </c>
      <c r="AO203" s="29">
        <f t="shared" si="136"/>
        <v>2.5423225414896189</v>
      </c>
      <c r="AP203" s="29">
        <f t="shared" si="137"/>
        <v>45.482039932060417</v>
      </c>
      <c r="AQ203" s="27">
        <f t="shared" si="138"/>
        <v>17.889956600633059</v>
      </c>
      <c r="AR203" s="14">
        <f t="shared" si="139"/>
        <v>-1.2250785690926391</v>
      </c>
      <c r="AS203" s="25">
        <v>0.36620000000000003</v>
      </c>
      <c r="AT203" s="22">
        <f t="shared" si="140"/>
        <v>0.36580660341322269</v>
      </c>
      <c r="AU203" s="22">
        <f t="shared" si="141"/>
        <v>-3.9339658677733924E-4</v>
      </c>
      <c r="AV203" s="15"/>
      <c r="AW203" s="22"/>
      <c r="AX203" s="34">
        <f t="shared" si="142"/>
        <v>-3.9339658677733924</v>
      </c>
      <c r="AY203" s="14">
        <f t="shared" si="143"/>
        <v>-31.493540197197245</v>
      </c>
      <c r="AZ203" s="25">
        <v>1.0819000000000001</v>
      </c>
      <c r="BA203" s="22">
        <f t="shared" si="144"/>
        <v>1.0765940208602216</v>
      </c>
      <c r="BB203" s="38">
        <f t="shared" si="145"/>
        <v>-5.3059791397784828E-3</v>
      </c>
      <c r="BC203" s="58" t="e">
        <f t="shared" si="146"/>
        <v>#DIV/0!</v>
      </c>
      <c r="BD203" s="32" t="e">
        <f t="shared" si="147"/>
        <v>#DIV/0!</v>
      </c>
      <c r="BE203" s="38">
        <f t="shared" si="148"/>
        <v>-53.059791397784828</v>
      </c>
    </row>
    <row r="204" spans="1:57" ht="15">
      <c r="A204" s="138">
        <v>185</v>
      </c>
      <c r="B204" s="140">
        <v>6</v>
      </c>
      <c r="C204" s="140" t="s">
        <v>408</v>
      </c>
      <c r="D204" s="140" t="s">
        <v>422</v>
      </c>
      <c r="E204" s="140" t="s">
        <v>437</v>
      </c>
      <c r="F204" s="140" t="s">
        <v>480</v>
      </c>
      <c r="G204" s="140"/>
      <c r="H204" s="140" t="s">
        <v>486</v>
      </c>
      <c r="I204" s="140">
        <v>50</v>
      </c>
      <c r="J204" s="140">
        <v>10</v>
      </c>
      <c r="K204" s="140">
        <v>15</v>
      </c>
      <c r="L204" s="140" t="s">
        <v>62</v>
      </c>
      <c r="M204" s="140">
        <v>4</v>
      </c>
      <c r="Q204" s="108">
        <v>10</v>
      </c>
      <c r="R204" s="53">
        <v>8</v>
      </c>
      <c r="S204" s="53">
        <f t="shared" si="149"/>
        <v>2</v>
      </c>
      <c r="T204" s="80">
        <v>119</v>
      </c>
      <c r="U204" s="80" t="s">
        <v>388</v>
      </c>
      <c r="V204" s="81">
        <v>2.67681725</v>
      </c>
      <c r="W204" s="81">
        <v>4278.3250618595639</v>
      </c>
      <c r="X204" s="83">
        <v>1.500911125</v>
      </c>
      <c r="Y204" s="83">
        <v>138.17161958120602</v>
      </c>
      <c r="Z204" s="154" t="s">
        <v>54</v>
      </c>
      <c r="AA204" s="75">
        <v>2.9111787500000004</v>
      </c>
      <c r="AB204" s="75">
        <v>7.1289713486518078</v>
      </c>
      <c r="AC204" s="75">
        <v>2.0592423593750002</v>
      </c>
      <c r="AD204" s="75">
        <v>-26.716135928040213</v>
      </c>
      <c r="AE204" s="75">
        <v>2.375375</v>
      </c>
      <c r="AF204" s="75">
        <v>2.375375</v>
      </c>
      <c r="AG204" s="32">
        <f t="shared" si="128"/>
        <v>2.3009777396870598E-2</v>
      </c>
      <c r="AH204" s="32">
        <f t="shared" si="129"/>
        <v>0.53073405008612418</v>
      </c>
      <c r="AI204" s="33">
        <f t="shared" si="130"/>
        <v>6.1592969054603312E-2</v>
      </c>
      <c r="AJ204" s="34">
        <f t="shared" si="131"/>
        <v>0.79658464019057096</v>
      </c>
      <c r="AK204" s="16">
        <f t="shared" si="132"/>
        <v>5.2354023696412816E-2</v>
      </c>
      <c r="AL204" s="16">
        <f t="shared" si="133"/>
        <v>0.67709694416198529</v>
      </c>
      <c r="AM204" s="27">
        <f t="shared" si="134"/>
        <v>52.354023696412817</v>
      </c>
      <c r="AN204" s="27">
        <f t="shared" si="135"/>
        <v>677.09694416198533</v>
      </c>
      <c r="AO204" s="29" t="e">
        <f t="shared" si="136"/>
        <v>#VALUE!</v>
      </c>
      <c r="AP204" s="29" t="e">
        <f t="shared" si="137"/>
        <v>#VALUE!</v>
      </c>
      <c r="AQ204" s="27">
        <f t="shared" si="138"/>
        <v>12.933044995515379</v>
      </c>
      <c r="AR204" s="14">
        <f t="shared" si="139"/>
        <v>4273.1760905109122</v>
      </c>
      <c r="AS204" s="25">
        <v>0.36620000000000003</v>
      </c>
      <c r="AT204" s="22">
        <f t="shared" si="140"/>
        <v>1.9015593333627909</v>
      </c>
      <c r="AU204" s="22">
        <f t="shared" si="141"/>
        <v>1.5353593333627908</v>
      </c>
      <c r="AV204" s="15"/>
      <c r="AW204" s="22"/>
      <c r="AX204" s="34">
        <f t="shared" si="142"/>
        <v>15353.593333627909</v>
      </c>
      <c r="AY204" s="14">
        <f t="shared" si="143"/>
        <v>138.85775550924623</v>
      </c>
      <c r="AZ204" s="25">
        <v>1.0819000000000001</v>
      </c>
      <c r="BA204" s="22">
        <f t="shared" si="144"/>
        <v>1.2635641934595143</v>
      </c>
      <c r="BB204" s="38">
        <f t="shared" si="145"/>
        <v>0.18166419345951423</v>
      </c>
      <c r="BC204" s="58">
        <f t="shared" si="146"/>
        <v>0.76916999437401035</v>
      </c>
      <c r="BD204" s="32">
        <f t="shared" si="147"/>
        <v>1.3973064666121369</v>
      </c>
      <c r="BE204" s="38">
        <f t="shared" si="148"/>
        <v>1816.6419345951424</v>
      </c>
    </row>
    <row r="205" spans="1:57" ht="15">
      <c r="A205" s="138">
        <v>186</v>
      </c>
      <c r="B205" s="140">
        <v>6</v>
      </c>
      <c r="C205" s="140" t="s">
        <v>413</v>
      </c>
      <c r="D205" s="140" t="s">
        <v>426</v>
      </c>
      <c r="E205" s="140" t="s">
        <v>437</v>
      </c>
      <c r="F205" s="140" t="s">
        <v>480</v>
      </c>
      <c r="G205" s="140"/>
      <c r="H205" s="140" t="s">
        <v>486</v>
      </c>
      <c r="I205" s="140">
        <v>50</v>
      </c>
      <c r="J205" s="140">
        <v>10</v>
      </c>
      <c r="K205" s="140">
        <v>15</v>
      </c>
      <c r="L205" s="140" t="s">
        <v>63</v>
      </c>
      <c r="M205" s="140">
        <v>4</v>
      </c>
      <c r="Q205" s="108">
        <v>10</v>
      </c>
      <c r="R205" s="53">
        <v>8</v>
      </c>
      <c r="S205" s="53">
        <f t="shared" si="149"/>
        <v>2</v>
      </c>
      <c r="T205" s="82">
        <v>120</v>
      </c>
      <c r="U205" s="82" t="s">
        <v>389</v>
      </c>
      <c r="V205" s="83">
        <v>2.98057375</v>
      </c>
      <c r="W205" s="83">
        <v>2182.7165005789489</v>
      </c>
      <c r="X205" s="81">
        <v>1.7647142499999999</v>
      </c>
      <c r="Y205" s="81">
        <v>43.471492258577527</v>
      </c>
      <c r="Z205" s="154" t="s">
        <v>54</v>
      </c>
      <c r="AA205" s="75">
        <v>2.9111787500000004</v>
      </c>
      <c r="AB205" s="75">
        <v>7.1289713486518078</v>
      </c>
      <c r="AC205" s="75">
        <v>2.0592423593750002</v>
      </c>
      <c r="AD205" s="75">
        <v>-26.716135928040213</v>
      </c>
      <c r="AE205" s="75">
        <v>2.375375</v>
      </c>
      <c r="AF205" s="75">
        <v>2.375375</v>
      </c>
      <c r="AG205" s="32">
        <f t="shared" si="128"/>
        <v>2.3009777396870598E-2</v>
      </c>
      <c r="AH205" s="32">
        <f t="shared" si="129"/>
        <v>0.53073405008612418</v>
      </c>
      <c r="AI205" s="33">
        <f t="shared" si="130"/>
        <v>6.8582338502455834E-2</v>
      </c>
      <c r="AJ205" s="34">
        <f t="shared" si="131"/>
        <v>0.93659394114719707</v>
      </c>
      <c r="AK205" s="16">
        <f t="shared" si="132"/>
        <v>5.8294987727087452E-2</v>
      </c>
      <c r="AL205" s="16">
        <f t="shared" si="133"/>
        <v>0.79610484997511743</v>
      </c>
      <c r="AM205" s="27">
        <f t="shared" si="134"/>
        <v>58.294987727087452</v>
      </c>
      <c r="AN205" s="27">
        <f t="shared" si="135"/>
        <v>796.10484997511742</v>
      </c>
      <c r="AO205" s="29" t="e">
        <f t="shared" si="136"/>
        <v>#VALUE!</v>
      </c>
      <c r="AP205" s="29" t="e">
        <f t="shared" si="137"/>
        <v>#VALUE!</v>
      </c>
      <c r="AQ205" s="27">
        <f t="shared" si="138"/>
        <v>13.65648885118811</v>
      </c>
      <c r="AR205" s="14">
        <f t="shared" si="139"/>
        <v>2177.5675292302972</v>
      </c>
      <c r="AS205" s="25">
        <v>0.36620000000000003</v>
      </c>
      <c r="AT205" s="22">
        <f t="shared" si="140"/>
        <v>1.1545873906624677</v>
      </c>
      <c r="AU205" s="22">
        <f t="shared" si="141"/>
        <v>0.78838739066246766</v>
      </c>
      <c r="AV205" s="15"/>
      <c r="AW205" s="22"/>
      <c r="AX205" s="34">
        <f t="shared" si="142"/>
        <v>7883.8739066246762</v>
      </c>
      <c r="AY205" s="14">
        <f t="shared" si="143"/>
        <v>44.157628186617742</v>
      </c>
      <c r="AZ205" s="25">
        <v>1.0819000000000001</v>
      </c>
      <c r="BA205" s="22">
        <f t="shared" si="144"/>
        <v>1.1597127855864471</v>
      </c>
      <c r="BB205" s="38">
        <f t="shared" si="145"/>
        <v>7.7812785586446997E-2</v>
      </c>
      <c r="BC205" s="58">
        <f t="shared" si="146"/>
        <v>0.90300747533051695</v>
      </c>
      <c r="BD205" s="32">
        <f t="shared" si="147"/>
        <v>0.7026552706085234</v>
      </c>
      <c r="BE205" s="38">
        <f t="shared" si="148"/>
        <v>778.12785586447001</v>
      </c>
    </row>
    <row r="206" spans="1:57" ht="15">
      <c r="A206" s="138">
        <v>187</v>
      </c>
      <c r="B206" s="140">
        <v>6</v>
      </c>
      <c r="C206" s="140" t="s">
        <v>415</v>
      </c>
      <c r="D206" s="140" t="s">
        <v>424</v>
      </c>
      <c r="E206" s="140" t="s">
        <v>437</v>
      </c>
      <c r="F206" s="140" t="s">
        <v>480</v>
      </c>
      <c r="G206" s="140"/>
      <c r="H206" s="140" t="s">
        <v>486</v>
      </c>
      <c r="I206" s="140">
        <v>50</v>
      </c>
      <c r="J206" s="140">
        <v>10</v>
      </c>
      <c r="K206" s="140">
        <v>15</v>
      </c>
      <c r="L206" s="140" t="s">
        <v>64</v>
      </c>
      <c r="M206" s="140">
        <v>4</v>
      </c>
      <c r="Q206" s="108">
        <v>10</v>
      </c>
      <c r="R206" s="53">
        <v>8</v>
      </c>
      <c r="S206" s="53">
        <f t="shared" si="149"/>
        <v>2</v>
      </c>
      <c r="T206" s="80">
        <v>121</v>
      </c>
      <c r="U206" s="80" t="s">
        <v>390</v>
      </c>
      <c r="V206" s="81">
        <v>4.4542595</v>
      </c>
      <c r="W206" s="81">
        <v>1531.6820301393504</v>
      </c>
      <c r="X206" s="83">
        <v>2.4283245</v>
      </c>
      <c r="Y206" s="83">
        <v>9.6358410698947061</v>
      </c>
      <c r="Z206" s="154" t="s">
        <v>54</v>
      </c>
      <c r="AA206" s="75">
        <v>2.9111787500000004</v>
      </c>
      <c r="AB206" s="75">
        <v>7.1289713486518078</v>
      </c>
      <c r="AC206" s="75">
        <v>2.0592423593750002</v>
      </c>
      <c r="AD206" s="75">
        <v>-26.716135928040213</v>
      </c>
      <c r="AE206" s="75">
        <v>2.375375</v>
      </c>
      <c r="AF206" s="75">
        <v>2.375375</v>
      </c>
      <c r="AG206" s="32">
        <f t="shared" si="128"/>
        <v>2.3009777396870598E-2</v>
      </c>
      <c r="AH206" s="32">
        <f t="shared" si="129"/>
        <v>0.53073405008612418</v>
      </c>
      <c r="AI206" s="33">
        <f t="shared" si="130"/>
        <v>0.10249151956289614</v>
      </c>
      <c r="AJ206" s="34">
        <f t="shared" si="131"/>
        <v>1.2887944968083624</v>
      </c>
      <c r="AK206" s="16">
        <f t="shared" si="132"/>
        <v>8.7117791628461713E-2</v>
      </c>
      <c r="AL206" s="16">
        <f t="shared" si="133"/>
        <v>1.0954753222871081</v>
      </c>
      <c r="AM206" s="27">
        <f t="shared" si="134"/>
        <v>87.117791628461717</v>
      </c>
      <c r="AN206" s="27">
        <f t="shared" si="135"/>
        <v>1095.4753222871082</v>
      </c>
      <c r="AO206" s="29" t="e">
        <f t="shared" si="136"/>
        <v>#VALUE!</v>
      </c>
      <c r="AP206" s="29" t="e">
        <f t="shared" si="137"/>
        <v>#VALUE!</v>
      </c>
      <c r="AQ206" s="27">
        <f t="shared" si="138"/>
        <v>12.574645222402678</v>
      </c>
      <c r="AR206" s="14">
        <f t="shared" si="139"/>
        <v>1526.5330587906985</v>
      </c>
      <c r="AS206" s="25">
        <v>0.36620000000000003</v>
      </c>
      <c r="AT206" s="22">
        <f t="shared" si="140"/>
        <v>0.92020709631489361</v>
      </c>
      <c r="AU206" s="22">
        <f t="shared" si="141"/>
        <v>0.55400709631489353</v>
      </c>
      <c r="AV206" s="15"/>
      <c r="AW206" s="22"/>
      <c r="AX206" s="34">
        <f t="shared" si="142"/>
        <v>5540.0709631489353</v>
      </c>
      <c r="AY206" s="14">
        <f t="shared" si="143"/>
        <v>10.321976997934918</v>
      </c>
      <c r="AZ206" s="25">
        <v>1.0819000000000001</v>
      </c>
      <c r="BA206" s="22">
        <f t="shared" si="144"/>
        <v>1.122554458196992</v>
      </c>
      <c r="BB206" s="38">
        <f t="shared" si="145"/>
        <v>4.0654458196991872E-2</v>
      </c>
      <c r="BC206" s="58">
        <f t="shared" si="146"/>
        <v>1.2396825021973048</v>
      </c>
      <c r="BD206" s="32">
        <f t="shared" si="147"/>
        <v>0.50398620463122612</v>
      </c>
      <c r="BE206" s="38">
        <f t="shared" si="148"/>
        <v>406.54458196991874</v>
      </c>
    </row>
    <row r="207" spans="1:57" ht="15">
      <c r="A207" s="138">
        <v>188</v>
      </c>
      <c r="B207" s="140">
        <v>6</v>
      </c>
      <c r="C207" s="140" t="s">
        <v>417</v>
      </c>
      <c r="D207" s="140" t="s">
        <v>409</v>
      </c>
      <c r="E207" s="140" t="s">
        <v>437</v>
      </c>
      <c r="F207" s="140" t="s">
        <v>480</v>
      </c>
      <c r="G207" s="140"/>
      <c r="H207" s="140" t="s">
        <v>486</v>
      </c>
      <c r="I207" s="140">
        <v>50</v>
      </c>
      <c r="J207" s="140">
        <v>10</v>
      </c>
      <c r="K207" s="140">
        <v>15</v>
      </c>
      <c r="L207" s="140" t="s">
        <v>65</v>
      </c>
      <c r="M207" s="140">
        <v>4</v>
      </c>
      <c r="Q207" s="108">
        <v>10</v>
      </c>
      <c r="R207" s="53">
        <v>8</v>
      </c>
      <c r="S207" s="53">
        <f t="shared" si="149"/>
        <v>2</v>
      </c>
      <c r="T207" s="82">
        <v>122</v>
      </c>
      <c r="U207" s="82" t="s">
        <v>391</v>
      </c>
      <c r="V207" s="83">
        <v>4.5492239999999997</v>
      </c>
      <c r="W207" s="83">
        <v>2653.9937271626945</v>
      </c>
      <c r="X207" s="81">
        <v>2.2138977500000001</v>
      </c>
      <c r="Y207" s="81">
        <v>62.585974044132719</v>
      </c>
      <c r="Z207" s="154" t="s">
        <v>54</v>
      </c>
      <c r="AA207" s="75">
        <v>2.9111787500000004</v>
      </c>
      <c r="AB207" s="75">
        <v>7.1289713486518078</v>
      </c>
      <c r="AC207" s="75">
        <v>2.0592423593750002</v>
      </c>
      <c r="AD207" s="75">
        <v>-26.716135928040213</v>
      </c>
      <c r="AE207" s="75">
        <v>2.375375</v>
      </c>
      <c r="AF207" s="75">
        <v>2.375375</v>
      </c>
      <c r="AG207" s="32">
        <f t="shared" ref="AG207:AG211" si="150">((2.82/100)*AE207)/AA207</f>
        <v>2.3009777396870598E-2</v>
      </c>
      <c r="AH207" s="32">
        <f t="shared" ref="AH207:AH211" si="151">((46.01/100)*AF207)/AC207</f>
        <v>0.53073405008612418</v>
      </c>
      <c r="AI207" s="33">
        <f t="shared" ref="AI207:AI211" si="152">V207*AG207</f>
        <v>0.10467663156850124</v>
      </c>
      <c r="AJ207" s="34">
        <f t="shared" ref="AJ207:AJ211" si="153">X207*AH207</f>
        <v>1.1749909193340577</v>
      </c>
      <c r="AK207" s="16">
        <f t="shared" ref="AK207:AK211" si="154">((AI207/K207)*(100+S207))/(R207)</f>
        <v>8.8975136833226054E-2</v>
      </c>
      <c r="AL207" s="16">
        <f t="shared" ref="AL207:AL211" si="155">((AJ207/K207)*(100+S207))/(R207)</f>
        <v>0.99874228143394905</v>
      </c>
      <c r="AM207" s="27">
        <f t="shared" ref="AM207:AM211" si="156">AK207*1000</f>
        <v>88.97513683322606</v>
      </c>
      <c r="AN207" s="27">
        <f t="shared" ref="AN207:AN211" si="157">AL207*1000</f>
        <v>998.74228143394907</v>
      </c>
      <c r="AO207" s="29" t="e">
        <f t="shared" ref="AO207:AO211" si="158">AI207*100/Z207</f>
        <v>#VALUE!</v>
      </c>
      <c r="AP207" s="29" t="e">
        <f t="shared" ref="AP207:AP211" si="159">AJ207*100/Z207</f>
        <v>#VALUE!</v>
      </c>
      <c r="AQ207" s="27">
        <f t="shared" ref="AQ207:AQ211" si="160">AJ207/AI207</f>
        <v>11.224959207491636</v>
      </c>
      <c r="AR207" s="14">
        <f t="shared" ref="AR207:AR211" si="161">W207+(1.98-AB207)</f>
        <v>2648.8447558140429</v>
      </c>
      <c r="AS207" s="25">
        <v>0.36620000000000003</v>
      </c>
      <c r="AT207" s="22">
        <f t="shared" ref="AT207:AT211" si="162">100*0.003676*(AR207/1000+1)/(1+0.003676*(AR207/1000+1))</f>
        <v>1.3235621896556953</v>
      </c>
      <c r="AU207" s="22">
        <f t="shared" ref="AU207:AU211" si="163">AT207-AS207</f>
        <v>0.95736218965569519</v>
      </c>
      <c r="AV207" s="15"/>
      <c r="AW207" s="22"/>
      <c r="AX207" s="34">
        <f t="shared" ref="AX207:AX211" si="164">(((AI207*(AU207%))/AI207)*1000)*1000</f>
        <v>9573.6218965569515</v>
      </c>
      <c r="AY207" s="14">
        <f t="shared" ref="AY207:AY211" si="165">Y207+(-26.03-AD207)</f>
        <v>63.272109972172927</v>
      </c>
      <c r="AZ207" s="25">
        <v>1.0819000000000001</v>
      </c>
      <c r="BA207" s="22">
        <f t="shared" ref="BA207:BA211" si="166">100*0.011237*(AY207/1000+1)/(1+0.011237*(AY207/1000+1))</f>
        <v>1.1806919755934462</v>
      </c>
      <c r="BB207" s="38">
        <f t="shared" ref="BB207:BB211" si="167">BA207-AZ207</f>
        <v>9.8791975593446102E-2</v>
      </c>
      <c r="BC207" s="58">
        <f t="shared" ref="BC207:BC211" si="168">1.12461*AL207+0.0077</f>
        <v>1.1308955571234336</v>
      </c>
      <c r="BD207" s="32">
        <f t="shared" ref="BD207:BD211" si="169">((BB207%)*BC207)*1000</f>
        <v>1.1172340627807489</v>
      </c>
      <c r="BE207" s="38">
        <f t="shared" ref="BE207:BE211" si="170">(((AJ207*(BB207%))/AJ207)*1000)*1000</f>
        <v>987.91975593446091</v>
      </c>
    </row>
    <row r="208" spans="1:57" ht="15">
      <c r="A208" s="138">
        <v>189</v>
      </c>
      <c r="B208" s="140">
        <v>6</v>
      </c>
      <c r="C208" s="140" t="s">
        <v>419</v>
      </c>
      <c r="D208" s="140" t="s">
        <v>416</v>
      </c>
      <c r="E208" s="140" t="s">
        <v>437</v>
      </c>
      <c r="F208" s="140" t="s">
        <v>480</v>
      </c>
      <c r="G208" s="140"/>
      <c r="H208" s="140" t="s">
        <v>486</v>
      </c>
      <c r="I208" s="140">
        <v>50</v>
      </c>
      <c r="J208" s="140">
        <v>10</v>
      </c>
      <c r="K208" s="140">
        <v>15</v>
      </c>
      <c r="L208" s="140" t="s">
        <v>66</v>
      </c>
      <c r="M208" s="140">
        <v>4</v>
      </c>
      <c r="Q208" s="108">
        <v>10</v>
      </c>
      <c r="R208" s="53">
        <v>8</v>
      </c>
      <c r="S208" s="53">
        <f t="shared" si="149"/>
        <v>2</v>
      </c>
      <c r="T208" s="80">
        <v>123</v>
      </c>
      <c r="U208" s="80" t="s">
        <v>392</v>
      </c>
      <c r="V208" s="81">
        <v>2.1433765</v>
      </c>
      <c r="W208" s="81">
        <v>3940.9280547824105</v>
      </c>
      <c r="X208" s="83">
        <v>1.1832745</v>
      </c>
      <c r="Y208" s="83">
        <v>140.95674388237867</v>
      </c>
      <c r="Z208" s="154" t="s">
        <v>54</v>
      </c>
      <c r="AA208" s="75">
        <v>2.9111787500000004</v>
      </c>
      <c r="AB208" s="75">
        <v>7.1289713486518078</v>
      </c>
      <c r="AC208" s="75">
        <v>2.0592423593750002</v>
      </c>
      <c r="AD208" s="75">
        <v>-26.716135928040213</v>
      </c>
      <c r="AE208" s="75">
        <v>2.375375</v>
      </c>
      <c r="AF208" s="75">
        <v>2.375375</v>
      </c>
      <c r="AG208" s="32">
        <f t="shared" si="150"/>
        <v>2.3009777396870598E-2</v>
      </c>
      <c r="AH208" s="32">
        <f t="shared" si="151"/>
        <v>0.53073405008612418</v>
      </c>
      <c r="AI208" s="33">
        <f t="shared" si="152"/>
        <v>4.9318616142683611E-2</v>
      </c>
      <c r="AJ208" s="34">
        <f t="shared" si="153"/>
        <v>0.6280040677486336</v>
      </c>
      <c r="AK208" s="16">
        <f t="shared" si="154"/>
        <v>4.1920823721281072E-2</v>
      </c>
      <c r="AL208" s="16">
        <f t="shared" si="155"/>
        <v>0.53380345758633851</v>
      </c>
      <c r="AM208" s="27">
        <f t="shared" si="156"/>
        <v>41.920823721281074</v>
      </c>
      <c r="AN208" s="27">
        <f t="shared" si="157"/>
        <v>533.80345758633848</v>
      </c>
      <c r="AO208" s="29" t="e">
        <f t="shared" si="158"/>
        <v>#VALUE!</v>
      </c>
      <c r="AP208" s="29" t="e">
        <f t="shared" si="159"/>
        <v>#VALUE!</v>
      </c>
      <c r="AQ208" s="27">
        <f t="shared" si="160"/>
        <v>12.733610893131226</v>
      </c>
      <c r="AR208" s="14">
        <f t="shared" si="161"/>
        <v>3935.7790834337588</v>
      </c>
      <c r="AS208" s="25">
        <v>0.36620000000000003</v>
      </c>
      <c r="AT208" s="22">
        <f t="shared" si="162"/>
        <v>1.7820588508755695</v>
      </c>
      <c r="AU208" s="22">
        <f t="shared" si="163"/>
        <v>1.4158588508755694</v>
      </c>
      <c r="AV208" s="15"/>
      <c r="AW208" s="22"/>
      <c r="AX208" s="34">
        <f t="shared" si="164"/>
        <v>14158.588508755694</v>
      </c>
      <c r="AY208" s="14">
        <f t="shared" si="165"/>
        <v>141.64287981041889</v>
      </c>
      <c r="AZ208" s="25">
        <v>1.0819000000000001</v>
      </c>
      <c r="BA208" s="22">
        <f t="shared" si="166"/>
        <v>1.2666151529099174</v>
      </c>
      <c r="BB208" s="38">
        <f t="shared" si="167"/>
        <v>0.18471515290991736</v>
      </c>
      <c r="BC208" s="58">
        <f t="shared" si="168"/>
        <v>0.60802070643617223</v>
      </c>
      <c r="BD208" s="32">
        <f t="shared" si="169"/>
        <v>1.1231063776175354</v>
      </c>
      <c r="BE208" s="38">
        <f t="shared" si="170"/>
        <v>1847.1515290991738</v>
      </c>
    </row>
    <row r="209" spans="1:57" ht="15">
      <c r="A209" s="138">
        <v>190</v>
      </c>
      <c r="B209" s="140">
        <v>6</v>
      </c>
      <c r="C209" s="140" t="s">
        <v>421</v>
      </c>
      <c r="D209" s="140" t="s">
        <v>414</v>
      </c>
      <c r="E209" s="140" t="s">
        <v>437</v>
      </c>
      <c r="F209" s="140" t="s">
        <v>480</v>
      </c>
      <c r="G209" s="140"/>
      <c r="H209" s="140" t="s">
        <v>486</v>
      </c>
      <c r="I209" s="140">
        <v>50</v>
      </c>
      <c r="J209" s="140">
        <v>10</v>
      </c>
      <c r="K209" s="140">
        <v>15</v>
      </c>
      <c r="L209" s="140" t="s">
        <v>67</v>
      </c>
      <c r="M209" s="140">
        <v>4</v>
      </c>
      <c r="Q209" s="108">
        <v>10</v>
      </c>
      <c r="R209" s="53">
        <v>8</v>
      </c>
      <c r="S209" s="53">
        <f t="shared" si="149"/>
        <v>2</v>
      </c>
      <c r="T209" s="82">
        <v>124</v>
      </c>
      <c r="U209" s="82" t="s">
        <v>393</v>
      </c>
      <c r="V209" s="83">
        <v>1.699195375</v>
      </c>
      <c r="W209" s="83">
        <v>3606.2515697998811</v>
      </c>
      <c r="X209" s="81">
        <v>0.91377493750000005</v>
      </c>
      <c r="Y209" s="81">
        <v>137.53968764763493</v>
      </c>
      <c r="Z209" s="154" t="s">
        <v>54</v>
      </c>
      <c r="AA209" s="75">
        <v>2.9111787500000004</v>
      </c>
      <c r="AB209" s="75">
        <v>7.1289713486518078</v>
      </c>
      <c r="AC209" s="75">
        <v>2.0592423593750002</v>
      </c>
      <c r="AD209" s="75">
        <v>-26.716135928040213</v>
      </c>
      <c r="AE209" s="75">
        <v>2.375375</v>
      </c>
      <c r="AF209" s="75">
        <v>2.375375</v>
      </c>
      <c r="AG209" s="32">
        <f t="shared" si="150"/>
        <v>2.3009777396870598E-2</v>
      </c>
      <c r="AH209" s="32">
        <f t="shared" si="151"/>
        <v>0.53073405008612418</v>
      </c>
      <c r="AI209" s="33">
        <f t="shared" si="152"/>
        <v>3.9098107332542056E-2</v>
      </c>
      <c r="AJ209" s="34">
        <f t="shared" si="153"/>
        <v>0.48497147344656999</v>
      </c>
      <c r="AK209" s="16">
        <f t="shared" si="154"/>
        <v>3.3233391232660746E-2</v>
      </c>
      <c r="AL209" s="16">
        <f t="shared" si="155"/>
        <v>0.41222575242958454</v>
      </c>
      <c r="AM209" s="27">
        <f t="shared" si="156"/>
        <v>33.233391232660743</v>
      </c>
      <c r="AN209" s="27">
        <f t="shared" si="157"/>
        <v>412.22575242958453</v>
      </c>
      <c r="AO209" s="29" t="e">
        <f t="shared" si="158"/>
        <v>#VALUE!</v>
      </c>
      <c r="AP209" s="29" t="e">
        <f t="shared" si="159"/>
        <v>#VALUE!</v>
      </c>
      <c r="AQ209" s="27">
        <f t="shared" si="160"/>
        <v>12.40396291620284</v>
      </c>
      <c r="AR209" s="14">
        <f t="shared" si="161"/>
        <v>3601.1025984512294</v>
      </c>
      <c r="AS209" s="25">
        <v>0.36620000000000003</v>
      </c>
      <c r="AT209" s="22">
        <f t="shared" si="162"/>
        <v>1.6632339529991691</v>
      </c>
      <c r="AU209" s="22">
        <f t="shared" si="163"/>
        <v>1.297033952999169</v>
      </c>
      <c r="AV209" s="15"/>
      <c r="AW209" s="22"/>
      <c r="AX209" s="34">
        <f t="shared" si="164"/>
        <v>12970.33952999169</v>
      </c>
      <c r="AY209" s="14">
        <f t="shared" si="165"/>
        <v>138.22582357567515</v>
      </c>
      <c r="AZ209" s="25">
        <v>1.0819000000000001</v>
      </c>
      <c r="BA209" s="22">
        <f t="shared" si="166"/>
        <v>1.2628719185045769</v>
      </c>
      <c r="BB209" s="38">
        <f t="shared" si="167"/>
        <v>0.18097191850457683</v>
      </c>
      <c r="BC209" s="58">
        <f t="shared" si="168"/>
        <v>0.47129320343983511</v>
      </c>
      <c r="BD209" s="32">
        <f t="shared" si="169"/>
        <v>0.85290835204674798</v>
      </c>
      <c r="BE209" s="38">
        <f t="shared" si="170"/>
        <v>1809.7191850457684</v>
      </c>
    </row>
    <row r="210" spans="1:57" ht="15">
      <c r="A210" s="138">
        <v>191</v>
      </c>
      <c r="B210" s="140">
        <v>6</v>
      </c>
      <c r="C210" s="140" t="s">
        <v>423</v>
      </c>
      <c r="D210" s="140" t="s">
        <v>420</v>
      </c>
      <c r="E210" s="140" t="s">
        <v>437</v>
      </c>
      <c r="F210" s="140" t="s">
        <v>480</v>
      </c>
      <c r="G210" s="140"/>
      <c r="H210" s="140" t="s">
        <v>486</v>
      </c>
      <c r="I210" s="140">
        <v>50</v>
      </c>
      <c r="J210" s="140">
        <v>10</v>
      </c>
      <c r="K210" s="140">
        <v>15</v>
      </c>
      <c r="L210" s="140" t="s">
        <v>68</v>
      </c>
      <c r="M210" s="140">
        <v>4</v>
      </c>
      <c r="Q210" s="108">
        <v>10</v>
      </c>
      <c r="R210" s="53">
        <v>8</v>
      </c>
      <c r="S210" s="53">
        <f t="shared" si="149"/>
        <v>2</v>
      </c>
      <c r="T210" s="80">
        <v>125</v>
      </c>
      <c r="U210" s="80" t="s">
        <v>394</v>
      </c>
      <c r="V210" s="81">
        <v>3.6071599999999999</v>
      </c>
      <c r="W210" s="81">
        <v>2529.9115126840511</v>
      </c>
      <c r="X210" s="83">
        <v>1.875189</v>
      </c>
      <c r="Y210" s="83">
        <v>60.180440938427374</v>
      </c>
      <c r="Z210" s="154" t="s">
        <v>54</v>
      </c>
      <c r="AA210" s="75">
        <v>2.9111787500000004</v>
      </c>
      <c r="AB210" s="75">
        <v>7.1289713486518078</v>
      </c>
      <c r="AC210" s="75">
        <v>2.0592423593750002</v>
      </c>
      <c r="AD210" s="75">
        <v>-26.716135928040213</v>
      </c>
      <c r="AE210" s="75">
        <v>2.375375</v>
      </c>
      <c r="AF210" s="75">
        <v>2.375375</v>
      </c>
      <c r="AG210" s="32">
        <f t="shared" si="150"/>
        <v>2.3009777396870598E-2</v>
      </c>
      <c r="AH210" s="32">
        <f t="shared" si="151"/>
        <v>0.53073405008612418</v>
      </c>
      <c r="AI210" s="33">
        <f t="shared" si="152"/>
        <v>8.2999948634895737E-2</v>
      </c>
      <c r="AJ210" s="34">
        <f t="shared" si="153"/>
        <v>0.99522665264694909</v>
      </c>
      <c r="AK210" s="16">
        <f t="shared" si="154"/>
        <v>7.0549956339661379E-2</v>
      </c>
      <c r="AL210" s="16">
        <f t="shared" si="155"/>
        <v>0.84594265474990671</v>
      </c>
      <c r="AM210" s="27">
        <f t="shared" si="156"/>
        <v>70.549956339661378</v>
      </c>
      <c r="AN210" s="27">
        <f t="shared" si="157"/>
        <v>845.94265474990675</v>
      </c>
      <c r="AO210" s="29" t="e">
        <f t="shared" si="158"/>
        <v>#VALUE!</v>
      </c>
      <c r="AP210" s="29" t="e">
        <f t="shared" si="159"/>
        <v>#VALUE!</v>
      </c>
      <c r="AQ210" s="27">
        <f t="shared" si="160"/>
        <v>11.990689982530002</v>
      </c>
      <c r="AR210" s="14">
        <f t="shared" si="161"/>
        <v>2524.7625413353994</v>
      </c>
      <c r="AS210" s="25">
        <v>0.36620000000000003</v>
      </c>
      <c r="AT210" s="22">
        <f t="shared" si="162"/>
        <v>1.2791290010612533</v>
      </c>
      <c r="AU210" s="22">
        <f t="shared" si="163"/>
        <v>0.91292900106125319</v>
      </c>
      <c r="AV210" s="15"/>
      <c r="AW210" s="22"/>
      <c r="AX210" s="34">
        <f t="shared" si="164"/>
        <v>9129.2900106125326</v>
      </c>
      <c r="AY210" s="14">
        <f t="shared" si="165"/>
        <v>60.866576866467582</v>
      </c>
      <c r="AZ210" s="25">
        <v>1.0819000000000001</v>
      </c>
      <c r="BA210" s="22">
        <f t="shared" si="166"/>
        <v>1.1780522612218685</v>
      </c>
      <c r="BB210" s="38">
        <f t="shared" si="167"/>
        <v>9.6152261221868374E-2</v>
      </c>
      <c r="BC210" s="58">
        <f t="shared" si="168"/>
        <v>0.95905556895829269</v>
      </c>
      <c r="BD210" s="32">
        <f t="shared" si="169"/>
        <v>0.92215361592765355</v>
      </c>
      <c r="BE210" s="38">
        <f t="shared" si="170"/>
        <v>961.52261221868378</v>
      </c>
    </row>
    <row r="211" spans="1:57" ht="15">
      <c r="A211" s="152">
        <v>192</v>
      </c>
      <c r="B211" s="153">
        <v>6</v>
      </c>
      <c r="C211" s="153" t="s">
        <v>425</v>
      </c>
      <c r="D211" s="153" t="s">
        <v>418</v>
      </c>
      <c r="E211" s="153" t="s">
        <v>437</v>
      </c>
      <c r="F211" s="153" t="s">
        <v>480</v>
      </c>
      <c r="G211" s="153"/>
      <c r="H211" s="153" t="s">
        <v>486</v>
      </c>
      <c r="I211" s="153">
        <v>50</v>
      </c>
      <c r="J211" s="153">
        <v>10</v>
      </c>
      <c r="K211" s="153">
        <v>15</v>
      </c>
      <c r="L211" s="153" t="s">
        <v>69</v>
      </c>
      <c r="M211" s="153">
        <v>4</v>
      </c>
      <c r="Q211" s="108">
        <v>10</v>
      </c>
      <c r="R211" s="53">
        <v>8</v>
      </c>
      <c r="S211" s="53">
        <f t="shared" si="149"/>
        <v>2</v>
      </c>
      <c r="T211" s="87">
        <v>126</v>
      </c>
      <c r="U211" s="87" t="s">
        <v>395</v>
      </c>
      <c r="V211" s="85">
        <v>2.7563862499999998</v>
      </c>
      <c r="W211" s="85">
        <v>1468.7120619951145</v>
      </c>
      <c r="X211" s="84">
        <v>1.3088258749999999</v>
      </c>
      <c r="Y211" s="84">
        <v>43.202247916766794</v>
      </c>
      <c r="Z211" s="154" t="s">
        <v>54</v>
      </c>
      <c r="AA211" s="75">
        <v>2.9111787500000004</v>
      </c>
      <c r="AB211" s="75">
        <v>7.1289713486518078</v>
      </c>
      <c r="AC211" s="75">
        <v>2.0592423593750002</v>
      </c>
      <c r="AD211" s="75">
        <v>-26.716135928040213</v>
      </c>
      <c r="AE211" s="75">
        <v>2.375375</v>
      </c>
      <c r="AF211" s="75">
        <v>2.375375</v>
      </c>
      <c r="AG211" s="32">
        <f t="shared" si="150"/>
        <v>2.3009777396870598E-2</v>
      </c>
      <c r="AH211" s="32">
        <f t="shared" si="151"/>
        <v>0.53073405008612418</v>
      </c>
      <c r="AI211" s="33">
        <f t="shared" si="152"/>
        <v>6.3423834032294901E-2</v>
      </c>
      <c r="AJ211" s="34">
        <f t="shared" si="153"/>
        <v>0.69463845749626529</v>
      </c>
      <c r="AK211" s="16">
        <f t="shared" si="154"/>
        <v>5.3910258927450667E-2</v>
      </c>
      <c r="AL211" s="16">
        <f t="shared" si="155"/>
        <v>0.59044268887182549</v>
      </c>
      <c r="AM211" s="27">
        <f t="shared" si="156"/>
        <v>53.91025892745067</v>
      </c>
      <c r="AN211" s="27">
        <f t="shared" si="157"/>
        <v>590.44268887182545</v>
      </c>
      <c r="AO211" s="29" t="e">
        <f t="shared" si="158"/>
        <v>#VALUE!</v>
      </c>
      <c r="AP211" s="29" t="e">
        <f t="shared" si="159"/>
        <v>#VALUE!</v>
      </c>
      <c r="AQ211" s="27">
        <f t="shared" si="160"/>
        <v>10.952325227493517</v>
      </c>
      <c r="AR211" s="14">
        <f t="shared" si="161"/>
        <v>1463.5630906464626</v>
      </c>
      <c r="AS211" s="25">
        <v>0.36620000000000003</v>
      </c>
      <c r="AT211" s="22">
        <f t="shared" si="162"/>
        <v>0.89747817776080996</v>
      </c>
      <c r="AU211" s="22">
        <f t="shared" si="163"/>
        <v>0.53127817776080999</v>
      </c>
      <c r="AV211" s="15"/>
      <c r="AW211" s="22"/>
      <c r="AX211" s="34">
        <f t="shared" si="164"/>
        <v>5312.7817776081001</v>
      </c>
      <c r="AY211" s="14">
        <f t="shared" si="165"/>
        <v>43.888383844807009</v>
      </c>
      <c r="AZ211" s="25">
        <v>1.0819000000000001</v>
      </c>
      <c r="BA211" s="22">
        <f t="shared" si="166"/>
        <v>1.159417211563692</v>
      </c>
      <c r="BB211" s="38">
        <f t="shared" si="167"/>
        <v>7.7517211563691957E-2</v>
      </c>
      <c r="BC211" s="58">
        <f t="shared" si="168"/>
        <v>0.67171775233214381</v>
      </c>
      <c r="BD211" s="32">
        <f t="shared" si="169"/>
        <v>0.52069687118618435</v>
      </c>
      <c r="BE211" s="38">
        <f t="shared" si="170"/>
        <v>775.17211563691956</v>
      </c>
    </row>
    <row r="212" spans="1:57" customFormat="1" ht="1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AG212" s="32"/>
      <c r="AH212" s="32"/>
      <c r="AI212" s="33"/>
      <c r="AJ212" s="34"/>
      <c r="AK212" s="16"/>
      <c r="AL212" s="16"/>
      <c r="AM212" s="27"/>
      <c r="AN212" s="27"/>
      <c r="AO212" s="29"/>
      <c r="AP212" s="29"/>
      <c r="AQ212" s="27"/>
      <c r="AR212" s="14"/>
      <c r="AS212" s="25"/>
      <c r="AT212" s="22"/>
      <c r="AU212" s="22"/>
      <c r="AV212" s="15"/>
      <c r="AW212" s="22"/>
      <c r="AX212" s="34"/>
      <c r="AY212" s="14"/>
      <c r="AZ212" s="25"/>
      <c r="BA212" s="22"/>
      <c r="BB212" s="38"/>
      <c r="BC212" s="58"/>
      <c r="BD212" s="32"/>
      <c r="BE212" s="38"/>
    </row>
    <row r="213" spans="1:57" customFormat="1" ht="15.7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T213" s="80">
        <v>214</v>
      </c>
      <c r="U213" s="80" t="s">
        <v>292</v>
      </c>
      <c r="V213" s="81">
        <v>5.4222865000000002</v>
      </c>
      <c r="W213" s="81">
        <v>7.3943049436146779</v>
      </c>
      <c r="X213" s="81">
        <v>4.1006315000000004</v>
      </c>
      <c r="Y213" s="81">
        <v>-25.342554523276199</v>
      </c>
      <c r="Z213" s="71">
        <v>2.4169999999999998</v>
      </c>
      <c r="AA213" s="73">
        <v>5.5661983611111108</v>
      </c>
      <c r="AB213" s="73">
        <v>3.0248816727959098</v>
      </c>
      <c r="AC213" s="73">
        <v>3.9982883888888887</v>
      </c>
      <c r="AD213" s="73">
        <v>-25.508901929003891</v>
      </c>
      <c r="AE213" s="73">
        <v>2.2461111111111109</v>
      </c>
      <c r="AF213" s="73">
        <v>2.2461111111111109</v>
      </c>
      <c r="AG213" s="32"/>
      <c r="AH213" s="32"/>
      <c r="AI213" s="33"/>
      <c r="AJ213" s="34"/>
      <c r="AK213" s="16"/>
      <c r="AL213" s="16"/>
      <c r="AM213" s="27"/>
      <c r="AN213" s="27"/>
      <c r="AO213" s="29"/>
      <c r="AP213" s="29"/>
      <c r="AQ213" s="27"/>
      <c r="AR213" s="14"/>
      <c r="AS213" s="25"/>
      <c r="AT213" s="22"/>
      <c r="AU213" s="22"/>
      <c r="AV213" s="15"/>
      <c r="AW213" s="22"/>
      <c r="AX213" s="34"/>
      <c r="AY213" s="14"/>
      <c r="AZ213" s="25"/>
      <c r="BA213" s="22"/>
      <c r="BB213" s="38"/>
      <c r="BC213" s="58"/>
      <c r="BD213" s="32"/>
      <c r="BE213" s="38"/>
    </row>
    <row r="214" spans="1:57" customFormat="1" ht="15.75">
      <c r="Q214" s="98"/>
      <c r="R214" s="99"/>
      <c r="S214" s="99"/>
      <c r="T214" s="82">
        <v>119</v>
      </c>
      <c r="U214" s="82" t="s">
        <v>199</v>
      </c>
      <c r="V214" s="83">
        <v>5.8842065000000003</v>
      </c>
      <c r="W214" s="83">
        <v>4.7209904847467055</v>
      </c>
      <c r="X214" s="83">
        <v>4.1570999999999998</v>
      </c>
      <c r="Y214" s="83">
        <v>-25.342150435706447</v>
      </c>
      <c r="Z214" s="69">
        <v>2.2629999999999999</v>
      </c>
      <c r="AA214" s="73">
        <v>5.5661983611111108</v>
      </c>
      <c r="AB214" s="73">
        <v>3.0248816727959098</v>
      </c>
      <c r="AC214" s="73">
        <v>3.9982883888888887</v>
      </c>
      <c r="AD214" s="73">
        <v>-25.508901929003891</v>
      </c>
      <c r="AE214" s="73">
        <v>2.2461111111111109</v>
      </c>
      <c r="AF214" s="73">
        <v>2.2461111111111109</v>
      </c>
      <c r="AG214" s="32">
        <f t="shared" ref="AG214:AG231" si="171">((2.82/100)*AE214)/AA214</f>
        <v>1.1379460310984945E-2</v>
      </c>
      <c r="AH214" s="32">
        <f t="shared" ref="AH214:AH231" si="172">((46.01/100)*AF214)/AC214</f>
        <v>0.25846953038557846</v>
      </c>
      <c r="AI214" s="33">
        <f t="shared" ref="AI214:AI231" si="173">V214*AG214</f>
        <v>6.6959094328389646E-2</v>
      </c>
      <c r="AJ214" s="34">
        <f t="shared" ref="AJ214:AJ231" si="174">X214*AH214</f>
        <v>1.0744836847658881</v>
      </c>
      <c r="AK214" s="100" t="e">
        <f t="shared" ref="AK214:AK231" si="175">((AI214/K214)*(100+S214))/(R214)</f>
        <v>#DIV/0!</v>
      </c>
      <c r="AL214" s="100" t="e">
        <f t="shared" ref="AL214:AL231" si="176">((AJ214/K214)*(100+S214))/(R214)</f>
        <v>#DIV/0!</v>
      </c>
      <c r="AM214" s="101" t="e">
        <f t="shared" ref="AM214:AM231" si="177">AK214*1000</f>
        <v>#DIV/0!</v>
      </c>
      <c r="AN214" s="101" t="e">
        <f t="shared" ref="AN214:AN231" si="178">AL214*1000</f>
        <v>#DIV/0!</v>
      </c>
      <c r="AO214" s="102">
        <f t="shared" ref="AO214:AO231" si="179">AI214*100/Z214</f>
        <v>2.9588640887489905</v>
      </c>
      <c r="AP214" s="102">
        <f t="shared" ref="AP214:AP231" si="180">AJ214*100/Z214</f>
        <v>47.480498663980917</v>
      </c>
      <c r="AQ214" s="101">
        <f t="shared" ref="AQ214:AQ231" si="181">AJ214/AI214</f>
        <v>16.046867054328171</v>
      </c>
      <c r="AR214" s="34">
        <f t="shared" ref="AR214:AR231" si="182">W214+(1.98-AB214)</f>
        <v>3.6761088119507956</v>
      </c>
      <c r="AS214" s="103">
        <v>0.3669</v>
      </c>
      <c r="AT214" s="33">
        <f t="shared" ref="AT214:AT231" si="183">100*0.003676*(AR214/1000+1)/(1+0.003676*(AR214/1000+1))</f>
        <v>0.36759509059557155</v>
      </c>
      <c r="AU214" s="33">
        <f t="shared" ref="AU214:AU231" si="184">AT214-AS214</f>
        <v>6.9509059557154584E-4</v>
      </c>
      <c r="AV214" s="58"/>
      <c r="AW214" s="33"/>
      <c r="AX214" s="34">
        <f t="shared" ref="AX214:AX231" si="185">(((AI214*(AU214%))/AI214)*1000)*1000</f>
        <v>6.9509059557154584</v>
      </c>
      <c r="AY214" s="34">
        <f t="shared" ref="AY214:AY231" si="186">Y214+(-26.03-AD214)</f>
        <v>-25.863248506702558</v>
      </c>
      <c r="AZ214" s="103">
        <v>1.0819000000000001</v>
      </c>
      <c r="BA214" s="33">
        <f t="shared" ref="BA214:BA231" si="187">100*0.011237*(AY214/1000+1)/(1+0.011237*(AY214/1000+1))</f>
        <v>1.0827848984603825</v>
      </c>
      <c r="BB214" s="32">
        <f t="shared" ref="BB214:BB231" si="188">BA214-AZ214</f>
        <v>8.848984603824217E-4</v>
      </c>
      <c r="BC214" s="58" t="e">
        <f t="shared" ref="BC214:BC231" si="189">1.12461*AL214+0.0077</f>
        <v>#DIV/0!</v>
      </c>
      <c r="BD214" s="32" t="e">
        <f t="shared" ref="BD214:BD231" si="190">((BB214%)*BC214)*1000</f>
        <v>#DIV/0!</v>
      </c>
      <c r="BE214" s="32">
        <f t="shared" ref="BE214:BE231" si="191">(((AJ214*(BB214%))/AJ214)*1000)*1000</f>
        <v>8.848984603824217</v>
      </c>
    </row>
    <row r="215" spans="1:57" customFormat="1" ht="15.75">
      <c r="Q215" s="98"/>
      <c r="R215" s="99"/>
      <c r="S215" s="99"/>
      <c r="T215" s="82">
        <v>131</v>
      </c>
      <c r="U215" s="82" t="s">
        <v>211</v>
      </c>
      <c r="V215" s="83">
        <v>6.0239944999999997</v>
      </c>
      <c r="W215" s="83">
        <v>5.0220988703314982</v>
      </c>
      <c r="X215" s="83">
        <v>4.2970790000000001</v>
      </c>
      <c r="Y215" s="83">
        <v>-26.229176399678455</v>
      </c>
      <c r="Z215" s="69">
        <v>2.3340000000000001</v>
      </c>
      <c r="AA215" s="73">
        <v>5.5661983611111108</v>
      </c>
      <c r="AB215" s="73">
        <v>3.0248816727959098</v>
      </c>
      <c r="AC215" s="73">
        <v>3.9982883888888887</v>
      </c>
      <c r="AD215" s="73">
        <v>-25.508901929003891</v>
      </c>
      <c r="AE215" s="73">
        <v>2.2461111111111109</v>
      </c>
      <c r="AF215" s="73">
        <v>2.2461111111111109</v>
      </c>
      <c r="AG215" s="32">
        <f t="shared" si="171"/>
        <v>1.1379460310984945E-2</v>
      </c>
      <c r="AH215" s="32">
        <f t="shared" si="172"/>
        <v>0.25846953038557846</v>
      </c>
      <c r="AI215" s="33">
        <f t="shared" si="173"/>
        <v>6.8549806326341597E-2</v>
      </c>
      <c r="AJ215" s="34">
        <f t="shared" si="174"/>
        <v>1.1106639911597311</v>
      </c>
      <c r="AK215" s="100" t="e">
        <f t="shared" si="175"/>
        <v>#DIV/0!</v>
      </c>
      <c r="AL215" s="100" t="e">
        <f t="shared" si="176"/>
        <v>#DIV/0!</v>
      </c>
      <c r="AM215" s="101" t="e">
        <f t="shared" si="177"/>
        <v>#DIV/0!</v>
      </c>
      <c r="AN215" s="101" t="e">
        <f t="shared" si="178"/>
        <v>#DIV/0!</v>
      </c>
      <c r="AO215" s="102">
        <f t="shared" si="179"/>
        <v>2.9370096969298025</v>
      </c>
      <c r="AP215" s="102">
        <f t="shared" si="180"/>
        <v>47.586289252773398</v>
      </c>
      <c r="AQ215" s="101">
        <f t="shared" si="181"/>
        <v>16.202292182595663</v>
      </c>
      <c r="AR215" s="34">
        <f t="shared" si="182"/>
        <v>3.9772171975355883</v>
      </c>
      <c r="AS215" s="103">
        <v>0.3669</v>
      </c>
      <c r="AT215" s="33">
        <f t="shared" si="183"/>
        <v>0.36770496564940908</v>
      </c>
      <c r="AU215" s="33">
        <f t="shared" si="184"/>
        <v>8.0496564940907289E-4</v>
      </c>
      <c r="AV215" s="58"/>
      <c r="AW215" s="33"/>
      <c r="AX215" s="34">
        <f t="shared" si="185"/>
        <v>8.0496564940907298</v>
      </c>
      <c r="AY215" s="34">
        <f t="shared" si="186"/>
        <v>-26.750274470674565</v>
      </c>
      <c r="AZ215" s="103">
        <v>1.0819000000000001</v>
      </c>
      <c r="BA215" s="33">
        <f t="shared" si="187"/>
        <v>1.0818096062475357</v>
      </c>
      <c r="BB215" s="32">
        <f t="shared" si="188"/>
        <v>-9.0393752464335009E-5</v>
      </c>
      <c r="BC215" s="58" t="e">
        <f t="shared" si="189"/>
        <v>#DIV/0!</v>
      </c>
      <c r="BD215" s="32" t="e">
        <f t="shared" si="190"/>
        <v>#DIV/0!</v>
      </c>
      <c r="BE215" s="32">
        <f t="shared" si="191"/>
        <v>-0.9039375246433502</v>
      </c>
    </row>
    <row r="216" spans="1:57" customFormat="1" ht="15.75">
      <c r="Q216" s="98"/>
      <c r="R216" s="99"/>
      <c r="S216" s="99"/>
      <c r="T216" s="82">
        <v>143</v>
      </c>
      <c r="U216" s="82" t="s">
        <v>223</v>
      </c>
      <c r="V216" s="83">
        <v>3.2180032500000002</v>
      </c>
      <c r="W216" s="83">
        <v>-6.6163209701302765</v>
      </c>
      <c r="X216" s="83">
        <v>2.4361445000000002</v>
      </c>
      <c r="Y216" s="83">
        <v>-26.012201334975966</v>
      </c>
      <c r="Z216" s="69">
        <v>1.2769999999999999</v>
      </c>
      <c r="AA216" s="73">
        <v>5.5661983611111108</v>
      </c>
      <c r="AB216" s="73">
        <v>3.0248816727959098</v>
      </c>
      <c r="AC216" s="73">
        <v>3.9982883888888887</v>
      </c>
      <c r="AD216" s="73">
        <v>-25.508901929003891</v>
      </c>
      <c r="AE216" s="73">
        <v>2.2461111111111109</v>
      </c>
      <c r="AF216" s="73">
        <v>2.2461111111111109</v>
      </c>
      <c r="AG216" s="32">
        <f t="shared" si="171"/>
        <v>1.1379460310984945E-2</v>
      </c>
      <c r="AH216" s="32">
        <f t="shared" si="172"/>
        <v>0.25846953038557846</v>
      </c>
      <c r="AI216" s="33">
        <f t="shared" si="173"/>
        <v>3.661914026399557E-2</v>
      </c>
      <c r="AJ216" s="34">
        <f t="shared" si="174"/>
        <v>0.62966912486640991</v>
      </c>
      <c r="AK216" s="100" t="e">
        <f t="shared" si="175"/>
        <v>#DIV/0!</v>
      </c>
      <c r="AL216" s="100" t="e">
        <f t="shared" si="176"/>
        <v>#DIV/0!</v>
      </c>
      <c r="AM216" s="101" t="e">
        <f t="shared" si="177"/>
        <v>#DIV/0!</v>
      </c>
      <c r="AN216" s="101" t="e">
        <f t="shared" si="178"/>
        <v>#DIV/0!</v>
      </c>
      <c r="AO216" s="102">
        <f t="shared" si="179"/>
        <v>2.8675912501171164</v>
      </c>
      <c r="AP216" s="102">
        <f t="shared" si="180"/>
        <v>49.308467099953795</v>
      </c>
      <c r="AQ216" s="101">
        <f t="shared" si="181"/>
        <v>17.195082143572581</v>
      </c>
      <c r="AR216" s="34">
        <f t="shared" si="182"/>
        <v>-7.6612026429261864</v>
      </c>
      <c r="AS216" s="103">
        <v>0.3669</v>
      </c>
      <c r="AT216" s="33">
        <f t="shared" si="183"/>
        <v>0.36345790655666077</v>
      </c>
      <c r="AU216" s="33">
        <f t="shared" si="184"/>
        <v>-3.4420934433392336E-3</v>
      </c>
      <c r="AV216" s="58"/>
      <c r="AW216" s="33"/>
      <c r="AX216" s="34">
        <f t="shared" si="185"/>
        <v>-34.420934433392333</v>
      </c>
      <c r="AY216" s="34">
        <f t="shared" si="186"/>
        <v>-26.533299405972077</v>
      </c>
      <c r="AZ216" s="103">
        <v>1.0819000000000001</v>
      </c>
      <c r="BA216" s="33">
        <f t="shared" si="187"/>
        <v>1.0820481738607284</v>
      </c>
      <c r="BB216" s="32">
        <f t="shared" si="188"/>
        <v>1.4817386072829564E-4</v>
      </c>
      <c r="BC216" s="58" t="e">
        <f t="shared" si="189"/>
        <v>#DIV/0!</v>
      </c>
      <c r="BD216" s="32" t="e">
        <f t="shared" si="190"/>
        <v>#DIV/0!</v>
      </c>
      <c r="BE216" s="32">
        <f t="shared" si="191"/>
        <v>1.4817386072829564</v>
      </c>
    </row>
    <row r="217" spans="1:57" customFormat="1" ht="15.75">
      <c r="Q217" s="98"/>
      <c r="R217" s="99"/>
      <c r="S217" s="99"/>
      <c r="T217" s="82">
        <v>155</v>
      </c>
      <c r="U217" s="82" t="s">
        <v>235</v>
      </c>
      <c r="V217" s="83">
        <v>6.3683839999999998</v>
      </c>
      <c r="W217" s="83">
        <v>2.7606930959957863</v>
      </c>
      <c r="X217" s="83">
        <v>4.4458500000000001</v>
      </c>
      <c r="Y217" s="83">
        <v>-25.819751132385349</v>
      </c>
      <c r="Z217" s="69">
        <v>2.5569999999999999</v>
      </c>
      <c r="AA217" s="73">
        <v>5.5661983611111108</v>
      </c>
      <c r="AB217" s="73">
        <v>3.0248816727959098</v>
      </c>
      <c r="AC217" s="73">
        <v>3.9982883888888887</v>
      </c>
      <c r="AD217" s="73">
        <v>-25.508901929003891</v>
      </c>
      <c r="AE217" s="73">
        <v>2.2461111111111109</v>
      </c>
      <c r="AF217" s="73">
        <v>2.2461111111111109</v>
      </c>
      <c r="AG217" s="32">
        <f t="shared" si="171"/>
        <v>1.1379460310984945E-2</v>
      </c>
      <c r="AH217" s="32">
        <f t="shared" si="172"/>
        <v>0.25846953038557846</v>
      </c>
      <c r="AI217" s="33">
        <f t="shared" si="173"/>
        <v>7.246877297311155E-2</v>
      </c>
      <c r="AJ217" s="34">
        <f t="shared" si="174"/>
        <v>1.149116761664724</v>
      </c>
      <c r="AK217" s="100" t="e">
        <f t="shared" si="175"/>
        <v>#DIV/0!</v>
      </c>
      <c r="AL217" s="100" t="e">
        <f t="shared" si="176"/>
        <v>#DIV/0!</v>
      </c>
      <c r="AM217" s="101" t="e">
        <f t="shared" si="177"/>
        <v>#DIV/0!</v>
      </c>
      <c r="AN217" s="101" t="e">
        <f t="shared" si="178"/>
        <v>#DIV/0!</v>
      </c>
      <c r="AO217" s="102">
        <f t="shared" si="179"/>
        <v>2.8341326935123798</v>
      </c>
      <c r="AP217" s="102">
        <f t="shared" si="180"/>
        <v>44.940037609101452</v>
      </c>
      <c r="AQ217" s="101">
        <f t="shared" si="181"/>
        <v>15.856716134701031</v>
      </c>
      <c r="AR217" s="34">
        <f t="shared" si="182"/>
        <v>1.7158114231998765</v>
      </c>
      <c r="AS217" s="103">
        <v>0.3669</v>
      </c>
      <c r="AT217" s="33">
        <f t="shared" si="183"/>
        <v>0.36687976822206009</v>
      </c>
      <c r="AU217" s="33">
        <f t="shared" si="184"/>
        <v>-2.0231777939916373E-5</v>
      </c>
      <c r="AV217" s="58"/>
      <c r="AW217" s="33"/>
      <c r="AX217" s="34">
        <f t="shared" si="185"/>
        <v>-0.20231777939916373</v>
      </c>
      <c r="AY217" s="34">
        <f t="shared" si="186"/>
        <v>-26.34084920338146</v>
      </c>
      <c r="AZ217" s="103">
        <v>1.0819000000000001</v>
      </c>
      <c r="BA217" s="33">
        <f t="shared" si="187"/>
        <v>1.0822597750260969</v>
      </c>
      <c r="BB217" s="32">
        <f t="shared" si="188"/>
        <v>3.5977502609685352E-4</v>
      </c>
      <c r="BC217" s="58" t="e">
        <f t="shared" si="189"/>
        <v>#DIV/0!</v>
      </c>
      <c r="BD217" s="32" t="e">
        <f t="shared" si="190"/>
        <v>#DIV/0!</v>
      </c>
      <c r="BE217" s="32">
        <f t="shared" si="191"/>
        <v>3.5977502609685352</v>
      </c>
    </row>
    <row r="218" spans="1:57" customFormat="1" ht="15.75">
      <c r="Q218" s="98"/>
      <c r="R218" s="99"/>
      <c r="S218" s="99"/>
      <c r="T218" s="82">
        <v>167</v>
      </c>
      <c r="U218" s="82" t="s">
        <v>247</v>
      </c>
      <c r="V218" s="83">
        <v>4.6013570000000001</v>
      </c>
      <c r="W218" s="83">
        <v>2.9375922271753536</v>
      </c>
      <c r="X218" s="83">
        <v>3.4343884999999998</v>
      </c>
      <c r="Y218" s="83">
        <v>-25.174772388572705</v>
      </c>
      <c r="Z218" s="69">
        <v>1.8759999999999999</v>
      </c>
      <c r="AA218" s="73">
        <v>5.5661983611111108</v>
      </c>
      <c r="AB218" s="73">
        <v>3.0248816727959098</v>
      </c>
      <c r="AC218" s="73">
        <v>3.9982883888888887</v>
      </c>
      <c r="AD218" s="73">
        <v>-25.508901929003891</v>
      </c>
      <c r="AE218" s="73">
        <v>2.2461111111111109</v>
      </c>
      <c r="AF218" s="73">
        <v>2.2461111111111109</v>
      </c>
      <c r="AG218" s="32">
        <f t="shared" si="171"/>
        <v>1.1379460310984945E-2</v>
      </c>
      <c r="AH218" s="32">
        <f t="shared" si="172"/>
        <v>0.25846953038557846</v>
      </c>
      <c r="AI218" s="33">
        <f t="shared" si="173"/>
        <v>5.2360959358172754E-2</v>
      </c>
      <c r="AJ218" s="34">
        <f t="shared" si="174"/>
        <v>0.88768478275663121</v>
      </c>
      <c r="AK218" s="100" t="e">
        <f t="shared" si="175"/>
        <v>#DIV/0!</v>
      </c>
      <c r="AL218" s="100" t="e">
        <f t="shared" si="176"/>
        <v>#DIV/0!</v>
      </c>
      <c r="AM218" s="101" t="e">
        <f t="shared" si="177"/>
        <v>#DIV/0!</v>
      </c>
      <c r="AN218" s="101" t="e">
        <f t="shared" si="178"/>
        <v>#DIV/0!</v>
      </c>
      <c r="AO218" s="102">
        <f t="shared" si="179"/>
        <v>2.7910959146147523</v>
      </c>
      <c r="AP218" s="102">
        <f t="shared" si="180"/>
        <v>47.317952172528315</v>
      </c>
      <c r="AQ218" s="101">
        <f t="shared" si="181"/>
        <v>16.95318026326569</v>
      </c>
      <c r="AR218" s="34">
        <f t="shared" si="182"/>
        <v>1.8927105543794438</v>
      </c>
      <c r="AS218" s="103">
        <v>0.3669</v>
      </c>
      <c r="AT218" s="33">
        <f t="shared" si="183"/>
        <v>0.36694432002610589</v>
      </c>
      <c r="AU218" s="33">
        <f t="shared" si="184"/>
        <v>4.4320026105881816E-5</v>
      </c>
      <c r="AV218" s="58"/>
      <c r="AW218" s="33"/>
      <c r="AX218" s="34">
        <f t="shared" si="185"/>
        <v>0.44320026105881816</v>
      </c>
      <c r="AY218" s="34">
        <f t="shared" si="186"/>
        <v>-25.695870459568816</v>
      </c>
      <c r="AZ218" s="103">
        <v>1.0819000000000001</v>
      </c>
      <c r="BA218" s="33">
        <f t="shared" si="187"/>
        <v>1.0829689298184209</v>
      </c>
      <c r="BB218" s="32">
        <f t="shared" si="188"/>
        <v>1.0689298184207718E-3</v>
      </c>
      <c r="BC218" s="58" t="e">
        <f t="shared" si="189"/>
        <v>#DIV/0!</v>
      </c>
      <c r="BD218" s="32" t="e">
        <f t="shared" si="190"/>
        <v>#DIV/0!</v>
      </c>
      <c r="BE218" s="32">
        <f t="shared" si="191"/>
        <v>10.689298184207718</v>
      </c>
    </row>
    <row r="219" spans="1:57" customFormat="1" ht="15.75">
      <c r="Q219" s="98"/>
      <c r="R219" s="99"/>
      <c r="S219" s="99"/>
      <c r="T219" s="82">
        <v>179</v>
      </c>
      <c r="U219" s="82" t="s">
        <v>259</v>
      </c>
      <c r="V219" s="83">
        <v>5.4460685</v>
      </c>
      <c r="W219" s="83">
        <v>4.9548130578376215</v>
      </c>
      <c r="X219" s="83">
        <v>3.9064877500000001</v>
      </c>
      <c r="Y219" s="83">
        <v>-25.247917798265128</v>
      </c>
      <c r="Z219" s="71">
        <v>2.181</v>
      </c>
      <c r="AA219" s="73">
        <v>5.5661983611111108</v>
      </c>
      <c r="AB219" s="73">
        <v>3.0248816727959098</v>
      </c>
      <c r="AC219" s="73">
        <v>3.9982883888888887</v>
      </c>
      <c r="AD219" s="73">
        <v>-25.508901929003891</v>
      </c>
      <c r="AE219" s="73">
        <v>2.2461111111111109</v>
      </c>
      <c r="AF219" s="73">
        <v>2.2461111111111109</v>
      </c>
      <c r="AG219" s="32">
        <f t="shared" si="171"/>
        <v>1.1379460310984945E-2</v>
      </c>
      <c r="AH219" s="32">
        <f t="shared" si="172"/>
        <v>0.25846953038557846</v>
      </c>
      <c r="AI219" s="33">
        <f t="shared" si="173"/>
        <v>6.1973320346655314E-2</v>
      </c>
      <c r="AJ219" s="34">
        <f t="shared" si="174"/>
        <v>1.0097080541995151</v>
      </c>
      <c r="AK219" s="100" t="e">
        <f t="shared" si="175"/>
        <v>#DIV/0!</v>
      </c>
      <c r="AL219" s="100" t="e">
        <f t="shared" si="176"/>
        <v>#DIV/0!</v>
      </c>
      <c r="AM219" s="101" t="e">
        <f t="shared" si="177"/>
        <v>#DIV/0!</v>
      </c>
      <c r="AN219" s="101" t="e">
        <f t="shared" si="178"/>
        <v>#DIV/0!</v>
      </c>
      <c r="AO219" s="102">
        <f t="shared" si="179"/>
        <v>2.8415094152524212</v>
      </c>
      <c r="AP219" s="102">
        <f t="shared" si="180"/>
        <v>46.295646684984646</v>
      </c>
      <c r="AQ219" s="101">
        <f t="shared" si="181"/>
        <v>16.292624770652761</v>
      </c>
      <c r="AR219" s="34">
        <f t="shared" si="182"/>
        <v>3.9099313850417117</v>
      </c>
      <c r="AS219" s="103">
        <v>0.3669</v>
      </c>
      <c r="AT219" s="33">
        <f t="shared" si="183"/>
        <v>0.36768041294250009</v>
      </c>
      <c r="AU219" s="33">
        <f t="shared" si="184"/>
        <v>7.8041294250008608E-4</v>
      </c>
      <c r="AV219" s="58"/>
      <c r="AW219" s="33"/>
      <c r="AX219" s="34">
        <f t="shared" si="185"/>
        <v>7.8041294250008617</v>
      </c>
      <c r="AY219" s="34">
        <f t="shared" si="186"/>
        <v>-25.769015869261239</v>
      </c>
      <c r="AZ219" s="103">
        <v>1.0819000000000001</v>
      </c>
      <c r="BA219" s="33">
        <f t="shared" si="187"/>
        <v>1.0828885068763978</v>
      </c>
      <c r="BB219" s="32">
        <f t="shared" si="188"/>
        <v>9.8850687639773227E-4</v>
      </c>
      <c r="BC219" s="58" t="e">
        <f t="shared" si="189"/>
        <v>#DIV/0!</v>
      </c>
      <c r="BD219" s="32" t="e">
        <f t="shared" si="190"/>
        <v>#DIV/0!</v>
      </c>
      <c r="BE219" s="32">
        <f t="shared" si="191"/>
        <v>9.8850687639773227</v>
      </c>
    </row>
    <row r="220" spans="1:57" customFormat="1" ht="15.75">
      <c r="Q220" s="98"/>
      <c r="R220" s="99"/>
      <c r="S220" s="99"/>
      <c r="T220" s="82">
        <v>191</v>
      </c>
      <c r="U220" s="82" t="s">
        <v>271</v>
      </c>
      <c r="V220" s="83">
        <v>5.5525659999999997</v>
      </c>
      <c r="W220" s="83"/>
      <c r="X220" s="83">
        <v>4.0312057499999998</v>
      </c>
      <c r="Y220" s="83">
        <v>-25.120719553457427</v>
      </c>
      <c r="Z220" s="71">
        <v>2.286</v>
      </c>
      <c r="AA220" s="73">
        <v>5.5661983611111108</v>
      </c>
      <c r="AB220" s="73">
        <v>3.0248816727959098</v>
      </c>
      <c r="AC220" s="73">
        <v>3.9982883888888887</v>
      </c>
      <c r="AD220" s="73">
        <v>-25.508901929003891</v>
      </c>
      <c r="AE220" s="73">
        <v>2.2461111111111109</v>
      </c>
      <c r="AF220" s="73">
        <v>2.2461111111111109</v>
      </c>
      <c r="AG220" s="32">
        <f t="shared" si="171"/>
        <v>1.1379460310984945E-2</v>
      </c>
      <c r="AH220" s="32">
        <f t="shared" si="172"/>
        <v>0.25846953038557846</v>
      </c>
      <c r="AI220" s="33">
        <f t="shared" si="173"/>
        <v>6.3185204421124436E-2</v>
      </c>
      <c r="AJ220" s="34">
        <f t="shared" si="174"/>
        <v>1.0419438570901436</v>
      </c>
      <c r="AK220" s="100" t="e">
        <f t="shared" si="175"/>
        <v>#DIV/0!</v>
      </c>
      <c r="AL220" s="100" t="e">
        <f t="shared" si="176"/>
        <v>#DIV/0!</v>
      </c>
      <c r="AM220" s="101" t="e">
        <f t="shared" si="177"/>
        <v>#DIV/0!</v>
      </c>
      <c r="AN220" s="101" t="e">
        <f t="shared" si="178"/>
        <v>#DIV/0!</v>
      </c>
      <c r="AO220" s="102">
        <f t="shared" si="179"/>
        <v>2.7640071925251286</v>
      </c>
      <c r="AP220" s="102">
        <f t="shared" si="180"/>
        <v>45.579346329402604</v>
      </c>
      <c r="AQ220" s="101">
        <f t="shared" si="181"/>
        <v>16.490313937194369</v>
      </c>
      <c r="AR220" s="34">
        <f t="shared" si="182"/>
        <v>-1.0448816727959098</v>
      </c>
      <c r="AS220" s="103">
        <v>0.3669</v>
      </c>
      <c r="AT220" s="33">
        <f t="shared" si="183"/>
        <v>0.36587236001193374</v>
      </c>
      <c r="AU220" s="33">
        <f t="shared" si="184"/>
        <v>-1.0276399880662646E-3</v>
      </c>
      <c r="AV220" s="58"/>
      <c r="AW220" s="33"/>
      <c r="AX220" s="34">
        <f t="shared" si="185"/>
        <v>-10.276399880662645</v>
      </c>
      <c r="AY220" s="34">
        <f t="shared" si="186"/>
        <v>-25.641817624453537</v>
      </c>
      <c r="AZ220" s="103">
        <v>1.0819000000000001</v>
      </c>
      <c r="BA220" s="33">
        <f t="shared" si="187"/>
        <v>1.0830283605044584</v>
      </c>
      <c r="BB220" s="32">
        <f t="shared" si="188"/>
        <v>1.1283605044583034E-3</v>
      </c>
      <c r="BC220" s="58" t="e">
        <f t="shared" si="189"/>
        <v>#DIV/0!</v>
      </c>
      <c r="BD220" s="32" t="e">
        <f t="shared" si="190"/>
        <v>#DIV/0!</v>
      </c>
      <c r="BE220" s="32">
        <f t="shared" si="191"/>
        <v>11.283605044583034</v>
      </c>
    </row>
    <row r="221" spans="1:57" customFormat="1" ht="15.75">
      <c r="Q221" s="98"/>
      <c r="R221" s="99"/>
      <c r="S221" s="99"/>
      <c r="T221" s="82">
        <v>203</v>
      </c>
      <c r="U221" s="82" t="s">
        <v>283</v>
      </c>
      <c r="V221" s="83">
        <v>7.578919</v>
      </c>
      <c r="W221" s="83"/>
      <c r="X221" s="83">
        <v>5.1757084999999998</v>
      </c>
      <c r="Y221" s="83">
        <v>-25.290873794717328</v>
      </c>
      <c r="Z221" s="71">
        <v>3.024</v>
      </c>
      <c r="AA221" s="73">
        <v>5.5661983611111108</v>
      </c>
      <c r="AB221" s="73">
        <v>3.0248816727959098</v>
      </c>
      <c r="AC221" s="73">
        <v>3.9982883888888887</v>
      </c>
      <c r="AD221" s="73">
        <v>-25.508901929003891</v>
      </c>
      <c r="AE221" s="73">
        <v>2.2461111111111109</v>
      </c>
      <c r="AF221" s="73">
        <v>2.2461111111111109</v>
      </c>
      <c r="AG221" s="32"/>
      <c r="AH221" s="32"/>
      <c r="AI221" s="33"/>
      <c r="AJ221" s="34"/>
      <c r="AK221" s="100"/>
      <c r="AL221" s="100"/>
      <c r="AM221" s="101"/>
      <c r="AN221" s="101"/>
      <c r="AO221" s="102"/>
      <c r="AP221" s="102"/>
      <c r="AQ221" s="101"/>
      <c r="AR221" s="34"/>
      <c r="AS221" s="103"/>
      <c r="AT221" s="33"/>
      <c r="AU221" s="33"/>
      <c r="AV221" s="58"/>
      <c r="AW221" s="33"/>
      <c r="AX221" s="34"/>
      <c r="AY221" s="34"/>
      <c r="AZ221" s="103"/>
      <c r="BA221" s="33"/>
      <c r="BB221" s="32"/>
      <c r="BC221" s="58"/>
      <c r="BD221" s="32"/>
      <c r="BE221" s="32"/>
    </row>
    <row r="222" spans="1:57" customFormat="1" ht="13.5" customHeight="1">
      <c r="Q222" s="104"/>
      <c r="R222" s="105" t="s">
        <v>134</v>
      </c>
      <c r="S222" s="105"/>
      <c r="T222" s="72"/>
      <c r="U222" s="72"/>
      <c r="V222" s="73">
        <f>AVERAGE(V213:V221)</f>
        <v>5.5661983611111108</v>
      </c>
      <c r="W222" s="73">
        <f t="shared" ref="W222:Z222" si="192">AVERAGE(W213:W221)</f>
        <v>3.0248816727959098</v>
      </c>
      <c r="X222" s="73">
        <f t="shared" si="192"/>
        <v>3.9982883888888887</v>
      </c>
      <c r="Y222" s="73">
        <f t="shared" si="192"/>
        <v>-25.508901929003891</v>
      </c>
      <c r="Z222" s="73">
        <f t="shared" si="192"/>
        <v>2.2461111111111109</v>
      </c>
      <c r="AA222" s="73">
        <v>5.5661983611111108</v>
      </c>
      <c r="AB222" s="73">
        <v>3.0248816727959098</v>
      </c>
      <c r="AC222" s="73">
        <v>3.9982883888888887</v>
      </c>
      <c r="AD222" s="73">
        <v>-25.508901929003891</v>
      </c>
      <c r="AE222" s="73">
        <v>2.2461111111111109</v>
      </c>
      <c r="AF222" s="73">
        <v>2.2461111111111109</v>
      </c>
      <c r="AG222" s="32">
        <f t="shared" si="171"/>
        <v>1.1379460310984945E-2</v>
      </c>
      <c r="AH222" s="32">
        <f t="shared" si="172"/>
        <v>0.25846953038557846</v>
      </c>
      <c r="AI222" s="33">
        <f t="shared" si="173"/>
        <v>6.3340333333333332E-2</v>
      </c>
      <c r="AJ222" s="34">
        <f t="shared" si="174"/>
        <v>1.0334357222222221</v>
      </c>
      <c r="AK222" s="100" t="e">
        <f t="shared" si="175"/>
        <v>#DIV/0!</v>
      </c>
      <c r="AL222" s="100" t="e">
        <f t="shared" si="176"/>
        <v>#DIV/0!</v>
      </c>
      <c r="AM222" s="101" t="e">
        <f t="shared" si="177"/>
        <v>#DIV/0!</v>
      </c>
      <c r="AN222" s="101" t="e">
        <f t="shared" si="178"/>
        <v>#DIV/0!</v>
      </c>
      <c r="AO222" s="102">
        <f t="shared" si="179"/>
        <v>2.8200000000000003</v>
      </c>
      <c r="AP222" s="102">
        <f t="shared" si="180"/>
        <v>46.01</v>
      </c>
      <c r="AQ222" s="101">
        <f t="shared" si="181"/>
        <v>16.315602836879432</v>
      </c>
      <c r="AR222" s="34">
        <f t="shared" si="182"/>
        <v>1.98</v>
      </c>
      <c r="AS222" s="103">
        <v>0.3669</v>
      </c>
      <c r="AT222" s="33">
        <f t="shared" si="183"/>
        <v>0.36697617256093357</v>
      </c>
      <c r="AU222" s="33">
        <f t="shared" si="184"/>
        <v>7.6172560933562838E-5</v>
      </c>
      <c r="AV222" s="58"/>
      <c r="AW222" s="33"/>
      <c r="AX222" s="34">
        <f t="shared" si="185"/>
        <v>0.76172560933562838</v>
      </c>
      <c r="AY222" s="34">
        <f t="shared" si="186"/>
        <v>-26.03</v>
      </c>
      <c r="AZ222" s="103">
        <v>1.0819000000000001</v>
      </c>
      <c r="BA222" s="33">
        <f t="shared" si="187"/>
        <v>1.0826015553143469</v>
      </c>
      <c r="BB222" s="32">
        <f t="shared" si="188"/>
        <v>7.0155531434679119E-4</v>
      </c>
      <c r="BC222" s="58" t="e">
        <f t="shared" si="189"/>
        <v>#DIV/0!</v>
      </c>
      <c r="BD222" s="32" t="e">
        <f t="shared" si="190"/>
        <v>#DIV/0!</v>
      </c>
      <c r="BE222" s="32">
        <f t="shared" si="191"/>
        <v>7.0155531434679119</v>
      </c>
    </row>
    <row r="223" spans="1:57" customFormat="1" ht="15.75">
      <c r="M223" s="156" t="s">
        <v>491</v>
      </c>
      <c r="N223" s="156"/>
      <c r="Q223" s="98"/>
      <c r="R223" s="99"/>
      <c r="S223" s="99"/>
      <c r="T223" s="80">
        <v>35</v>
      </c>
      <c r="U223" s="80" t="s">
        <v>304</v>
      </c>
      <c r="V223" s="81">
        <v>5.1111234999999997</v>
      </c>
      <c r="W223" s="81">
        <v>3.0989995886476995</v>
      </c>
      <c r="X223" s="83">
        <v>3.3620982499999998</v>
      </c>
      <c r="Y223" s="83">
        <v>-25.984292929711664</v>
      </c>
      <c r="Z223" s="71">
        <v>3.1219999999999999</v>
      </c>
      <c r="AA223" s="75">
        <v>2.9111787500000004</v>
      </c>
      <c r="AB223" s="75">
        <v>7.1289713486518078</v>
      </c>
      <c r="AC223" s="75">
        <v>2.0592423593750002</v>
      </c>
      <c r="AD223" s="75">
        <v>-26.716135928040213</v>
      </c>
      <c r="AE223" s="75">
        <v>2.375375</v>
      </c>
      <c r="AF223" s="75">
        <v>2.375375</v>
      </c>
      <c r="AG223" s="32">
        <f t="shared" si="171"/>
        <v>2.3009777396870598E-2</v>
      </c>
      <c r="AH223" s="32">
        <f t="shared" si="172"/>
        <v>0.53073405008612418</v>
      </c>
      <c r="AI223" s="33">
        <f t="shared" si="173"/>
        <v>0.11760581398291413</v>
      </c>
      <c r="AJ223" s="34">
        <f t="shared" si="174"/>
        <v>1.7843800210099703</v>
      </c>
      <c r="AK223" s="100" t="e">
        <f t="shared" si="175"/>
        <v>#DIV/0!</v>
      </c>
      <c r="AL223" s="100" t="e">
        <f t="shared" si="176"/>
        <v>#DIV/0!</v>
      </c>
      <c r="AM223" s="101" t="e">
        <f t="shared" si="177"/>
        <v>#DIV/0!</v>
      </c>
      <c r="AN223" s="101" t="e">
        <f t="shared" si="178"/>
        <v>#DIV/0!</v>
      </c>
      <c r="AO223" s="102">
        <f t="shared" si="179"/>
        <v>3.7670023697281914</v>
      </c>
      <c r="AP223" s="102">
        <f t="shared" si="180"/>
        <v>57.155029500639671</v>
      </c>
      <c r="AQ223" s="101">
        <f t="shared" si="181"/>
        <v>15.172549388325363</v>
      </c>
      <c r="AR223" s="34">
        <f t="shared" si="182"/>
        <v>-2.0499717600041079</v>
      </c>
      <c r="AS223" s="103">
        <v>0.3669</v>
      </c>
      <c r="AT223" s="33">
        <f t="shared" si="183"/>
        <v>0.36550558618525864</v>
      </c>
      <c r="AU223" s="33">
        <f t="shared" si="184"/>
        <v>-1.3944138147413687E-3</v>
      </c>
      <c r="AV223" s="58"/>
      <c r="AW223" s="33"/>
      <c r="AX223" s="34">
        <f t="shared" si="185"/>
        <v>-13.944138147413685</v>
      </c>
      <c r="AY223" s="34">
        <f t="shared" si="186"/>
        <v>-25.298157001671452</v>
      </c>
      <c r="AZ223" s="103">
        <v>1.0819000000000001</v>
      </c>
      <c r="BA223" s="33">
        <f t="shared" si="187"/>
        <v>1.0834062111064562</v>
      </c>
      <c r="BB223" s="32">
        <f t="shared" si="188"/>
        <v>1.5062111064561012E-3</v>
      </c>
      <c r="BC223" s="58" t="e">
        <f t="shared" si="189"/>
        <v>#DIV/0!</v>
      </c>
      <c r="BD223" s="32" t="e">
        <f t="shared" si="190"/>
        <v>#DIV/0!</v>
      </c>
      <c r="BE223" s="32">
        <f t="shared" si="191"/>
        <v>15.062111064561014</v>
      </c>
    </row>
    <row r="224" spans="1:57" ht="15.75">
      <c r="M224" s="156" t="s">
        <v>491</v>
      </c>
      <c r="N224" s="156"/>
      <c r="T224" s="80">
        <v>47</v>
      </c>
      <c r="U224" s="80" t="s">
        <v>316</v>
      </c>
      <c r="V224" s="81">
        <v>3.192345</v>
      </c>
      <c r="W224" s="81">
        <v>10.287097333154321</v>
      </c>
      <c r="X224" s="83">
        <v>2.2990522499999999</v>
      </c>
      <c r="Y224" s="83">
        <v>-26.030610056100532</v>
      </c>
      <c r="Z224" s="71">
        <v>1.9970000000000001</v>
      </c>
      <c r="AA224" s="75">
        <v>2.9111787500000004</v>
      </c>
      <c r="AB224" s="75">
        <v>7.1289713486518078</v>
      </c>
      <c r="AC224" s="75">
        <v>2.0592423593750002</v>
      </c>
      <c r="AD224" s="75">
        <v>-26.716135928040213</v>
      </c>
      <c r="AE224" s="75">
        <v>2.375375</v>
      </c>
      <c r="AF224" s="75">
        <v>2.375375</v>
      </c>
    </row>
    <row r="225" spans="1:57" customFormat="1" ht="15.75">
      <c r="M225" s="156" t="s">
        <v>491</v>
      </c>
      <c r="N225" s="156"/>
      <c r="Q225" s="98"/>
      <c r="R225" s="99"/>
      <c r="S225" s="99"/>
      <c r="T225" s="82">
        <v>58</v>
      </c>
      <c r="U225" s="82" t="s">
        <v>327</v>
      </c>
      <c r="V225" s="83">
        <v>4.1882822500000003</v>
      </c>
      <c r="W225" s="83">
        <v>3.2844492499508853</v>
      </c>
      <c r="X225" s="81">
        <v>2.7407092500000001</v>
      </c>
      <c r="Y225" s="81">
        <v>-26.190488663234184</v>
      </c>
      <c r="Z225" s="71">
        <v>3.7669999999999999</v>
      </c>
      <c r="AA225" s="75">
        <v>2.9111787500000004</v>
      </c>
      <c r="AB225" s="75">
        <v>7.1289713486518078</v>
      </c>
      <c r="AC225" s="75">
        <v>2.0592423593750002</v>
      </c>
      <c r="AD225" s="75">
        <v>-26.716135928040213</v>
      </c>
      <c r="AE225" s="75">
        <v>2.375375</v>
      </c>
      <c r="AF225" s="75">
        <v>2.375375</v>
      </c>
      <c r="AG225" s="32"/>
      <c r="AH225" s="32"/>
      <c r="AI225" s="33"/>
      <c r="AJ225" s="34"/>
      <c r="AK225" s="100"/>
      <c r="AL225" s="100"/>
      <c r="AM225" s="101"/>
      <c r="AN225" s="101"/>
      <c r="AO225" s="102"/>
      <c r="AP225" s="102"/>
      <c r="AQ225" s="101"/>
      <c r="AR225" s="34"/>
      <c r="AS225" s="103"/>
      <c r="AT225" s="33"/>
      <c r="AU225" s="33"/>
      <c r="AV225" s="58"/>
      <c r="AW225" s="33"/>
      <c r="AX225" s="34"/>
      <c r="AY225" s="34"/>
      <c r="AZ225" s="103"/>
      <c r="BA225" s="33"/>
      <c r="BB225" s="32"/>
      <c r="BC225" s="58"/>
      <c r="BD225" s="32"/>
      <c r="BE225" s="32"/>
    </row>
    <row r="226" spans="1:57" customFormat="1" ht="15">
      <c r="M226" s="156" t="s">
        <v>491</v>
      </c>
      <c r="N226" s="156"/>
      <c r="Q226" s="98"/>
      <c r="R226" s="99"/>
      <c r="S226" s="99"/>
      <c r="T226" s="82">
        <v>70</v>
      </c>
      <c r="U226" s="82" t="s">
        <v>339</v>
      </c>
      <c r="V226" s="83">
        <v>2.8468412500000002</v>
      </c>
      <c r="W226" s="83">
        <v>9.0552486960604863</v>
      </c>
      <c r="X226" s="81">
        <v>2.0314907500000001</v>
      </c>
      <c r="Y226" s="81">
        <v>-26.181903229396603</v>
      </c>
      <c r="Z226" s="154">
        <v>2.5209999999999999</v>
      </c>
      <c r="AA226" s="75">
        <v>2.9111787500000004</v>
      </c>
      <c r="AB226" s="75">
        <v>7.1289713486518078</v>
      </c>
      <c r="AC226" s="75">
        <v>2.0592423593750002</v>
      </c>
      <c r="AD226" s="75">
        <v>-26.716135928040213</v>
      </c>
      <c r="AE226" s="75">
        <v>2.375375</v>
      </c>
      <c r="AF226" s="75">
        <v>2.375375</v>
      </c>
      <c r="AG226" s="32"/>
      <c r="AH226" s="32"/>
      <c r="AI226" s="33"/>
      <c r="AJ226" s="34"/>
      <c r="AK226" s="100"/>
      <c r="AL226" s="100"/>
      <c r="AM226" s="101"/>
      <c r="AN226" s="101"/>
      <c r="AO226" s="102"/>
      <c r="AP226" s="102"/>
      <c r="AQ226" s="101"/>
      <c r="AR226" s="34"/>
      <c r="AS226" s="103"/>
      <c r="AT226" s="33"/>
      <c r="AU226" s="33"/>
      <c r="AV226" s="58"/>
      <c r="AW226" s="33"/>
      <c r="AX226" s="34"/>
      <c r="AY226" s="34"/>
      <c r="AZ226" s="103"/>
      <c r="BA226" s="33"/>
      <c r="BB226" s="32"/>
      <c r="BC226" s="58"/>
      <c r="BD226" s="32"/>
      <c r="BE226" s="32"/>
    </row>
    <row r="227" spans="1:57" customFormat="1" ht="15">
      <c r="M227" s="156" t="s">
        <v>491</v>
      </c>
      <c r="N227" s="156"/>
      <c r="Q227" s="98"/>
      <c r="R227" s="99"/>
      <c r="S227" s="99"/>
      <c r="T227" s="82">
        <v>82</v>
      </c>
      <c r="U227" s="82" t="s">
        <v>351</v>
      </c>
      <c r="V227" s="83">
        <v>1.825352125</v>
      </c>
      <c r="W227" s="83">
        <v>13.088179799669504</v>
      </c>
      <c r="X227" s="81">
        <v>1.40410875</v>
      </c>
      <c r="Y227" s="81">
        <v>-25.641298062094315</v>
      </c>
      <c r="Z227" s="154">
        <v>1.641</v>
      </c>
      <c r="AA227" s="75">
        <v>2.9111787500000004</v>
      </c>
      <c r="AB227" s="75">
        <v>7.1289713486518078</v>
      </c>
      <c r="AC227" s="75">
        <v>2.0592423593750002</v>
      </c>
      <c r="AD227" s="75">
        <v>-26.716135928040213</v>
      </c>
      <c r="AE227" s="75">
        <v>2.375375</v>
      </c>
      <c r="AF227" s="75">
        <v>2.375375</v>
      </c>
      <c r="AG227" s="32"/>
      <c r="AH227" s="32"/>
      <c r="AI227" s="33"/>
      <c r="AJ227" s="34"/>
      <c r="AK227" s="100"/>
      <c r="AL227" s="100"/>
      <c r="AM227" s="101"/>
      <c r="AN227" s="101"/>
      <c r="AO227" s="102"/>
      <c r="AP227" s="102"/>
      <c r="AQ227" s="101"/>
      <c r="AR227" s="34"/>
      <c r="AS227" s="103"/>
      <c r="AT227" s="33"/>
      <c r="AU227" s="33"/>
      <c r="AV227" s="58"/>
      <c r="AW227" s="33"/>
      <c r="AX227" s="34"/>
      <c r="AY227" s="34"/>
      <c r="AZ227" s="103"/>
      <c r="BA227" s="33"/>
      <c r="BB227" s="32"/>
      <c r="BC227" s="58"/>
      <c r="BD227" s="32"/>
      <c r="BE227" s="32"/>
    </row>
    <row r="228" spans="1:57" customFormat="1" ht="15">
      <c r="M228" s="156" t="s">
        <v>491</v>
      </c>
      <c r="N228" s="156"/>
      <c r="Q228" s="98"/>
      <c r="R228" s="99"/>
      <c r="S228" s="99"/>
      <c r="T228" s="82">
        <v>94</v>
      </c>
      <c r="U228" s="82" t="s">
        <v>363</v>
      </c>
      <c r="V228" s="83">
        <v>1.8328692499999999</v>
      </c>
      <c r="W228" s="83">
        <v>8.4587230021404167</v>
      </c>
      <c r="X228" s="81">
        <v>1.4208183750000001</v>
      </c>
      <c r="Y228" s="81">
        <v>-25.782149570275543</v>
      </c>
      <c r="Z228" s="154">
        <v>2.073</v>
      </c>
      <c r="AA228" s="75">
        <v>2.9111787500000004</v>
      </c>
      <c r="AB228" s="75">
        <v>7.1289713486518078</v>
      </c>
      <c r="AC228" s="75">
        <v>2.0592423593750002</v>
      </c>
      <c r="AD228" s="75">
        <v>-26.716135928040213</v>
      </c>
      <c r="AE228" s="75">
        <v>2.375375</v>
      </c>
      <c r="AF228" s="75">
        <v>2.375375</v>
      </c>
      <c r="AG228" s="32">
        <f t="shared" si="171"/>
        <v>2.3009777396870598E-2</v>
      </c>
      <c r="AH228" s="32">
        <f t="shared" si="172"/>
        <v>0.53073405008612418</v>
      </c>
      <c r="AI228" s="33">
        <f t="shared" si="173"/>
        <v>4.2173913440069162E-2</v>
      </c>
      <c r="AJ228" s="34">
        <f t="shared" si="174"/>
        <v>0.75407669060053562</v>
      </c>
      <c r="AK228" s="100" t="e">
        <f t="shared" si="175"/>
        <v>#DIV/0!</v>
      </c>
      <c r="AL228" s="100" t="e">
        <f t="shared" si="176"/>
        <v>#DIV/0!</v>
      </c>
      <c r="AM228" s="101" t="e">
        <f t="shared" si="177"/>
        <v>#DIV/0!</v>
      </c>
      <c r="AN228" s="101" t="e">
        <f t="shared" si="178"/>
        <v>#DIV/0!</v>
      </c>
      <c r="AO228" s="102">
        <f t="shared" si="179"/>
        <v>2.0344386608812912</v>
      </c>
      <c r="AP228" s="102">
        <f t="shared" si="180"/>
        <v>36.376106637748947</v>
      </c>
      <c r="AQ228" s="101">
        <f t="shared" si="181"/>
        <v>17.880168784244059</v>
      </c>
      <c r="AR228" s="34">
        <f t="shared" si="182"/>
        <v>3.3097516534886093</v>
      </c>
      <c r="AS228" s="103">
        <v>0.3669</v>
      </c>
      <c r="AT228" s="33">
        <f t="shared" si="183"/>
        <v>0.36746140580683712</v>
      </c>
      <c r="AU228" s="33">
        <f t="shared" si="184"/>
        <v>5.6140580683711194E-4</v>
      </c>
      <c r="AV228" s="58"/>
      <c r="AW228" s="33"/>
      <c r="AX228" s="34">
        <f t="shared" si="185"/>
        <v>5.6140580683711194</v>
      </c>
      <c r="AY228" s="34">
        <f t="shared" si="186"/>
        <v>-25.096013642235331</v>
      </c>
      <c r="AZ228" s="103">
        <v>1.0819000000000001</v>
      </c>
      <c r="BA228" s="33">
        <f t="shared" si="187"/>
        <v>1.0836284638803035</v>
      </c>
      <c r="BB228" s="32">
        <f t="shared" si="188"/>
        <v>1.7284638803034547E-3</v>
      </c>
      <c r="BC228" s="58" t="e">
        <f t="shared" si="189"/>
        <v>#DIV/0!</v>
      </c>
      <c r="BD228" s="32" t="e">
        <f t="shared" si="190"/>
        <v>#DIV/0!</v>
      </c>
      <c r="BE228" s="32">
        <f t="shared" si="191"/>
        <v>17.284638803034547</v>
      </c>
    </row>
    <row r="229" spans="1:57" customFormat="1" ht="15">
      <c r="M229" s="156" t="s">
        <v>491</v>
      </c>
      <c r="N229" s="156"/>
      <c r="Q229" s="98"/>
      <c r="R229" s="99"/>
      <c r="S229" s="99"/>
      <c r="T229" s="82">
        <v>106</v>
      </c>
      <c r="U229" s="82" t="s">
        <v>375</v>
      </c>
      <c r="V229" s="83">
        <v>2.7977032500000001</v>
      </c>
      <c r="W229" s="83">
        <v>5.8351803400319806</v>
      </c>
      <c r="X229" s="81">
        <v>2.056187875</v>
      </c>
      <c r="Y229" s="81">
        <v>-25.738668788271422</v>
      </c>
      <c r="Z229" s="154">
        <v>2.5289999999999999</v>
      </c>
      <c r="AA229" s="75">
        <v>2.9111787500000004</v>
      </c>
      <c r="AB229" s="75">
        <v>7.1289713486518078</v>
      </c>
      <c r="AC229" s="75">
        <v>2.0592423593750002</v>
      </c>
      <c r="AD229" s="75">
        <v>-26.716135928040213</v>
      </c>
      <c r="AE229" s="75">
        <v>2.375375</v>
      </c>
      <c r="AF229" s="75">
        <v>2.375375</v>
      </c>
      <c r="AG229" s="32">
        <f t="shared" si="171"/>
        <v>2.3009777396870598E-2</v>
      </c>
      <c r="AH229" s="32">
        <f t="shared" si="172"/>
        <v>0.53073405008612418</v>
      </c>
      <c r="AI229" s="33">
        <f t="shared" si="173"/>
        <v>6.4374529005001416E-2</v>
      </c>
      <c r="AJ229" s="34">
        <f t="shared" si="174"/>
        <v>1.0912889186367312</v>
      </c>
      <c r="AK229" s="100" t="e">
        <f t="shared" si="175"/>
        <v>#DIV/0!</v>
      </c>
      <c r="AL229" s="100" t="e">
        <f t="shared" si="176"/>
        <v>#DIV/0!</v>
      </c>
      <c r="AM229" s="101" t="e">
        <f t="shared" si="177"/>
        <v>#DIV/0!</v>
      </c>
      <c r="AN229" s="101" t="e">
        <f t="shared" si="178"/>
        <v>#DIV/0!</v>
      </c>
      <c r="AO229" s="102">
        <f t="shared" si="179"/>
        <v>2.5454538950178498</v>
      </c>
      <c r="AP229" s="102">
        <f t="shared" si="180"/>
        <v>43.151005086466242</v>
      </c>
      <c r="AQ229" s="101">
        <f t="shared" si="181"/>
        <v>16.952184901452966</v>
      </c>
      <c r="AR229" s="34">
        <f t="shared" si="182"/>
        <v>0.68620899138017322</v>
      </c>
      <c r="AS229" s="103">
        <v>0.3669</v>
      </c>
      <c r="AT229" s="33">
        <f t="shared" si="183"/>
        <v>0.36650405700364364</v>
      </c>
      <c r="AU229" s="33">
        <f t="shared" si="184"/>
        <v>-3.9594299635636876E-4</v>
      </c>
      <c r="AV229" s="58"/>
      <c r="AW229" s="33"/>
      <c r="AX229" s="34">
        <f t="shared" si="185"/>
        <v>-3.9594299635636876</v>
      </c>
      <c r="AY229" s="34">
        <f t="shared" si="186"/>
        <v>-25.05253286023121</v>
      </c>
      <c r="AZ229" s="103">
        <v>1.0819000000000001</v>
      </c>
      <c r="BA229" s="33">
        <f t="shared" si="187"/>
        <v>1.0836762700414992</v>
      </c>
      <c r="BB229" s="32">
        <f t="shared" si="188"/>
        <v>1.7762700414991617E-3</v>
      </c>
      <c r="BC229" s="58" t="e">
        <f t="shared" si="189"/>
        <v>#DIV/0!</v>
      </c>
      <c r="BD229" s="32" t="e">
        <f t="shared" si="190"/>
        <v>#DIV/0!</v>
      </c>
      <c r="BE229" s="32">
        <f t="shared" si="191"/>
        <v>17.762700414991617</v>
      </c>
    </row>
    <row r="230" spans="1:57" customFormat="1" ht="15">
      <c r="M230" s="156" t="s">
        <v>491</v>
      </c>
      <c r="N230" s="156"/>
      <c r="Q230" s="98"/>
      <c r="R230" s="99"/>
      <c r="S230" s="99"/>
      <c r="T230" s="82">
        <v>118</v>
      </c>
      <c r="U230" s="82" t="s">
        <v>387</v>
      </c>
      <c r="V230" s="83">
        <v>1.4949133750000001</v>
      </c>
      <c r="W230" s="83">
        <v>3.9238927795591683</v>
      </c>
      <c r="X230" s="81">
        <v>1.1594733749999999</v>
      </c>
      <c r="Y230" s="81">
        <v>-32.179676125237457</v>
      </c>
      <c r="Z230" s="154">
        <v>1.353</v>
      </c>
      <c r="AA230" s="75">
        <v>2.9111787500000004</v>
      </c>
      <c r="AB230" s="75">
        <v>7.1289713486518078</v>
      </c>
      <c r="AC230" s="75">
        <v>2.0592423593750002</v>
      </c>
      <c r="AD230" s="75">
        <v>-26.716135928040213</v>
      </c>
      <c r="AE230" s="75">
        <v>2.375375</v>
      </c>
      <c r="AF230" s="75">
        <v>2.375375</v>
      </c>
      <c r="AG230" s="32">
        <f t="shared" si="171"/>
        <v>2.3009777396870598E-2</v>
      </c>
      <c r="AH230" s="32">
        <f t="shared" si="172"/>
        <v>0.53073405008612418</v>
      </c>
      <c r="AI230" s="33">
        <f t="shared" si="173"/>
        <v>3.4397623986354542E-2</v>
      </c>
      <c r="AJ230" s="34">
        <f t="shared" si="174"/>
        <v>0.61537200028077743</v>
      </c>
      <c r="AK230" s="100" t="e">
        <f t="shared" si="175"/>
        <v>#DIV/0!</v>
      </c>
      <c r="AL230" s="100" t="e">
        <f t="shared" si="176"/>
        <v>#DIV/0!</v>
      </c>
      <c r="AM230" s="101" t="e">
        <f t="shared" si="177"/>
        <v>#DIV/0!</v>
      </c>
      <c r="AN230" s="101" t="e">
        <f t="shared" si="178"/>
        <v>#DIV/0!</v>
      </c>
      <c r="AO230" s="102">
        <f t="shared" si="179"/>
        <v>2.5423225414896189</v>
      </c>
      <c r="AP230" s="102">
        <f t="shared" si="180"/>
        <v>45.482039932060417</v>
      </c>
      <c r="AQ230" s="101">
        <f t="shared" si="181"/>
        <v>17.889956600633059</v>
      </c>
      <c r="AR230" s="34">
        <f t="shared" si="182"/>
        <v>-1.2250785690926391</v>
      </c>
      <c r="AS230" s="103">
        <v>0.3669</v>
      </c>
      <c r="AT230" s="33">
        <f t="shared" si="183"/>
        <v>0.36580660341322269</v>
      </c>
      <c r="AU230" s="33">
        <f t="shared" si="184"/>
        <v>-1.0933965867773177E-3</v>
      </c>
      <c r="AV230" s="58"/>
      <c r="AW230" s="33"/>
      <c r="AX230" s="34">
        <f t="shared" si="185"/>
        <v>-10.933965867773177</v>
      </c>
      <c r="AY230" s="34">
        <f t="shared" si="186"/>
        <v>-31.493540197197245</v>
      </c>
      <c r="AZ230" s="103">
        <v>1.0819000000000001</v>
      </c>
      <c r="BA230" s="33">
        <f t="shared" si="187"/>
        <v>1.0765940208602216</v>
      </c>
      <c r="BB230" s="32">
        <f t="shared" si="188"/>
        <v>-5.3059791397784828E-3</v>
      </c>
      <c r="BC230" s="58" t="e">
        <f t="shared" si="189"/>
        <v>#DIV/0!</v>
      </c>
      <c r="BD230" s="32" t="e">
        <f t="shared" si="190"/>
        <v>#DIV/0!</v>
      </c>
      <c r="BE230" s="32">
        <f t="shared" si="191"/>
        <v>-53.059791397784828</v>
      </c>
    </row>
    <row r="231" spans="1:57" customFormat="1" ht="15">
      <c r="M231" s="156" t="s">
        <v>491</v>
      </c>
      <c r="N231" s="156"/>
      <c r="Q231" s="106"/>
      <c r="R231" s="107" t="s">
        <v>135</v>
      </c>
      <c r="S231" s="107"/>
      <c r="T231" s="74"/>
      <c r="U231" s="74"/>
      <c r="V231" s="75">
        <f>AVERAGE(V223:V230)</f>
        <v>2.9111787500000004</v>
      </c>
      <c r="W231" s="75">
        <f>AVERAGE(W223:W230)</f>
        <v>7.1289713486518078</v>
      </c>
      <c r="X231" s="75">
        <f>AVERAGE(X223:X230)</f>
        <v>2.0592423593750002</v>
      </c>
      <c r="Y231" s="75">
        <f>AVERAGE(Y223:Y230)</f>
        <v>-26.716135928040213</v>
      </c>
      <c r="Z231" s="75">
        <f>AVERAGE(Z223:Z230)</f>
        <v>2.375375</v>
      </c>
      <c r="AA231" s="75">
        <v>2.9111787500000004</v>
      </c>
      <c r="AB231" s="75">
        <v>7.1289713486518078</v>
      </c>
      <c r="AC231" s="75">
        <v>2.0592423593750002</v>
      </c>
      <c r="AD231" s="75">
        <v>-26.716135928040213</v>
      </c>
      <c r="AE231" s="75">
        <v>2.375375</v>
      </c>
      <c r="AF231" s="75">
        <v>2.375375</v>
      </c>
      <c r="AG231" s="32">
        <f t="shared" si="171"/>
        <v>2.3009777396870598E-2</v>
      </c>
      <c r="AH231" s="32">
        <f t="shared" si="172"/>
        <v>0.53073405008612418</v>
      </c>
      <c r="AI231" s="33">
        <f t="shared" si="173"/>
        <v>6.6985575000000006E-2</v>
      </c>
      <c r="AJ231" s="34">
        <f t="shared" si="174"/>
        <v>1.0929100374999998</v>
      </c>
      <c r="AK231" s="100" t="e">
        <f t="shared" si="175"/>
        <v>#DIV/0!</v>
      </c>
      <c r="AL231" s="100" t="e">
        <f t="shared" si="176"/>
        <v>#DIV/0!</v>
      </c>
      <c r="AM231" s="101" t="e">
        <f t="shared" si="177"/>
        <v>#DIV/0!</v>
      </c>
      <c r="AN231" s="101" t="e">
        <f t="shared" si="178"/>
        <v>#DIV/0!</v>
      </c>
      <c r="AO231" s="102">
        <f t="shared" si="179"/>
        <v>2.8200000000000003</v>
      </c>
      <c r="AP231" s="102">
        <f t="shared" si="180"/>
        <v>46.009999999999991</v>
      </c>
      <c r="AQ231" s="101">
        <f t="shared" si="181"/>
        <v>16.315602836879428</v>
      </c>
      <c r="AR231" s="34">
        <f t="shared" si="182"/>
        <v>1.9800000000000004</v>
      </c>
      <c r="AS231" s="103">
        <v>0.3669</v>
      </c>
      <c r="AT231" s="33">
        <f t="shared" si="183"/>
        <v>0.36697617256093357</v>
      </c>
      <c r="AU231" s="33">
        <f t="shared" si="184"/>
        <v>7.6172560933562838E-5</v>
      </c>
      <c r="AV231" s="58"/>
      <c r="AW231" s="33"/>
      <c r="AX231" s="34">
        <f t="shared" si="185"/>
        <v>0.76172560933562838</v>
      </c>
      <c r="AY231" s="34">
        <f t="shared" si="186"/>
        <v>-26.03</v>
      </c>
      <c r="AZ231" s="103">
        <v>1.0819000000000001</v>
      </c>
      <c r="BA231" s="33">
        <f t="shared" si="187"/>
        <v>1.0826015553143469</v>
      </c>
      <c r="BB231" s="32">
        <f t="shared" si="188"/>
        <v>7.0155531434679119E-4</v>
      </c>
      <c r="BC231" s="58" t="e">
        <f t="shared" si="189"/>
        <v>#DIV/0!</v>
      </c>
      <c r="BD231" s="32" t="e">
        <f t="shared" si="190"/>
        <v>#DIV/0!</v>
      </c>
      <c r="BE231" s="32">
        <f t="shared" si="191"/>
        <v>7.0155531434679119</v>
      </c>
    </row>
    <row r="232" spans="1:57" customFormat="1" ht="15"/>
    <row r="233" spans="1:57" customFormat="1" ht="15"/>
    <row r="234" spans="1:57" customFormat="1" ht="15"/>
    <row r="235" spans="1:57" customFormat="1" ht="15"/>
    <row r="236" spans="1:57" customFormat="1" ht="15">
      <c r="T236" s="77"/>
      <c r="U236" s="78"/>
      <c r="V236" s="77"/>
      <c r="W236" s="79"/>
      <c r="X236" s="77"/>
      <c r="Y236" s="79"/>
    </row>
    <row r="237" spans="1:57" customFormat="1" ht="15">
      <c r="T237" s="80"/>
      <c r="U237" s="80"/>
      <c r="V237" s="81"/>
      <c r="W237" s="81"/>
      <c r="X237" s="81"/>
      <c r="Y237" s="81"/>
      <c r="Z237" s="89"/>
      <c r="AA237" s="85"/>
      <c r="AB237" s="85"/>
      <c r="AC237" s="85"/>
      <c r="AD237" s="85"/>
      <c r="AE237" s="90"/>
      <c r="AF237" s="90"/>
      <c r="AG237" s="32"/>
      <c r="AH237" s="32"/>
      <c r="AI237" s="33"/>
      <c r="AJ237" s="34"/>
      <c r="AK237" s="16"/>
      <c r="AL237" s="16"/>
      <c r="AM237" s="27"/>
      <c r="AN237" s="27"/>
      <c r="AO237" s="29"/>
      <c r="AP237" s="29"/>
      <c r="AQ237" s="27"/>
      <c r="AR237" s="14"/>
      <c r="AS237" s="25"/>
      <c r="AT237" s="22"/>
      <c r="AU237" s="22"/>
      <c r="AV237" s="15"/>
      <c r="AW237" s="22"/>
      <c r="AX237" s="34"/>
      <c r="AY237" s="14"/>
      <c r="AZ237" s="25"/>
      <c r="BA237" s="22"/>
      <c r="BB237" s="38"/>
      <c r="BC237" s="58"/>
      <c r="BD237" s="32"/>
      <c r="BE237" s="38"/>
    </row>
    <row r="238" spans="1:57" customFormat="1" ht="36">
      <c r="A238" s="120" t="s">
        <v>180</v>
      </c>
      <c r="B238" s="120" t="s">
        <v>181</v>
      </c>
      <c r="C238" s="120" t="s">
        <v>182</v>
      </c>
      <c r="D238" s="18" t="s">
        <v>187</v>
      </c>
      <c r="E238" s="120" t="s">
        <v>183</v>
      </c>
      <c r="F238" s="121" t="s">
        <v>184</v>
      </c>
      <c r="G238" s="120" t="s">
        <v>126</v>
      </c>
      <c r="I238" s="63" t="s">
        <v>111</v>
      </c>
      <c r="J238" s="56" t="s">
        <v>121</v>
      </c>
      <c r="K238" s="88" t="s">
        <v>112</v>
      </c>
      <c r="L238" s="18"/>
      <c r="M238" s="18"/>
      <c r="N238" s="18"/>
      <c r="O238" s="18"/>
      <c r="P238" s="18"/>
      <c r="Q238" s="54" t="s">
        <v>56</v>
      </c>
      <c r="R238" s="55" t="s">
        <v>41</v>
      </c>
      <c r="S238" s="55" t="s">
        <v>57</v>
      </c>
      <c r="T238" s="82"/>
      <c r="U238" s="82"/>
      <c r="V238" s="83"/>
      <c r="W238" s="83"/>
      <c r="X238" s="83"/>
      <c r="Y238" s="83"/>
      <c r="Z238" s="89"/>
      <c r="AA238" s="85"/>
      <c r="AB238" s="85"/>
      <c r="AC238" s="85"/>
      <c r="AD238" s="85"/>
      <c r="AE238" s="90"/>
      <c r="AF238" s="90"/>
      <c r="AG238" s="32"/>
      <c r="AH238" s="32"/>
      <c r="AI238" s="33"/>
      <c r="AJ238" s="34"/>
      <c r="AK238" s="16"/>
      <c r="AL238" s="16"/>
      <c r="AM238" s="27"/>
      <c r="AN238" s="27"/>
      <c r="AO238" s="29"/>
      <c r="AP238" s="29"/>
      <c r="AQ238" s="27"/>
      <c r="AR238" s="14"/>
      <c r="AS238" s="25"/>
      <c r="AT238" s="22"/>
      <c r="AU238" s="22"/>
      <c r="AV238" s="15"/>
      <c r="AW238" s="22"/>
      <c r="AX238" s="34"/>
      <c r="AY238" s="14"/>
      <c r="AZ238" s="25"/>
      <c r="BA238" s="22"/>
      <c r="BB238" s="38"/>
      <c r="BC238" s="58"/>
      <c r="BD238" s="32"/>
      <c r="BE238" s="38"/>
    </row>
    <row r="239" spans="1:57" customFormat="1" ht="15">
      <c r="A239" s="68"/>
      <c r="B239" s="68"/>
      <c r="C239" s="68"/>
      <c r="D239" s="18"/>
      <c r="E239" s="68"/>
      <c r="F239" s="35"/>
      <c r="G239" s="35"/>
      <c r="I239" s="36"/>
      <c r="J239" s="37"/>
      <c r="K239" s="65"/>
      <c r="L239" s="76"/>
      <c r="M239" s="76"/>
      <c r="N239" s="76"/>
      <c r="O239" s="76"/>
      <c r="P239" s="76"/>
      <c r="Q239" s="108"/>
      <c r="R239" s="53"/>
      <c r="S239" s="53"/>
      <c r="T239" s="80"/>
      <c r="U239" s="80"/>
      <c r="V239" s="81"/>
      <c r="W239" s="81"/>
      <c r="X239" s="81"/>
      <c r="Y239" s="81"/>
      <c r="Z239" s="89"/>
      <c r="AA239" s="85"/>
      <c r="AB239" s="85"/>
      <c r="AC239" s="85"/>
      <c r="AD239" s="85"/>
      <c r="AE239" s="90"/>
      <c r="AF239" s="90"/>
      <c r="AG239" s="32"/>
      <c r="AH239" s="32"/>
      <c r="AI239" s="33"/>
      <c r="AJ239" s="34"/>
      <c r="AK239" s="122"/>
      <c r="AL239" s="122"/>
      <c r="AM239" s="123"/>
      <c r="AN239" s="123"/>
      <c r="AO239" s="124"/>
      <c r="AP239" s="124"/>
      <c r="AQ239" s="123"/>
      <c r="AR239" s="125"/>
      <c r="AS239" s="126"/>
      <c r="AT239" s="127"/>
      <c r="AU239" s="127"/>
      <c r="AV239" s="128"/>
      <c r="AW239" s="127"/>
      <c r="AX239" s="125"/>
      <c r="AY239" s="125"/>
      <c r="AZ239" s="126"/>
      <c r="BA239" s="127"/>
      <c r="BB239" s="129"/>
      <c r="BC239" s="128"/>
      <c r="BD239" s="129"/>
      <c r="BE239" s="129"/>
    </row>
    <row r="240" spans="1:57" customFormat="1" ht="15">
      <c r="A240" s="68"/>
      <c r="B240" s="68"/>
      <c r="C240" s="68"/>
      <c r="D240" s="18"/>
      <c r="E240" s="68"/>
      <c r="F240" s="35"/>
      <c r="G240" s="35"/>
      <c r="I240" s="36"/>
      <c r="J240" s="37"/>
      <c r="K240" s="65"/>
      <c r="L240" s="18"/>
      <c r="M240" s="18"/>
      <c r="N240" s="18"/>
      <c r="O240" s="18"/>
      <c r="P240" s="18"/>
      <c r="Q240" s="108"/>
      <c r="R240" s="53"/>
      <c r="S240" s="53"/>
      <c r="T240" s="82"/>
      <c r="U240" s="82"/>
      <c r="V240" s="83"/>
      <c r="W240" s="83"/>
      <c r="X240" s="83"/>
      <c r="Y240" s="83"/>
      <c r="Z240" s="89"/>
      <c r="AA240" s="85"/>
      <c r="AB240" s="85"/>
      <c r="AC240" s="85"/>
      <c r="AD240" s="85"/>
      <c r="AE240" s="90"/>
      <c r="AF240" s="90"/>
      <c r="AG240" s="32"/>
      <c r="AH240" s="32"/>
      <c r="AI240" s="33"/>
      <c r="AJ240" s="34"/>
      <c r="AK240" s="122"/>
      <c r="AL240" s="122"/>
      <c r="AM240" s="123"/>
      <c r="AN240" s="123"/>
      <c r="AO240" s="124"/>
      <c r="AP240" s="124"/>
      <c r="AQ240" s="123"/>
      <c r="AR240" s="125"/>
      <c r="AS240" s="126"/>
      <c r="AT240" s="127"/>
      <c r="AU240" s="127"/>
      <c r="AV240" s="128"/>
      <c r="AW240" s="127"/>
      <c r="AX240" s="125"/>
      <c r="AY240" s="125"/>
      <c r="AZ240" s="126"/>
      <c r="BA240" s="127"/>
      <c r="BB240" s="129"/>
      <c r="BC240" s="128"/>
      <c r="BD240" s="129"/>
      <c r="BE240" s="129"/>
    </row>
    <row r="241" spans="1:57" customFormat="1" ht="15">
      <c r="A241" s="68"/>
      <c r="B241" s="68"/>
      <c r="C241" s="68"/>
      <c r="D241" s="18"/>
      <c r="E241" s="68"/>
      <c r="F241" s="35"/>
      <c r="G241" s="35"/>
      <c r="I241" s="36"/>
      <c r="J241" s="37"/>
      <c r="K241" s="65"/>
      <c r="L241" s="18"/>
      <c r="M241" s="18"/>
      <c r="N241" s="18"/>
      <c r="O241" s="18"/>
      <c r="P241" s="18"/>
      <c r="Q241" s="108"/>
      <c r="R241" s="53"/>
      <c r="S241" s="53"/>
      <c r="T241" s="80"/>
      <c r="U241" s="80"/>
      <c r="V241" s="81"/>
      <c r="W241" s="81"/>
      <c r="X241" s="81"/>
      <c r="Y241" s="81"/>
      <c r="Z241" s="89"/>
      <c r="AA241" s="85"/>
      <c r="AB241" s="85"/>
      <c r="AC241" s="85"/>
      <c r="AD241" s="85"/>
      <c r="AE241" s="90"/>
      <c r="AF241" s="90"/>
      <c r="AG241" s="32"/>
      <c r="AH241" s="32"/>
      <c r="AI241" s="33"/>
      <c r="AJ241" s="34"/>
      <c r="AK241" s="122"/>
      <c r="AL241" s="122"/>
      <c r="AM241" s="123"/>
      <c r="AN241" s="123"/>
      <c r="AO241" s="124"/>
      <c r="AP241" s="124"/>
      <c r="AQ241" s="123"/>
      <c r="AR241" s="125"/>
      <c r="AS241" s="126"/>
      <c r="AT241" s="127"/>
      <c r="AU241" s="127"/>
      <c r="AV241" s="128"/>
      <c r="AW241" s="127"/>
      <c r="AX241" s="125"/>
      <c r="AY241" s="125"/>
      <c r="AZ241" s="126"/>
      <c r="BA241" s="127"/>
      <c r="BB241" s="129"/>
      <c r="BC241" s="128"/>
      <c r="BD241" s="129"/>
      <c r="BE241" s="129"/>
    </row>
    <row r="242" spans="1:57" customFormat="1" ht="15">
      <c r="A242" s="68">
        <v>4</v>
      </c>
      <c r="B242" s="68" t="s">
        <v>118</v>
      </c>
      <c r="C242" s="68" t="s">
        <v>127</v>
      </c>
      <c r="D242" s="18" t="s">
        <v>120</v>
      </c>
      <c r="E242" s="68">
        <v>10</v>
      </c>
      <c r="F242" s="35" t="s">
        <v>65</v>
      </c>
      <c r="G242" s="35">
        <v>1</v>
      </c>
      <c r="I242" s="36">
        <v>10</v>
      </c>
      <c r="J242" s="37">
        <v>100</v>
      </c>
      <c r="K242" s="68">
        <v>10</v>
      </c>
      <c r="L242" s="18"/>
      <c r="M242" s="18"/>
      <c r="N242" s="18"/>
      <c r="O242" s="18"/>
      <c r="P242" s="18"/>
      <c r="Q242" s="108">
        <v>10.021599999999999</v>
      </c>
      <c r="R242" s="53">
        <v>3.3548269710279084</v>
      </c>
      <c r="S242" s="53">
        <f t="shared" ref="S242:S249" si="193">Q242-R242</f>
        <v>6.6667730289720915</v>
      </c>
      <c r="T242" s="82">
        <v>12</v>
      </c>
      <c r="U242" s="82" t="s">
        <v>171</v>
      </c>
      <c r="V242" s="83">
        <v>6.7879839999999998</v>
      </c>
      <c r="W242" s="83">
        <v>1747.7049307035113</v>
      </c>
      <c r="X242" s="83">
        <v>5.2131575000000003</v>
      </c>
      <c r="Y242" s="83">
        <v>19.277690114887918</v>
      </c>
      <c r="Z242" s="89"/>
      <c r="AA242" s="85">
        <v>4.1862254999999999</v>
      </c>
      <c r="AB242" s="85">
        <v>3.4295593185188311</v>
      </c>
      <c r="AC242" s="85">
        <v>3.0658042499999998</v>
      </c>
      <c r="AD242" s="85">
        <v>-25.903028806407136</v>
      </c>
      <c r="AE242" s="90">
        <v>1.641</v>
      </c>
      <c r="AF242" s="90">
        <v>1.641</v>
      </c>
      <c r="AG242" s="32">
        <f t="shared" ref="AG242:AG250" si="194">((2.82/100)*AE242)/AA242</f>
        <v>1.1054397332394062E-2</v>
      </c>
      <c r="AH242" s="32">
        <f t="shared" ref="AH242:AH250" si="195">((46.01/100)*AF242)/AC242</f>
        <v>0.24627276839348111</v>
      </c>
      <c r="AI242" s="33">
        <f t="shared" ref="AI242:AI250" si="196">V242*AG242</f>
        <v>7.5037072221933579E-2</v>
      </c>
      <c r="AJ242" s="34">
        <f t="shared" ref="AJ242:AJ250" si="197">X242*AH242</f>
        <v>1.2838587295962391</v>
      </c>
      <c r="AK242" s="122">
        <f t="shared" ref="AK242:AK250" si="198">((AI242/K242)*(100+S242))/(R242)</f>
        <v>0.23858048181254443</v>
      </c>
      <c r="AL242" s="122">
        <f t="shared" ref="AL242:AL250" si="199">((AJ242/K242)*(100+S242))/(R242)</f>
        <v>4.0820307244980496</v>
      </c>
      <c r="AM242" s="123">
        <f t="shared" ref="AM242:AM250" si="200">AK242*1000</f>
        <v>238.58048181254443</v>
      </c>
      <c r="AN242" s="123">
        <f t="shared" ref="AN242:AN250" si="201">AL242*1000</f>
        <v>4082.0307244980495</v>
      </c>
      <c r="AO242" s="124" t="e">
        <f t="shared" ref="AO242:AO250" si="202">AI242*100/Z242</f>
        <v>#DIV/0!</v>
      </c>
      <c r="AP242" s="124" t="e">
        <f t="shared" ref="AP242:AP250" si="203">AJ242*100/Z242</f>
        <v>#DIV/0!</v>
      </c>
      <c r="AQ242" s="123">
        <f t="shared" ref="AQ242:AQ250" si="204">AJ242/AI242</f>
        <v>17.109659153531886</v>
      </c>
      <c r="AR242" s="125">
        <f t="shared" ref="AR242:AR250" si="205">W242+(1.98-AB242)</f>
        <v>1746.2553713849925</v>
      </c>
      <c r="AS242" s="126">
        <v>0.36620000000000003</v>
      </c>
      <c r="AT242" s="127">
        <f t="shared" ref="AT242:AT250" si="206">100*0.003676*(AR242/1000+1)/(1+0.003676*(AR242/1000+1))</f>
        <v>0.99943395414172786</v>
      </c>
      <c r="AU242" s="127">
        <f t="shared" ref="AU242:AU250" si="207">AT242-AS242</f>
        <v>0.63323395414172778</v>
      </c>
      <c r="AV242" s="128"/>
      <c r="AW242" s="127"/>
      <c r="AX242" s="125">
        <f t="shared" ref="AX242:AX250" si="208">(((AI242*(AU242%))/AI242)*1000)*1000</f>
        <v>6332.3395414172774</v>
      </c>
      <c r="AY242" s="125">
        <f t="shared" ref="AY242:AY250" si="209">Y242+(-26.03-AD242)</f>
        <v>19.150718921295052</v>
      </c>
      <c r="AZ242" s="126">
        <v>1.0819000000000001</v>
      </c>
      <c r="BA242" s="127">
        <f t="shared" ref="BA242:BA250" si="210">100*0.011237*(AY242/1000+1)/(1+0.011237*(AY242/1000+1))</f>
        <v>1.1322528802342109</v>
      </c>
      <c r="BB242" s="129">
        <f t="shared" ref="BB242:BB250" si="211">BA242-AZ242</f>
        <v>5.0352880234210806E-2</v>
      </c>
      <c r="BC242" s="128">
        <f t="shared" ref="BC242:BC250" si="212">1.12461*AL242+0.0077</f>
        <v>4.598392573077752</v>
      </c>
      <c r="BD242" s="129">
        <f t="shared" ref="BD242:BD250" si="213">((BB242%)*BC242)*1000</f>
        <v>2.315423105020685</v>
      </c>
      <c r="BE242" s="129">
        <f t="shared" ref="BE242:BE250" si="214">(((AJ242*(BB242%))/AJ242)*1000)*1000</f>
        <v>503.52880234210807</v>
      </c>
    </row>
    <row r="243" spans="1:57" customFormat="1" ht="15">
      <c r="A243" s="68">
        <v>5</v>
      </c>
      <c r="B243" s="68" t="s">
        <v>117</v>
      </c>
      <c r="C243" s="68" t="s">
        <v>127</v>
      </c>
      <c r="D243" s="18" t="s">
        <v>120</v>
      </c>
      <c r="E243" s="68">
        <v>10</v>
      </c>
      <c r="F243" s="35" t="s">
        <v>66</v>
      </c>
      <c r="G243" s="35">
        <v>1</v>
      </c>
      <c r="I243" s="36">
        <v>10</v>
      </c>
      <c r="J243" s="37">
        <v>100</v>
      </c>
      <c r="K243" s="68">
        <v>10</v>
      </c>
      <c r="L243" s="18"/>
      <c r="M243" s="18"/>
      <c r="N243" s="18"/>
      <c r="O243" s="18"/>
      <c r="P243" s="18"/>
      <c r="Q243" s="108">
        <v>10.021599999999999</v>
      </c>
      <c r="R243" s="53">
        <v>3.3548269710279084</v>
      </c>
      <c r="S243" s="53">
        <f t="shared" si="193"/>
        <v>6.6667730289720915</v>
      </c>
      <c r="T243" s="80">
        <v>13</v>
      </c>
      <c r="U243" s="80" t="s">
        <v>172</v>
      </c>
      <c r="V243" s="81">
        <v>6.5000194999999996</v>
      </c>
      <c r="W243" s="81">
        <v>2792.1127876928017</v>
      </c>
      <c r="X243" s="81">
        <v>4.3597745000000003</v>
      </c>
      <c r="Y243" s="81">
        <v>45.909098013748185</v>
      </c>
      <c r="Z243" s="89"/>
      <c r="AA243" s="85">
        <v>4.1862254999999999</v>
      </c>
      <c r="AB243" s="85">
        <v>3.4295593185188311</v>
      </c>
      <c r="AC243" s="85">
        <v>3.0658042499999998</v>
      </c>
      <c r="AD243" s="85">
        <v>-25.903028806407136</v>
      </c>
      <c r="AE243" s="90">
        <v>1.641</v>
      </c>
      <c r="AF243" s="90">
        <v>1.641</v>
      </c>
      <c r="AG243" s="32">
        <f t="shared" si="194"/>
        <v>1.1054397332394062E-2</v>
      </c>
      <c r="AH243" s="32">
        <f t="shared" si="195"/>
        <v>0.24627276839348111</v>
      </c>
      <c r="AI243" s="33">
        <f t="shared" si="196"/>
        <v>7.1853798221309384E-2</v>
      </c>
      <c r="AJ243" s="34">
        <f t="shared" si="197"/>
        <v>1.073693735686305</v>
      </c>
      <c r="AK243" s="122">
        <f t="shared" si="198"/>
        <v>0.22845925743209386</v>
      </c>
      <c r="AL243" s="122">
        <f t="shared" si="199"/>
        <v>3.4138108163590144</v>
      </c>
      <c r="AM243" s="123">
        <f t="shared" si="200"/>
        <v>228.45925743209386</v>
      </c>
      <c r="AN243" s="123">
        <f t="shared" si="201"/>
        <v>3413.8108163590146</v>
      </c>
      <c r="AO243" s="124" t="e">
        <f t="shared" si="202"/>
        <v>#DIV/0!</v>
      </c>
      <c r="AP243" s="124" t="e">
        <f t="shared" si="203"/>
        <v>#DIV/0!</v>
      </c>
      <c r="AQ243" s="123">
        <f t="shared" si="204"/>
        <v>14.942755459903914</v>
      </c>
      <c r="AR243" s="125">
        <f t="shared" si="205"/>
        <v>2790.6632283742829</v>
      </c>
      <c r="AS243" s="126">
        <v>0.36620000000000003</v>
      </c>
      <c r="AT243" s="127">
        <f t="shared" si="206"/>
        <v>1.3742976818987189</v>
      </c>
      <c r="AU243" s="127">
        <f t="shared" si="207"/>
        <v>1.0080976818987188</v>
      </c>
      <c r="AV243" s="128"/>
      <c r="AW243" s="127"/>
      <c r="AX243" s="125">
        <f t="shared" si="208"/>
        <v>10080.976818987188</v>
      </c>
      <c r="AY243" s="125">
        <f t="shared" si="209"/>
        <v>45.78212682015532</v>
      </c>
      <c r="AZ243" s="126">
        <v>1.0819000000000001</v>
      </c>
      <c r="BA243" s="127">
        <f t="shared" si="210"/>
        <v>1.1614961081020976</v>
      </c>
      <c r="BB243" s="129">
        <f t="shared" si="211"/>
        <v>7.9596108102097496E-2</v>
      </c>
      <c r="BC243" s="128">
        <f t="shared" si="212"/>
        <v>3.8469057821855115</v>
      </c>
      <c r="BD243" s="129">
        <f t="shared" si="213"/>
        <v>3.0619872849742191</v>
      </c>
      <c r="BE243" s="129">
        <f t="shared" si="214"/>
        <v>795.96108102097492</v>
      </c>
    </row>
    <row r="244" spans="1:57" customFormat="1" ht="15">
      <c r="A244" s="68">
        <v>6</v>
      </c>
      <c r="B244" s="68" t="s">
        <v>114</v>
      </c>
      <c r="C244" s="68" t="s">
        <v>185</v>
      </c>
      <c r="D244" s="18" t="s">
        <v>120</v>
      </c>
      <c r="E244" s="68">
        <v>10</v>
      </c>
      <c r="F244" s="35" t="s">
        <v>67</v>
      </c>
      <c r="G244" s="35">
        <v>1</v>
      </c>
      <c r="I244" s="36">
        <v>10</v>
      </c>
      <c r="J244" s="37">
        <v>50</v>
      </c>
      <c r="K244" s="68">
        <v>10</v>
      </c>
      <c r="L244" s="18"/>
      <c r="M244" s="18"/>
      <c r="N244" s="18"/>
      <c r="O244" s="18"/>
      <c r="P244" s="18"/>
      <c r="Q244" s="108">
        <v>10.021599999999999</v>
      </c>
      <c r="R244" s="53">
        <v>3.3548269710279084</v>
      </c>
      <c r="S244" s="53">
        <f t="shared" si="193"/>
        <v>6.6667730289720915</v>
      </c>
      <c r="T244" s="82">
        <v>14</v>
      </c>
      <c r="U244" s="82" t="s">
        <v>173</v>
      </c>
      <c r="V244" s="83">
        <v>5.2134875000000003</v>
      </c>
      <c r="W244" s="83">
        <v>2206.135176203104</v>
      </c>
      <c r="X244" s="83">
        <v>4.2198545000000003</v>
      </c>
      <c r="Y244" s="83">
        <v>28.180500586187659</v>
      </c>
      <c r="Z244" s="89"/>
      <c r="AA244" s="85">
        <v>4.1862254999999999</v>
      </c>
      <c r="AB244" s="85">
        <v>3.4295593185188311</v>
      </c>
      <c r="AC244" s="85">
        <v>3.0658042499999998</v>
      </c>
      <c r="AD244" s="85">
        <v>-25.903028806407136</v>
      </c>
      <c r="AE244" s="90">
        <v>1.641</v>
      </c>
      <c r="AF244" s="90">
        <v>1.641</v>
      </c>
      <c r="AG244" s="32">
        <f t="shared" si="194"/>
        <v>1.1054397332394062E-2</v>
      </c>
      <c r="AH244" s="32">
        <f t="shared" si="195"/>
        <v>0.24627276839348111</v>
      </c>
      <c r="AI244" s="33">
        <f t="shared" si="196"/>
        <v>5.7631962312469795E-2</v>
      </c>
      <c r="AJ244" s="34">
        <f t="shared" si="197"/>
        <v>1.0392352499326891</v>
      </c>
      <c r="AK244" s="122">
        <f t="shared" si="198"/>
        <v>0.18324090918211919</v>
      </c>
      <c r="AL244" s="122">
        <f t="shared" si="199"/>
        <v>3.3042500100776455</v>
      </c>
      <c r="AM244" s="123">
        <f t="shared" si="200"/>
        <v>183.2409091821192</v>
      </c>
      <c r="AN244" s="123">
        <f t="shared" si="201"/>
        <v>3304.2500100776456</v>
      </c>
      <c r="AO244" s="124" t="e">
        <f t="shared" si="202"/>
        <v>#DIV/0!</v>
      </c>
      <c r="AP244" s="124" t="e">
        <f t="shared" si="203"/>
        <v>#DIV/0!</v>
      </c>
      <c r="AQ244" s="123">
        <f t="shared" si="204"/>
        <v>18.032272513959331</v>
      </c>
      <c r="AR244" s="125">
        <f t="shared" si="205"/>
        <v>2204.6856168845852</v>
      </c>
      <c r="AS244" s="126">
        <v>0.36620000000000003</v>
      </c>
      <c r="AT244" s="127">
        <f t="shared" si="206"/>
        <v>1.1643261763535182</v>
      </c>
      <c r="AU244" s="127">
        <f t="shared" si="207"/>
        <v>0.79812617635351812</v>
      </c>
      <c r="AV244" s="128"/>
      <c r="AW244" s="127"/>
      <c r="AX244" s="125">
        <f t="shared" si="208"/>
        <v>7981.2617635351808</v>
      </c>
      <c r="AY244" s="125">
        <f t="shared" si="209"/>
        <v>28.053529392594793</v>
      </c>
      <c r="AZ244" s="126">
        <v>1.0819000000000001</v>
      </c>
      <c r="BA244" s="127">
        <f t="shared" si="210"/>
        <v>1.1420307406193491</v>
      </c>
      <c r="BB244" s="129">
        <f t="shared" si="211"/>
        <v>6.0130740619348977E-2</v>
      </c>
      <c r="BC244" s="128">
        <f t="shared" si="212"/>
        <v>3.7236926038334213</v>
      </c>
      <c r="BD244" s="129">
        <f t="shared" si="213"/>
        <v>2.2390839410729568</v>
      </c>
      <c r="BE244" s="129">
        <f t="shared" si="214"/>
        <v>601.30740619348978</v>
      </c>
    </row>
    <row r="245" spans="1:57" customFormat="1" ht="15">
      <c r="A245" s="68">
        <v>7</v>
      </c>
      <c r="B245" s="68" t="s">
        <v>115</v>
      </c>
      <c r="C245" s="68" t="s">
        <v>185</v>
      </c>
      <c r="D245" s="18" t="s">
        <v>120</v>
      </c>
      <c r="E245" s="68">
        <v>10</v>
      </c>
      <c r="F245" s="35" t="s">
        <v>68</v>
      </c>
      <c r="G245" s="35">
        <v>1</v>
      </c>
      <c r="I245" s="36">
        <v>10</v>
      </c>
      <c r="J245" s="37">
        <v>50</v>
      </c>
      <c r="K245" s="68">
        <v>10</v>
      </c>
      <c r="L245" s="18"/>
      <c r="M245" s="18"/>
      <c r="N245" s="18"/>
      <c r="O245" s="18"/>
      <c r="P245" s="18"/>
      <c r="Q245" s="108">
        <v>10.021599999999999</v>
      </c>
      <c r="R245" s="53">
        <v>3.3548269710279084</v>
      </c>
      <c r="S245" s="53">
        <f t="shared" si="193"/>
        <v>6.6667730289720915</v>
      </c>
      <c r="T245" s="80">
        <v>15</v>
      </c>
      <c r="U245" s="80" t="s">
        <v>174</v>
      </c>
      <c r="V245" s="81">
        <v>8.5413920000000001</v>
      </c>
      <c r="W245" s="81">
        <v>1150.5540632053815</v>
      </c>
      <c r="X245" s="81">
        <v>4.5377105000000002</v>
      </c>
      <c r="Y245" s="81">
        <v>3.6481792981616872</v>
      </c>
      <c r="Z245" s="89"/>
      <c r="AA245" s="85">
        <v>4.1862254999999999</v>
      </c>
      <c r="AB245" s="85">
        <v>3.4295593185188311</v>
      </c>
      <c r="AC245" s="85">
        <v>3.0658042499999998</v>
      </c>
      <c r="AD245" s="85">
        <v>-25.903028806407136</v>
      </c>
      <c r="AE245" s="90">
        <v>1.641</v>
      </c>
      <c r="AF245" s="90">
        <v>1.641</v>
      </c>
      <c r="AG245" s="32">
        <f t="shared" si="194"/>
        <v>1.1054397332394062E-2</v>
      </c>
      <c r="AH245" s="32">
        <f t="shared" si="195"/>
        <v>0.24627276839348111</v>
      </c>
      <c r="AI245" s="33">
        <f t="shared" si="196"/>
        <v>9.4419940939731981E-2</v>
      </c>
      <c r="AJ245" s="34">
        <f t="shared" si="197"/>
        <v>1.1175145270031674</v>
      </c>
      <c r="AK245" s="122">
        <f t="shared" si="198"/>
        <v>0.30020834149134895</v>
      </c>
      <c r="AL245" s="122">
        <f t="shared" si="199"/>
        <v>3.55313908698853</v>
      </c>
      <c r="AM245" s="123">
        <f t="shared" si="200"/>
        <v>300.20834149134896</v>
      </c>
      <c r="AN245" s="123">
        <f t="shared" si="201"/>
        <v>3553.1390869885299</v>
      </c>
      <c r="AO245" s="124" t="e">
        <f t="shared" si="202"/>
        <v>#DIV/0!</v>
      </c>
      <c r="AP245" s="124" t="e">
        <f t="shared" si="203"/>
        <v>#DIV/0!</v>
      </c>
      <c r="AQ245" s="123">
        <f t="shared" si="204"/>
        <v>11.835577483748631</v>
      </c>
      <c r="AR245" s="125">
        <f t="shared" si="205"/>
        <v>1149.1045038868626</v>
      </c>
      <c r="AS245" s="126">
        <v>0.36620000000000003</v>
      </c>
      <c r="AT245" s="127">
        <f t="shared" si="206"/>
        <v>0.78381856419674978</v>
      </c>
      <c r="AU245" s="127">
        <f t="shared" si="207"/>
        <v>0.41761856419674975</v>
      </c>
      <c r="AV245" s="128"/>
      <c r="AW245" s="127"/>
      <c r="AX245" s="125">
        <f t="shared" si="208"/>
        <v>4176.1856419674968</v>
      </c>
      <c r="AY245" s="125">
        <f t="shared" si="209"/>
        <v>3.5212081045688217</v>
      </c>
      <c r="AZ245" s="126">
        <v>1.0819000000000001</v>
      </c>
      <c r="BA245" s="127">
        <f t="shared" si="210"/>
        <v>1.1150824783600335</v>
      </c>
      <c r="BB245" s="129">
        <f t="shared" si="211"/>
        <v>3.3182478360033407E-2</v>
      </c>
      <c r="BC245" s="128">
        <f t="shared" si="212"/>
        <v>4.0035957486181708</v>
      </c>
      <c r="BD245" s="129">
        <f t="shared" si="213"/>
        <v>1.328492292908442</v>
      </c>
      <c r="BE245" s="129">
        <f t="shared" si="214"/>
        <v>331.82478360033406</v>
      </c>
    </row>
    <row r="246" spans="1:57" customFormat="1" ht="15">
      <c r="A246" s="68">
        <v>8</v>
      </c>
      <c r="B246" s="68" t="s">
        <v>117</v>
      </c>
      <c r="C246" s="68" t="s">
        <v>185</v>
      </c>
      <c r="D246" s="18" t="s">
        <v>120</v>
      </c>
      <c r="E246" s="68">
        <v>10</v>
      </c>
      <c r="F246" s="35" t="s">
        <v>69</v>
      </c>
      <c r="G246" s="35">
        <v>1</v>
      </c>
      <c r="I246" s="36">
        <v>10</v>
      </c>
      <c r="J246" s="37">
        <v>50</v>
      </c>
      <c r="K246" s="68">
        <v>10</v>
      </c>
      <c r="L246" s="18"/>
      <c r="M246" s="18"/>
      <c r="N246" s="18"/>
      <c r="O246" s="18"/>
      <c r="P246" s="18"/>
      <c r="Q246" s="108">
        <v>10.021599999999999</v>
      </c>
      <c r="R246" s="53">
        <v>3.3548269710279084</v>
      </c>
      <c r="S246" s="53">
        <f t="shared" si="193"/>
        <v>6.6667730289720915</v>
      </c>
      <c r="T246" s="82">
        <v>16</v>
      </c>
      <c r="U246" s="82" t="s">
        <v>175</v>
      </c>
      <c r="V246" s="83">
        <v>5.0375705000000002</v>
      </c>
      <c r="W246" s="83">
        <v>2123.3073424706345</v>
      </c>
      <c r="X246" s="83">
        <v>3.5784025000000002</v>
      </c>
      <c r="Y246" s="83">
        <v>22.571830446224912</v>
      </c>
      <c r="Z246" s="89"/>
      <c r="AA246" s="85">
        <v>4.1862254999999999</v>
      </c>
      <c r="AB246" s="85">
        <v>3.4295593185188311</v>
      </c>
      <c r="AC246" s="85">
        <v>3.0658042499999998</v>
      </c>
      <c r="AD246" s="85">
        <v>-25.903028806407136</v>
      </c>
      <c r="AE246" s="90">
        <v>1.641</v>
      </c>
      <c r="AF246" s="90">
        <v>1.641</v>
      </c>
      <c r="AG246" s="32">
        <f t="shared" si="194"/>
        <v>1.1054397332394062E-2</v>
      </c>
      <c r="AH246" s="32">
        <f t="shared" si="195"/>
        <v>0.24627276839348111</v>
      </c>
      <c r="AI246" s="33">
        <f t="shared" si="196"/>
        <v>5.5687305896947023E-2</v>
      </c>
      <c r="AJ246" s="34">
        <f t="shared" si="197"/>
        <v>0.88126309010115378</v>
      </c>
      <c r="AK246" s="122">
        <f t="shared" si="198"/>
        <v>0.1770578712405127</v>
      </c>
      <c r="AL246" s="122">
        <f t="shared" si="199"/>
        <v>2.8019772948775534</v>
      </c>
      <c r="AM246" s="123">
        <f t="shared" si="200"/>
        <v>177.0578712405127</v>
      </c>
      <c r="AN246" s="123">
        <f t="shared" si="201"/>
        <v>2801.9772948775535</v>
      </c>
      <c r="AO246" s="124" t="e">
        <f t="shared" si="202"/>
        <v>#DIV/0!</v>
      </c>
      <c r="AP246" s="124" t="e">
        <f t="shared" si="203"/>
        <v>#DIV/0!</v>
      </c>
      <c r="AQ246" s="123">
        <f t="shared" si="204"/>
        <v>15.825206048430291</v>
      </c>
      <c r="AR246" s="125">
        <f t="shared" si="205"/>
        <v>2121.8577831521156</v>
      </c>
      <c r="AS246" s="126">
        <v>0.36620000000000003</v>
      </c>
      <c r="AT246" s="127">
        <f t="shared" si="206"/>
        <v>1.1345746005943569</v>
      </c>
      <c r="AU246" s="127">
        <f t="shared" si="207"/>
        <v>0.7683746005943568</v>
      </c>
      <c r="AV246" s="128"/>
      <c r="AW246" s="127"/>
      <c r="AX246" s="125">
        <f t="shared" si="208"/>
        <v>7683.746005943568</v>
      </c>
      <c r="AY246" s="125">
        <f t="shared" si="209"/>
        <v>22.444859252632046</v>
      </c>
      <c r="AZ246" s="126">
        <v>1.0819000000000001</v>
      </c>
      <c r="BA246" s="127">
        <f t="shared" si="210"/>
        <v>1.1358710243354821</v>
      </c>
      <c r="BB246" s="129">
        <f t="shared" si="211"/>
        <v>5.3971024335482065E-2</v>
      </c>
      <c r="BC246" s="128">
        <f t="shared" si="212"/>
        <v>3.1588316855922454</v>
      </c>
      <c r="BD246" s="129">
        <f t="shared" si="213"/>
        <v>1.7048538177479091</v>
      </c>
      <c r="BE246" s="129">
        <f t="shared" si="214"/>
        <v>539.7102433548207</v>
      </c>
    </row>
    <row r="247" spans="1:57" customFormat="1" ht="15">
      <c r="A247" s="68">
        <v>9</v>
      </c>
      <c r="B247" s="68" t="s">
        <v>186</v>
      </c>
      <c r="C247" s="68" t="s">
        <v>185</v>
      </c>
      <c r="D247" s="18" t="s">
        <v>120</v>
      </c>
      <c r="E247" s="68">
        <v>10</v>
      </c>
      <c r="F247" s="35" t="s">
        <v>70</v>
      </c>
      <c r="G247" s="35">
        <v>1</v>
      </c>
      <c r="I247" s="36">
        <v>10</v>
      </c>
      <c r="J247" s="37">
        <v>50</v>
      </c>
      <c r="K247" s="68">
        <v>10</v>
      </c>
      <c r="L247" s="18"/>
      <c r="M247" s="18"/>
      <c r="N247" s="18"/>
      <c r="O247" s="18"/>
      <c r="P247" s="18"/>
      <c r="Q247" s="108">
        <v>10.021599999999999</v>
      </c>
      <c r="R247" s="53">
        <v>3.3548269710279084</v>
      </c>
      <c r="S247" s="53">
        <f t="shared" si="193"/>
        <v>6.6667730289720915</v>
      </c>
      <c r="T247" s="80">
        <v>17</v>
      </c>
      <c r="U247" s="80" t="s">
        <v>176</v>
      </c>
      <c r="V247" s="81">
        <v>6.6671164999999997</v>
      </c>
      <c r="W247" s="81">
        <v>956.48922435869667</v>
      </c>
      <c r="X247" s="81">
        <v>2.4399975</v>
      </c>
      <c r="Y247" s="81">
        <v>8.4670822927882607</v>
      </c>
      <c r="Z247" s="89"/>
      <c r="AA247" s="85">
        <v>4.1862254999999999</v>
      </c>
      <c r="AB247" s="85">
        <v>3.4295593185188311</v>
      </c>
      <c r="AC247" s="85">
        <v>3.0658042499999998</v>
      </c>
      <c r="AD247" s="85">
        <v>-25.903028806407136</v>
      </c>
      <c r="AE247" s="90">
        <v>1.641</v>
      </c>
      <c r="AF247" s="90">
        <v>1.641</v>
      </c>
      <c r="AG247" s="32">
        <f t="shared" si="194"/>
        <v>1.1054397332394062E-2</v>
      </c>
      <c r="AH247" s="32">
        <f t="shared" si="195"/>
        <v>0.24627276839348111</v>
      </c>
      <c r="AI247" s="33">
        <f t="shared" si="196"/>
        <v>7.3700954852360431E-2</v>
      </c>
      <c r="AJ247" s="34">
        <f t="shared" si="197"/>
        <v>0.60090493919817289</v>
      </c>
      <c r="AK247" s="122">
        <f t="shared" si="198"/>
        <v>0.23433229466515609</v>
      </c>
      <c r="AL247" s="122">
        <f t="shared" si="199"/>
        <v>1.910578140541203</v>
      </c>
      <c r="AM247" s="123">
        <f t="shared" si="200"/>
        <v>234.3322946651561</v>
      </c>
      <c r="AN247" s="123">
        <f t="shared" si="201"/>
        <v>1910.5781405412031</v>
      </c>
      <c r="AO247" s="124" t="e">
        <f t="shared" si="202"/>
        <v>#DIV/0!</v>
      </c>
      <c r="AP247" s="124" t="e">
        <f t="shared" si="203"/>
        <v>#DIV/0!</v>
      </c>
      <c r="AQ247" s="123">
        <f t="shared" si="204"/>
        <v>8.1532856718331601</v>
      </c>
      <c r="AR247" s="125">
        <f t="shared" si="205"/>
        <v>955.03966504017785</v>
      </c>
      <c r="AS247" s="126">
        <v>0.36620000000000003</v>
      </c>
      <c r="AT247" s="127">
        <f t="shared" si="206"/>
        <v>0.71354453196524659</v>
      </c>
      <c r="AU247" s="127">
        <f t="shared" si="207"/>
        <v>0.34734453196524656</v>
      </c>
      <c r="AV247" s="128"/>
      <c r="AW247" s="127"/>
      <c r="AX247" s="125">
        <f t="shared" si="208"/>
        <v>3473.4453196524651</v>
      </c>
      <c r="AY247" s="125">
        <f t="shared" si="209"/>
        <v>8.3401110991953953</v>
      </c>
      <c r="AZ247" s="126">
        <v>1.0819000000000001</v>
      </c>
      <c r="BA247" s="127">
        <f t="shared" si="210"/>
        <v>1.1203771059927385</v>
      </c>
      <c r="BB247" s="129">
        <f t="shared" si="211"/>
        <v>3.8477105992738458E-2</v>
      </c>
      <c r="BC247" s="128">
        <f t="shared" si="212"/>
        <v>2.1563552826340424</v>
      </c>
      <c r="BD247" s="129">
        <f t="shared" si="213"/>
        <v>0.82970310767911537</v>
      </c>
      <c r="BE247" s="129">
        <f t="shared" si="214"/>
        <v>384.77105992738461</v>
      </c>
    </row>
    <row r="248" spans="1:57" customFormat="1" ht="15">
      <c r="A248" s="68">
        <v>10</v>
      </c>
      <c r="B248" s="68" t="s">
        <v>119</v>
      </c>
      <c r="C248" s="68" t="s">
        <v>185</v>
      </c>
      <c r="D248" s="18" t="s">
        <v>120</v>
      </c>
      <c r="E248" s="68">
        <v>10</v>
      </c>
      <c r="F248" s="35" t="s">
        <v>71</v>
      </c>
      <c r="G248" s="35">
        <v>1</v>
      </c>
      <c r="I248" s="36">
        <v>10</v>
      </c>
      <c r="J248" s="37">
        <v>50</v>
      </c>
      <c r="K248" s="68">
        <v>10</v>
      </c>
      <c r="L248" s="18"/>
      <c r="M248" s="18"/>
      <c r="N248" s="18"/>
      <c r="O248" s="18"/>
      <c r="P248" s="18"/>
      <c r="Q248" s="108">
        <v>10.021599999999999</v>
      </c>
      <c r="R248" s="53">
        <v>3.3548269710279084</v>
      </c>
      <c r="S248" s="53">
        <f t="shared" si="193"/>
        <v>6.6667730289720915</v>
      </c>
      <c r="T248" s="82">
        <v>18</v>
      </c>
      <c r="U248" s="82" t="s">
        <v>177</v>
      </c>
      <c r="V248" s="83">
        <v>4.0549157500000002</v>
      </c>
      <c r="W248" s="83">
        <v>1161.6077740830658</v>
      </c>
      <c r="X248" s="83">
        <v>2.0042573749999999</v>
      </c>
      <c r="Y248" s="83">
        <v>7.5190686501998982</v>
      </c>
      <c r="Z248" s="89"/>
      <c r="AA248" s="85">
        <v>4.1862254999999999</v>
      </c>
      <c r="AB248" s="85">
        <v>3.4295593185188311</v>
      </c>
      <c r="AC248" s="85">
        <v>3.0658042499999998</v>
      </c>
      <c r="AD248" s="85">
        <v>-25.903028806407136</v>
      </c>
      <c r="AE248" s="90">
        <v>1.641</v>
      </c>
      <c r="AF248" s="90">
        <v>1.641</v>
      </c>
      <c r="AG248" s="32">
        <f t="shared" si="194"/>
        <v>1.1054397332394062E-2</v>
      </c>
      <c r="AH248" s="32">
        <f t="shared" si="195"/>
        <v>0.24627276839348111</v>
      </c>
      <c r="AI248" s="33">
        <f t="shared" si="196"/>
        <v>4.4824649849882672E-2</v>
      </c>
      <c r="AJ248" s="34">
        <f t="shared" si="197"/>
        <v>0.49359401231430139</v>
      </c>
      <c r="AK248" s="122">
        <f t="shared" si="198"/>
        <v>0.14252004031598708</v>
      </c>
      <c r="AL248" s="122">
        <f t="shared" si="199"/>
        <v>1.5693828902257043</v>
      </c>
      <c r="AM248" s="123">
        <f t="shared" si="200"/>
        <v>142.52004031598707</v>
      </c>
      <c r="AN248" s="123">
        <f t="shared" si="201"/>
        <v>1569.3828902257044</v>
      </c>
      <c r="AO248" s="124" t="e">
        <f t="shared" si="202"/>
        <v>#DIV/0!</v>
      </c>
      <c r="AP248" s="124" t="e">
        <f t="shared" si="203"/>
        <v>#DIV/0!</v>
      </c>
      <c r="AQ248" s="123">
        <f t="shared" si="204"/>
        <v>11.011664652537009</v>
      </c>
      <c r="AR248" s="125">
        <f t="shared" si="205"/>
        <v>1160.158214764547</v>
      </c>
      <c r="AS248" s="126">
        <v>0.36620000000000003</v>
      </c>
      <c r="AT248" s="127">
        <f t="shared" si="206"/>
        <v>0.78781829821555571</v>
      </c>
      <c r="AU248" s="127">
        <f t="shared" si="207"/>
        <v>0.42161829821555569</v>
      </c>
      <c r="AV248" s="128"/>
      <c r="AW248" s="127"/>
      <c r="AX248" s="125">
        <f t="shared" si="208"/>
        <v>4216.1829821555566</v>
      </c>
      <c r="AY248" s="125">
        <f t="shared" si="209"/>
        <v>7.3920974566070328</v>
      </c>
      <c r="AZ248" s="126">
        <v>1.0819000000000001</v>
      </c>
      <c r="BA248" s="127">
        <f t="shared" si="210"/>
        <v>1.1193355487443777</v>
      </c>
      <c r="BB248" s="129">
        <f t="shared" si="211"/>
        <v>3.74355487443776E-2</v>
      </c>
      <c r="BC248" s="128">
        <f t="shared" si="212"/>
        <v>1.7726436921767295</v>
      </c>
      <c r="BD248" s="129">
        <f t="shared" si="213"/>
        <v>0.66359889344895429</v>
      </c>
      <c r="BE248" s="129">
        <f t="shared" si="214"/>
        <v>374.35548744377598</v>
      </c>
    </row>
    <row r="249" spans="1:57" customFormat="1" ht="15">
      <c r="A249" s="68">
        <v>11</v>
      </c>
      <c r="B249" s="68" t="s">
        <v>113</v>
      </c>
      <c r="C249" s="68" t="s">
        <v>185</v>
      </c>
      <c r="D249" s="18" t="s">
        <v>120</v>
      </c>
      <c r="E249" s="68">
        <v>10</v>
      </c>
      <c r="F249" s="35" t="s">
        <v>72</v>
      </c>
      <c r="G249" s="35">
        <v>1</v>
      </c>
      <c r="I249" s="36">
        <v>10</v>
      </c>
      <c r="J249" s="37">
        <v>50</v>
      </c>
      <c r="K249" s="68">
        <v>10</v>
      </c>
      <c r="L249" s="18"/>
      <c r="M249" s="18"/>
      <c r="N249" s="18"/>
      <c r="O249" s="18"/>
      <c r="P249" s="18"/>
      <c r="Q249" s="108">
        <v>10.021599999999999</v>
      </c>
      <c r="R249" s="53">
        <v>3.3548269710279084</v>
      </c>
      <c r="S249" s="53">
        <f t="shared" si="193"/>
        <v>6.6667730289720915</v>
      </c>
      <c r="T249" s="80">
        <v>19</v>
      </c>
      <c r="U249" s="80" t="s">
        <v>178</v>
      </c>
      <c r="V249" s="81">
        <v>3.3514997499999999</v>
      </c>
      <c r="W249" s="81">
        <v>679.70170080561138</v>
      </c>
      <c r="X249" s="81">
        <v>1.3827754999999999</v>
      </c>
      <c r="Y249" s="81">
        <v>-3.6270587860806875</v>
      </c>
      <c r="Z249" s="89"/>
      <c r="AA249" s="85">
        <v>4.1862254999999999</v>
      </c>
      <c r="AB249" s="85">
        <v>3.4295593185188311</v>
      </c>
      <c r="AC249" s="85">
        <v>3.0658042499999998</v>
      </c>
      <c r="AD249" s="85">
        <v>-25.903028806407136</v>
      </c>
      <c r="AE249" s="90">
        <v>1.641</v>
      </c>
      <c r="AF249" s="90">
        <v>1.641</v>
      </c>
      <c r="AG249" s="32">
        <f t="shared" si="194"/>
        <v>1.1054397332394062E-2</v>
      </c>
      <c r="AH249" s="32">
        <f t="shared" si="195"/>
        <v>0.24627276839348111</v>
      </c>
      <c r="AI249" s="33">
        <f t="shared" si="196"/>
        <v>3.7048809895919368E-2</v>
      </c>
      <c r="AJ249" s="34">
        <f t="shared" si="197"/>
        <v>0.34053995045168001</v>
      </c>
      <c r="AK249" s="122">
        <f t="shared" si="198"/>
        <v>0.1177967457126626</v>
      </c>
      <c r="AL249" s="122">
        <f t="shared" si="199"/>
        <v>1.0827472747721798</v>
      </c>
      <c r="AM249" s="123">
        <f t="shared" si="200"/>
        <v>117.7967457126626</v>
      </c>
      <c r="AN249" s="123">
        <f t="shared" si="201"/>
        <v>1082.7472747721797</v>
      </c>
      <c r="AO249" s="124" t="e">
        <f t="shared" si="202"/>
        <v>#DIV/0!</v>
      </c>
      <c r="AP249" s="124" t="e">
        <f t="shared" si="203"/>
        <v>#DIV/0!</v>
      </c>
      <c r="AQ249" s="123">
        <f t="shared" si="204"/>
        <v>9.1916569360352867</v>
      </c>
      <c r="AR249" s="125">
        <f t="shared" si="205"/>
        <v>678.25214148709256</v>
      </c>
      <c r="AS249" s="126">
        <v>0.36620000000000003</v>
      </c>
      <c r="AT249" s="127">
        <f t="shared" si="206"/>
        <v>0.61314285267946511</v>
      </c>
      <c r="AU249" s="127">
        <f t="shared" si="207"/>
        <v>0.24694285267946509</v>
      </c>
      <c r="AV249" s="128"/>
      <c r="AW249" s="127"/>
      <c r="AX249" s="125">
        <f t="shared" si="208"/>
        <v>2469.4285267946507</v>
      </c>
      <c r="AY249" s="125">
        <f t="shared" si="209"/>
        <v>-3.754029979673553</v>
      </c>
      <c r="AZ249" s="126">
        <v>1.0819000000000001</v>
      </c>
      <c r="BA249" s="127">
        <f t="shared" si="210"/>
        <v>1.107087950647146</v>
      </c>
      <c r="BB249" s="129">
        <f t="shared" si="211"/>
        <v>2.5187950647145962E-2</v>
      </c>
      <c r="BC249" s="128">
        <f t="shared" si="212"/>
        <v>1.2253684126815412</v>
      </c>
      <c r="BD249" s="129">
        <f t="shared" si="213"/>
        <v>0.30864519103194238</v>
      </c>
      <c r="BE249" s="129">
        <f t="shared" si="214"/>
        <v>251.87950647145962</v>
      </c>
    </row>
    <row r="250" spans="1:57" customFormat="1" ht="15">
      <c r="T250" s="87">
        <v>20</v>
      </c>
      <c r="U250" s="87" t="s">
        <v>179</v>
      </c>
      <c r="V250" s="85">
        <v>4.1862254999999999</v>
      </c>
      <c r="W250" s="85">
        <v>3.4295593185188311</v>
      </c>
      <c r="X250" s="85">
        <v>3.0658042499999998</v>
      </c>
      <c r="Y250" s="85">
        <v>-25.903028806407136</v>
      </c>
      <c r="Z250" s="90">
        <v>1.641</v>
      </c>
      <c r="AA250" s="85">
        <v>4.1862254999999999</v>
      </c>
      <c r="AB250" s="85">
        <v>3.4295593185188311</v>
      </c>
      <c r="AC250" s="85">
        <v>3.0658042499999998</v>
      </c>
      <c r="AD250" s="85">
        <v>-25.903028806407136</v>
      </c>
      <c r="AE250" s="90">
        <v>1.641</v>
      </c>
      <c r="AF250" s="90">
        <v>1.641</v>
      </c>
      <c r="AG250" s="32">
        <f t="shared" si="194"/>
        <v>1.1054397332394062E-2</v>
      </c>
      <c r="AH250" s="32">
        <f t="shared" si="195"/>
        <v>0.24627276839348111</v>
      </c>
      <c r="AI250" s="33">
        <f t="shared" si="196"/>
        <v>4.6276199999999997E-2</v>
      </c>
      <c r="AJ250" s="34">
        <f t="shared" si="197"/>
        <v>0.75502409999999998</v>
      </c>
      <c r="AK250" s="16" t="e">
        <f t="shared" si="198"/>
        <v>#DIV/0!</v>
      </c>
      <c r="AL250" s="16" t="e">
        <f t="shared" si="199"/>
        <v>#DIV/0!</v>
      </c>
      <c r="AM250" s="27" t="e">
        <f t="shared" si="200"/>
        <v>#DIV/0!</v>
      </c>
      <c r="AN250" s="27" t="e">
        <f t="shared" si="201"/>
        <v>#DIV/0!</v>
      </c>
      <c r="AO250" s="29">
        <f t="shared" si="202"/>
        <v>2.8199999999999994</v>
      </c>
      <c r="AP250" s="29">
        <f t="shared" si="203"/>
        <v>46.01</v>
      </c>
      <c r="AQ250" s="27">
        <f t="shared" si="204"/>
        <v>16.315602836879432</v>
      </c>
      <c r="AR250" s="14">
        <f t="shared" si="205"/>
        <v>1.98</v>
      </c>
      <c r="AS250" s="25">
        <v>0.36620000000000003</v>
      </c>
      <c r="AT250" s="22">
        <f t="shared" si="206"/>
        <v>0.36697617256093357</v>
      </c>
      <c r="AU250" s="22">
        <f t="shared" si="207"/>
        <v>7.7617256093354126E-4</v>
      </c>
      <c r="AV250" s="15"/>
      <c r="AW250" s="22"/>
      <c r="AX250" s="34">
        <f t="shared" si="208"/>
        <v>7.7617256093354126</v>
      </c>
      <c r="AY250" s="14">
        <f t="shared" si="209"/>
        <v>-26.03</v>
      </c>
      <c r="AZ250" s="25">
        <v>1.0819000000000001</v>
      </c>
      <c r="BA250" s="22">
        <f t="shared" si="210"/>
        <v>1.0826015553143469</v>
      </c>
      <c r="BB250" s="38">
        <f t="shared" si="211"/>
        <v>7.0155531434679119E-4</v>
      </c>
      <c r="BC250" s="58" t="e">
        <f t="shared" si="212"/>
        <v>#DIV/0!</v>
      </c>
      <c r="BD250" s="32" t="e">
        <f t="shared" si="213"/>
        <v>#DIV/0!</v>
      </c>
      <c r="BE250" s="38">
        <f t="shared" si="214"/>
        <v>7.0155531434679119</v>
      </c>
    </row>
    <row r="251" spans="1:57" customFormat="1" ht="15"/>
    <row r="252" spans="1:57" customFormat="1" ht="15"/>
    <row r="253" spans="1:57" customFormat="1" ht="15"/>
    <row r="254" spans="1:57" customFormat="1" ht="15"/>
    <row r="255" spans="1:57" customFormat="1" ht="15"/>
    <row r="256" spans="1:57" customFormat="1" ht="15"/>
    <row r="257" customFormat="1" ht="15"/>
    <row r="258" customFormat="1" ht="15"/>
    <row r="259" customFormat="1" ht="15"/>
    <row r="260" customFormat="1" ht="15"/>
    <row r="261" customFormat="1" ht="15"/>
    <row r="262" customFormat="1" ht="15"/>
    <row r="263" customFormat="1" ht="15"/>
  </sheetData>
  <sortState xmlns:xlrd2="http://schemas.microsoft.com/office/spreadsheetml/2017/richdata2" ref="F3:BE145">
    <sortCondition ref="G3:G145"/>
  </sortState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4B8F-5345-4F70-BC27-2B9E8E7FE065}">
  <sheetPr>
    <tabColor rgb="FFFF0000"/>
  </sheetPr>
  <dimension ref="A1:BE194"/>
  <sheetViews>
    <sheetView topLeftCell="X1" zoomScaleNormal="100" workbookViewId="0">
      <selection activeCell="BI40" sqref="BI40"/>
    </sheetView>
  </sheetViews>
  <sheetFormatPr defaultColWidth="9.140625" defaultRowHeight="12.75"/>
  <cols>
    <col min="1" max="1" width="9.140625" style="18"/>
    <col min="2" max="2" width="10.7109375" style="18" customWidth="1"/>
    <col min="3" max="3" width="8.85546875" style="18" customWidth="1"/>
    <col min="4" max="4" width="13.42578125" style="18" customWidth="1"/>
    <col min="5" max="5" width="12.85546875" style="18" customWidth="1"/>
    <col min="6" max="6" width="10.140625" style="18" customWidth="1"/>
    <col min="7" max="7" width="10.42578125" style="18" customWidth="1"/>
    <col min="8" max="8" width="12.140625" style="18" customWidth="1"/>
    <col min="9" max="9" width="9.42578125" style="18" customWidth="1"/>
    <col min="10" max="10" width="13.5703125" style="18" customWidth="1"/>
    <col min="11" max="11" width="15.28515625" style="18" customWidth="1"/>
    <col min="12" max="12" width="7.28515625" style="18" customWidth="1"/>
    <col min="13" max="13" width="7.7109375" style="18" customWidth="1"/>
    <col min="14" max="14" width="3.42578125" style="18" customWidth="1"/>
    <col min="15" max="15" width="4.28515625" style="18" customWidth="1"/>
    <col min="16" max="16" width="3.85546875" style="18" customWidth="1"/>
    <col min="17" max="17" width="9.140625" style="31"/>
    <col min="18" max="18" width="9.140625" style="13" customWidth="1"/>
    <col min="19" max="19" width="10.85546875" style="13" customWidth="1"/>
    <col min="20" max="20" width="11.28515625" style="18" customWidth="1"/>
    <col min="21" max="21" width="32.85546875" style="18" customWidth="1"/>
    <col min="22" max="24" width="9.140625" style="18"/>
    <col min="25" max="25" width="9.140625" style="31"/>
    <col min="26" max="35" width="9.140625" style="18"/>
    <col min="36" max="36" width="9.140625" style="26"/>
    <col min="37" max="38" width="9.140625" style="19"/>
    <col min="39" max="40" width="9.140625" style="28"/>
    <col min="41" max="42" width="9.140625" style="30"/>
    <col min="43" max="43" width="9.140625" style="28"/>
    <col min="44" max="44" width="9.42578125" style="26" bestFit="1" customWidth="1"/>
    <col min="45" max="45" width="9.140625" style="21"/>
    <col min="46" max="46" width="8.140625" style="23" customWidth="1"/>
    <col min="47" max="47" width="9.42578125" style="23" bestFit="1" customWidth="1"/>
    <col min="48" max="48" width="10" style="20" customWidth="1"/>
    <col min="49" max="49" width="11.42578125" style="23" customWidth="1"/>
    <col min="50" max="50" width="9.42578125" style="26" bestFit="1" customWidth="1"/>
    <col min="51" max="51" width="9.140625" style="26"/>
    <col min="52" max="52" width="9.140625" style="18"/>
    <col min="53" max="53" width="10.140625" style="18" customWidth="1"/>
    <col min="54" max="56" width="9.140625" style="18"/>
    <col min="57" max="57" width="12.28515625" style="18" customWidth="1"/>
    <col min="58" max="16384" width="9.140625" style="18"/>
  </cols>
  <sheetData>
    <row r="1" spans="1:57" s="17" customFormat="1" ht="45" customHeight="1">
      <c r="A1" s="149" t="s">
        <v>396</v>
      </c>
      <c r="B1" s="150" t="s">
        <v>397</v>
      </c>
      <c r="C1" s="149" t="s">
        <v>398</v>
      </c>
      <c r="D1" s="149" t="s">
        <v>399</v>
      </c>
      <c r="E1" s="149" t="s">
        <v>400</v>
      </c>
      <c r="F1" s="149" t="s">
        <v>401</v>
      </c>
      <c r="G1" s="149" t="s">
        <v>402</v>
      </c>
      <c r="H1" s="149" t="s">
        <v>403</v>
      </c>
      <c r="I1" s="149" t="s">
        <v>404</v>
      </c>
      <c r="J1" s="149" t="s">
        <v>405</v>
      </c>
      <c r="K1" s="151" t="s">
        <v>183</v>
      </c>
      <c r="L1" s="151" t="s">
        <v>406</v>
      </c>
      <c r="M1" s="151" t="s">
        <v>407</v>
      </c>
      <c r="N1" s="76"/>
      <c r="O1" s="76"/>
      <c r="P1" s="76"/>
      <c r="Q1" s="54" t="s">
        <v>56</v>
      </c>
      <c r="R1" s="55" t="s">
        <v>489</v>
      </c>
      <c r="S1" s="55" t="s">
        <v>488</v>
      </c>
      <c r="T1" s="39" t="s">
        <v>50</v>
      </c>
      <c r="U1" s="40" t="s">
        <v>0</v>
      </c>
      <c r="V1" s="41" t="s">
        <v>1</v>
      </c>
      <c r="W1" s="42" t="s">
        <v>2</v>
      </c>
      <c r="X1" s="41" t="s">
        <v>3</v>
      </c>
      <c r="Y1" s="43" t="s">
        <v>4</v>
      </c>
      <c r="Z1" s="41" t="s">
        <v>5</v>
      </c>
      <c r="AA1" s="42" t="s">
        <v>6</v>
      </c>
      <c r="AB1" s="42" t="s">
        <v>7</v>
      </c>
      <c r="AC1" s="42" t="s">
        <v>6</v>
      </c>
      <c r="AD1" s="42" t="s">
        <v>8</v>
      </c>
      <c r="AE1" s="42" t="s">
        <v>9</v>
      </c>
      <c r="AF1" s="42" t="s">
        <v>10</v>
      </c>
      <c r="AG1" s="42" t="s">
        <v>11</v>
      </c>
      <c r="AH1" s="42" t="s">
        <v>12</v>
      </c>
      <c r="AI1" s="41" t="s">
        <v>13</v>
      </c>
      <c r="AJ1" s="44" t="s">
        <v>14</v>
      </c>
      <c r="AK1" s="41" t="s">
        <v>52</v>
      </c>
      <c r="AL1" s="41" t="s">
        <v>53</v>
      </c>
      <c r="AM1" s="45" t="s">
        <v>42</v>
      </c>
      <c r="AN1" s="45" t="s">
        <v>43</v>
      </c>
      <c r="AO1" s="57" t="s">
        <v>107</v>
      </c>
      <c r="AP1" s="57" t="s">
        <v>108</v>
      </c>
      <c r="AQ1" s="46" t="s">
        <v>51</v>
      </c>
      <c r="AR1" s="47" t="s">
        <v>45</v>
      </c>
      <c r="AS1" s="48" t="s">
        <v>46</v>
      </c>
      <c r="AT1" s="49" t="s">
        <v>47</v>
      </c>
      <c r="AU1" s="50" t="s">
        <v>49</v>
      </c>
      <c r="AV1" s="41" t="s">
        <v>44</v>
      </c>
      <c r="AW1" s="61" t="s">
        <v>109</v>
      </c>
      <c r="AX1" s="62" t="s">
        <v>110</v>
      </c>
      <c r="AY1" s="47" t="s">
        <v>48</v>
      </c>
      <c r="AZ1" s="48" t="s">
        <v>58</v>
      </c>
      <c r="BA1" s="51" t="s">
        <v>59</v>
      </c>
      <c r="BB1" s="52" t="s">
        <v>60</v>
      </c>
      <c r="BC1" s="59" t="s">
        <v>61</v>
      </c>
      <c r="BD1" s="60" t="s">
        <v>122</v>
      </c>
      <c r="BE1" s="52" t="s">
        <v>123</v>
      </c>
    </row>
    <row r="2" spans="1:57" s="17" customFormat="1" ht="45" customHeight="1">
      <c r="A2" s="131"/>
      <c r="B2" s="132"/>
      <c r="C2" s="133"/>
      <c r="D2" s="133"/>
      <c r="E2" s="133"/>
      <c r="F2" s="133"/>
      <c r="G2" s="133"/>
      <c r="H2" s="133"/>
      <c r="I2" s="133"/>
      <c r="J2" s="133"/>
      <c r="K2" s="131"/>
      <c r="L2" s="131"/>
      <c r="M2" s="133"/>
      <c r="N2" s="76"/>
      <c r="O2" s="76"/>
      <c r="P2" s="76"/>
      <c r="Q2" s="54"/>
      <c r="R2" s="55"/>
      <c r="S2" s="55"/>
      <c r="T2" s="77" t="s">
        <v>50</v>
      </c>
      <c r="U2" s="78" t="s">
        <v>0</v>
      </c>
      <c r="V2" s="77" t="s">
        <v>124</v>
      </c>
      <c r="W2" s="79" t="s">
        <v>125</v>
      </c>
      <c r="X2" s="77" t="s">
        <v>124</v>
      </c>
      <c r="Y2" s="79" t="s">
        <v>24</v>
      </c>
      <c r="Z2" s="41"/>
      <c r="AA2" s="42"/>
      <c r="AB2" s="42"/>
      <c r="AC2" s="42"/>
      <c r="AD2" s="42"/>
      <c r="AE2" s="42"/>
      <c r="AF2" s="42"/>
      <c r="AG2" s="42"/>
      <c r="AH2" s="42"/>
      <c r="AI2" s="41"/>
      <c r="AJ2" s="44"/>
      <c r="AK2" s="91" t="s">
        <v>136</v>
      </c>
      <c r="AL2" s="91" t="s">
        <v>137</v>
      </c>
      <c r="AM2" s="92" t="s">
        <v>138</v>
      </c>
      <c r="AN2" s="92" t="s">
        <v>138</v>
      </c>
      <c r="AO2" s="92"/>
      <c r="AP2" s="92"/>
      <c r="AQ2" s="93" t="s">
        <v>139</v>
      </c>
      <c r="AR2" s="93" t="s">
        <v>140</v>
      </c>
      <c r="AS2" s="94" t="s">
        <v>141</v>
      </c>
      <c r="AT2" s="95" t="s">
        <v>142</v>
      </c>
      <c r="AU2" s="96" t="s">
        <v>143</v>
      </c>
      <c r="AV2" s="96" t="s">
        <v>144</v>
      </c>
      <c r="AW2" s="96" t="s">
        <v>144</v>
      </c>
      <c r="AX2" s="97" t="s">
        <v>145</v>
      </c>
      <c r="AY2" s="96"/>
      <c r="AZ2" s="97"/>
      <c r="BA2" s="51"/>
      <c r="BB2" s="52"/>
      <c r="BC2" s="59"/>
      <c r="BD2" s="60"/>
      <c r="BE2" s="52"/>
    </row>
    <row r="3" spans="1:57" ht="15.75">
      <c r="A3" s="67">
        <v>1</v>
      </c>
      <c r="B3" s="134">
        <v>1</v>
      </c>
      <c r="C3" s="66" t="s">
        <v>408</v>
      </c>
      <c r="D3" s="66" t="s">
        <v>409</v>
      </c>
      <c r="E3" s="66" t="s">
        <v>410</v>
      </c>
      <c r="F3" s="66" t="s">
        <v>411</v>
      </c>
      <c r="G3" s="66">
        <v>1</v>
      </c>
      <c r="H3" s="66" t="s">
        <v>412</v>
      </c>
      <c r="I3" s="66">
        <v>100</v>
      </c>
      <c r="J3" s="66">
        <v>10.07</v>
      </c>
      <c r="K3" s="66">
        <v>30</v>
      </c>
      <c r="L3" s="66" t="s">
        <v>62</v>
      </c>
      <c r="M3" s="66">
        <v>1</v>
      </c>
      <c r="N3"/>
      <c r="O3"/>
      <c r="P3"/>
      <c r="Q3" s="108">
        <v>10</v>
      </c>
      <c r="R3" s="53">
        <v>8</v>
      </c>
      <c r="S3" s="53">
        <f t="shared" ref="S3:S61" si="0">Q3-R3</f>
        <v>2</v>
      </c>
      <c r="T3" s="80">
        <v>108</v>
      </c>
      <c r="U3" s="80" t="s">
        <v>188</v>
      </c>
      <c r="V3" s="81">
        <v>7.0119815000000001</v>
      </c>
      <c r="W3" s="81">
        <v>-1.8850745075762121</v>
      </c>
      <c r="X3" s="81">
        <v>6.0770435000000003</v>
      </c>
      <c r="Y3" s="81">
        <v>-26.597803654815436</v>
      </c>
      <c r="Z3" s="69" t="s">
        <v>54</v>
      </c>
      <c r="AA3" s="73">
        <v>5.5661983611111108</v>
      </c>
      <c r="AB3" s="73">
        <v>3.0248816727959098</v>
      </c>
      <c r="AC3" s="73">
        <v>3.9982883888888887</v>
      </c>
      <c r="AD3" s="73">
        <v>-25.508901929003891</v>
      </c>
      <c r="AE3" s="73">
        <v>2.2461111111111109</v>
      </c>
      <c r="AF3" s="73">
        <v>2.2461111111111109</v>
      </c>
      <c r="AG3" s="32">
        <f t="shared" ref="AG3:AG61" si="1">((2.82/100)*AE3)/AA3</f>
        <v>1.1379460310984945E-2</v>
      </c>
      <c r="AH3" s="32">
        <f t="shared" ref="AH3:AH61" si="2">((46.01/100)*AF3)/AC3</f>
        <v>0.25846953038557846</v>
      </c>
      <c r="AI3" s="33">
        <f t="shared" ref="AI3:AI61" si="3">V3*AG3</f>
        <v>7.9792565180610689E-2</v>
      </c>
      <c r="AJ3" s="34">
        <f t="shared" ref="AJ3:AJ61" si="4">X3*AH3</f>
        <v>1.5707305795777322</v>
      </c>
      <c r="AK3" s="16">
        <f t="shared" ref="AK3:AK61" si="5">((AI3/K3)*(100+S3))/(R3)</f>
        <v>3.3911840201759545E-2</v>
      </c>
      <c r="AL3" s="16">
        <f>((AJ3/K3)*(100+S3))/(R3)</f>
        <v>0.66756049632053616</v>
      </c>
      <c r="AM3" s="27">
        <f t="shared" ref="AM3:AN17" si="6">AK3*1000</f>
        <v>33.911840201759546</v>
      </c>
      <c r="AN3" s="27">
        <f t="shared" si="6"/>
        <v>667.56049632053612</v>
      </c>
      <c r="AO3" s="29" t="e">
        <f>AI3*100/Z3</f>
        <v>#VALUE!</v>
      </c>
      <c r="AP3" s="29" t="e">
        <f>AJ3*100/Z3</f>
        <v>#VALUE!</v>
      </c>
      <c r="AQ3" s="27">
        <f t="shared" ref="AQ3:AQ61" si="7">AJ3/AI3</f>
        <v>19.685174627766123</v>
      </c>
      <c r="AR3" s="14">
        <f t="shared" ref="AR3:AR61" si="8">W3+(1.98-AB3)</f>
        <v>-2.9299561803721219</v>
      </c>
      <c r="AS3" s="25">
        <v>0.36620000000000003</v>
      </c>
      <c r="AT3" s="22">
        <f t="shared" ref="AT3:AT61" si="9">100*0.003676*(AR3/1000+1)/(1+0.003676*(AR3/1000+1))</f>
        <v>0.36518446324736814</v>
      </c>
      <c r="AU3" s="22">
        <f t="shared" ref="AU3:AU61" si="10">AT3-AS3</f>
        <v>-1.0155367526318848E-3</v>
      </c>
      <c r="AV3" s="15"/>
      <c r="AW3" s="22"/>
      <c r="AX3" s="34">
        <f t="shared" ref="AX3:AX61" si="11">(((AI3*(AU3%))/AI3)*1000)*1000</f>
        <v>-10.155367526318848</v>
      </c>
      <c r="AY3" s="14">
        <f t="shared" ref="AY3:AY61" si="12">Y3+(-26.03-AD3)</f>
        <v>-27.118901725811547</v>
      </c>
      <c r="AZ3" s="25">
        <v>1.0819000000000001</v>
      </c>
      <c r="BA3" s="22">
        <f>100*0.011237*(AY3/1000+1)/(1+0.011237*(AY3/1000+1))</f>
        <v>1.0814042919457443</v>
      </c>
      <c r="BB3" s="38">
        <f>BA3-AZ3</f>
        <v>-4.9570805425580566E-4</v>
      </c>
      <c r="BC3" s="58">
        <f t="shared" ref="BC3" si="13">1.12461*AL3+0.0077</f>
        <v>0.75844520976703833</v>
      </c>
      <c r="BD3" s="32">
        <f>((BB3%)*BC3)*1000</f>
        <v>-3.7596739919325498E-3</v>
      </c>
      <c r="BE3" s="38">
        <f>(((AJ3*(BB3%))/AJ3)*1000)*1000</f>
        <v>-4.9570805425580557</v>
      </c>
    </row>
    <row r="4" spans="1:57" ht="15.75">
      <c r="A4" s="67">
        <v>2</v>
      </c>
      <c r="B4" s="134">
        <v>1</v>
      </c>
      <c r="C4" s="66" t="s">
        <v>413</v>
      </c>
      <c r="D4" s="66" t="s">
        <v>414</v>
      </c>
      <c r="E4" s="66" t="s">
        <v>410</v>
      </c>
      <c r="F4" s="66" t="s">
        <v>411</v>
      </c>
      <c r="G4" s="66">
        <v>1</v>
      </c>
      <c r="H4" s="66" t="s">
        <v>412</v>
      </c>
      <c r="I4" s="66">
        <v>100</v>
      </c>
      <c r="J4" s="66">
        <v>13.13</v>
      </c>
      <c r="K4" s="66">
        <v>30</v>
      </c>
      <c r="L4" s="66" t="s">
        <v>63</v>
      </c>
      <c r="M4" s="66">
        <v>1</v>
      </c>
      <c r="N4"/>
      <c r="O4"/>
      <c r="P4"/>
      <c r="Q4" s="108">
        <v>10</v>
      </c>
      <c r="R4" s="53">
        <v>8</v>
      </c>
      <c r="S4" s="53">
        <f t="shared" si="0"/>
        <v>2</v>
      </c>
      <c r="T4" s="82">
        <v>109</v>
      </c>
      <c r="U4" s="82" t="s">
        <v>189</v>
      </c>
      <c r="V4" s="83">
        <v>2.1110625000000001</v>
      </c>
      <c r="W4" s="83">
        <v>5.6061078449213433</v>
      </c>
      <c r="X4" s="83">
        <v>1.0226019374999999</v>
      </c>
      <c r="Y4" s="83">
        <v>-27.368376919481584</v>
      </c>
      <c r="Z4" s="69" t="s">
        <v>54</v>
      </c>
      <c r="AA4" s="73">
        <v>5.5661983611111108</v>
      </c>
      <c r="AB4" s="73">
        <v>3.0248816727959098</v>
      </c>
      <c r="AC4" s="73">
        <v>3.9982883888888887</v>
      </c>
      <c r="AD4" s="73">
        <v>-25.508901929003891</v>
      </c>
      <c r="AE4" s="73">
        <v>2.2461111111111109</v>
      </c>
      <c r="AF4" s="73">
        <v>2.2461111111111109</v>
      </c>
      <c r="AG4" s="32">
        <f t="shared" si="1"/>
        <v>1.1379460310984945E-2</v>
      </c>
      <c r="AH4" s="32">
        <f t="shared" si="2"/>
        <v>0.25846953038557846</v>
      </c>
      <c r="AI4" s="33">
        <f t="shared" si="3"/>
        <v>2.4022751932758657E-2</v>
      </c>
      <c r="AJ4" s="34">
        <f t="shared" si="4"/>
        <v>0.26431144255700767</v>
      </c>
      <c r="AK4" s="16">
        <f t="shared" si="5"/>
        <v>1.020966957142243E-2</v>
      </c>
      <c r="AL4" s="16">
        <f t="shared" ref="AL4:AL62" si="14">((AJ4/K4)*(100+S4))/(R4)</f>
        <v>0.11233236308672825</v>
      </c>
      <c r="AM4" s="27">
        <f t="shared" si="6"/>
        <v>10.209669571422429</v>
      </c>
      <c r="AN4" s="27">
        <f t="shared" si="6"/>
        <v>112.33236308672825</v>
      </c>
      <c r="AO4" s="29" t="e">
        <f t="shared" ref="AO4:AO62" si="15">AI4*100/Z4</f>
        <v>#VALUE!</v>
      </c>
      <c r="AP4" s="29" t="e">
        <f t="shared" ref="AP4:AP62" si="16">AJ4*100/Z4</f>
        <v>#VALUE!</v>
      </c>
      <c r="AQ4" s="27">
        <f t="shared" si="7"/>
        <v>11.002546390056962</v>
      </c>
      <c r="AR4" s="14">
        <f t="shared" si="8"/>
        <v>4.5612261721254335</v>
      </c>
      <c r="AS4" s="25">
        <v>0.36620000000000003</v>
      </c>
      <c r="AT4" s="22">
        <f t="shared" si="9"/>
        <v>0.36791807100476237</v>
      </c>
      <c r="AU4" s="22">
        <f t="shared" si="10"/>
        <v>1.7180710047623449E-3</v>
      </c>
      <c r="AV4" s="15"/>
      <c r="AW4" s="22"/>
      <c r="AX4" s="34">
        <f t="shared" si="11"/>
        <v>17.18071004762345</v>
      </c>
      <c r="AY4" s="14">
        <f t="shared" si="12"/>
        <v>-27.889474990477694</v>
      </c>
      <c r="AZ4" s="25">
        <v>1.0819000000000001</v>
      </c>
      <c r="BA4" s="22">
        <f t="shared" ref="BA4:BA62" si="17">100*0.011237*(AY4/1000+1)/(1+0.011237*(AY4/1000+1))</f>
        <v>1.0805570178624584</v>
      </c>
      <c r="BB4" s="38">
        <f t="shared" ref="BB4:BB62" si="18">BA4-AZ4</f>
        <v>-1.3429821375416928E-3</v>
      </c>
      <c r="BC4" s="15"/>
      <c r="BD4" s="38"/>
      <c r="BE4" s="38">
        <f t="shared" ref="BE4:BE62" si="19">(((AJ4*(BB4%))/AJ4)*1000)*1000</f>
        <v>-13.429821375416928</v>
      </c>
    </row>
    <row r="5" spans="1:57" ht="15.75">
      <c r="A5" s="67">
        <v>3</v>
      </c>
      <c r="B5" s="134">
        <v>1</v>
      </c>
      <c r="C5" s="66" t="s">
        <v>415</v>
      </c>
      <c r="D5" s="66" t="s">
        <v>416</v>
      </c>
      <c r="E5" s="66" t="s">
        <v>410</v>
      </c>
      <c r="F5" s="66" t="s">
        <v>411</v>
      </c>
      <c r="G5" s="66">
        <v>1</v>
      </c>
      <c r="H5" s="66" t="s">
        <v>412</v>
      </c>
      <c r="I5" s="66">
        <v>100</v>
      </c>
      <c r="J5" s="66">
        <v>11.63</v>
      </c>
      <c r="K5" s="66">
        <v>30</v>
      </c>
      <c r="L5" s="66" t="s">
        <v>64</v>
      </c>
      <c r="M5" s="66">
        <v>1</v>
      </c>
      <c r="N5"/>
      <c r="O5"/>
      <c r="P5"/>
      <c r="Q5" s="108">
        <v>10</v>
      </c>
      <c r="R5" s="53">
        <v>8</v>
      </c>
      <c r="S5" s="53">
        <f t="shared" si="0"/>
        <v>2</v>
      </c>
      <c r="T5" s="80">
        <v>110</v>
      </c>
      <c r="U5" s="80" t="s">
        <v>190</v>
      </c>
      <c r="V5" s="81">
        <v>0.83952281250000005</v>
      </c>
      <c r="W5" s="81">
        <v>9.4507451241286784</v>
      </c>
      <c r="X5" s="81">
        <v>0.57450674999999995</v>
      </c>
      <c r="Y5" s="81">
        <v>-29.632294259474516</v>
      </c>
      <c r="Z5" s="69" t="s">
        <v>54</v>
      </c>
      <c r="AA5" s="73">
        <v>5.5661983611111108</v>
      </c>
      <c r="AB5" s="73">
        <v>3.0248816727959098</v>
      </c>
      <c r="AC5" s="73">
        <v>3.9982883888888887</v>
      </c>
      <c r="AD5" s="73">
        <v>-25.508901929003891</v>
      </c>
      <c r="AE5" s="73">
        <v>2.2461111111111109</v>
      </c>
      <c r="AF5" s="73">
        <v>2.2461111111111109</v>
      </c>
      <c r="AG5" s="32">
        <f t="shared" si="1"/>
        <v>1.1379460310984945E-2</v>
      </c>
      <c r="AH5" s="32">
        <f t="shared" si="2"/>
        <v>0.25846953038557846</v>
      </c>
      <c r="AI5" s="33">
        <f t="shared" si="3"/>
        <v>9.5533165250102064E-3</v>
      </c>
      <c r="AJ5" s="34">
        <f t="shared" si="4"/>
        <v>0.14849248987584493</v>
      </c>
      <c r="AK5" s="16">
        <f t="shared" si="5"/>
        <v>4.0601595231293374E-3</v>
      </c>
      <c r="AL5" s="16">
        <f t="shared" si="14"/>
        <v>6.3109308197234093E-2</v>
      </c>
      <c r="AM5" s="27">
        <f t="shared" si="6"/>
        <v>4.0601595231293377</v>
      </c>
      <c r="AN5" s="27">
        <f t="shared" si="6"/>
        <v>63.109308197234093</v>
      </c>
      <c r="AO5" s="29" t="e">
        <f t="shared" si="15"/>
        <v>#VALUE!</v>
      </c>
      <c r="AP5" s="29" t="e">
        <f t="shared" si="16"/>
        <v>#VALUE!</v>
      </c>
      <c r="AQ5" s="27">
        <f t="shared" si="7"/>
        <v>15.543553852434119</v>
      </c>
      <c r="AR5" s="14">
        <f t="shared" si="8"/>
        <v>8.4058634513327686</v>
      </c>
      <c r="AS5" s="25">
        <v>0.36620000000000003</v>
      </c>
      <c r="AT5" s="22">
        <f t="shared" si="9"/>
        <v>0.36932095955670058</v>
      </c>
      <c r="AU5" s="22">
        <f t="shared" si="10"/>
        <v>3.1209595567005533E-3</v>
      </c>
      <c r="AV5" s="15"/>
      <c r="AW5" s="22"/>
      <c r="AX5" s="34">
        <f t="shared" si="11"/>
        <v>31.209595567005536</v>
      </c>
      <c r="AY5" s="14">
        <f t="shared" si="12"/>
        <v>-30.153392330470627</v>
      </c>
      <c r="AZ5" s="25">
        <v>1.0819000000000001</v>
      </c>
      <c r="BA5" s="22">
        <f t="shared" si="17"/>
        <v>1.07806767223087</v>
      </c>
      <c r="BB5" s="38">
        <f t="shared" si="18"/>
        <v>-3.8323277691301172E-3</v>
      </c>
      <c r="BC5" s="15"/>
      <c r="BD5" s="38"/>
      <c r="BE5" s="38">
        <f t="shared" si="19"/>
        <v>-38.323277691301172</v>
      </c>
    </row>
    <row r="6" spans="1:57" ht="15.75">
      <c r="A6" s="67">
        <v>4</v>
      </c>
      <c r="B6" s="134">
        <v>1</v>
      </c>
      <c r="C6" s="66" t="s">
        <v>417</v>
      </c>
      <c r="D6" s="66" t="s">
        <v>418</v>
      </c>
      <c r="E6" s="66" t="s">
        <v>410</v>
      </c>
      <c r="F6" s="66" t="s">
        <v>411</v>
      </c>
      <c r="G6" s="66">
        <v>1</v>
      </c>
      <c r="H6" s="66" t="s">
        <v>412</v>
      </c>
      <c r="I6" s="66">
        <v>100</v>
      </c>
      <c r="J6" s="66">
        <v>5.33</v>
      </c>
      <c r="K6" s="66">
        <v>30</v>
      </c>
      <c r="L6" s="66" t="s">
        <v>65</v>
      </c>
      <c r="M6" s="66">
        <v>1</v>
      </c>
      <c r="N6"/>
      <c r="O6"/>
      <c r="P6"/>
      <c r="Q6" s="108">
        <v>10</v>
      </c>
      <c r="R6" s="53">
        <v>8</v>
      </c>
      <c r="S6" s="53">
        <f t="shared" si="0"/>
        <v>2</v>
      </c>
      <c r="T6" s="82">
        <v>111</v>
      </c>
      <c r="U6" s="82" t="s">
        <v>191</v>
      </c>
      <c r="V6" s="83">
        <v>6.6161595000000002</v>
      </c>
      <c r="W6" s="83">
        <v>1.7708651047615154</v>
      </c>
      <c r="X6" s="83">
        <v>2.3699857500000001</v>
      </c>
      <c r="Y6" s="83">
        <v>-27.817652876228813</v>
      </c>
      <c r="Z6" s="69" t="s">
        <v>54</v>
      </c>
      <c r="AA6" s="73">
        <v>5.5661983611111108</v>
      </c>
      <c r="AB6" s="73">
        <v>3.0248816727959098</v>
      </c>
      <c r="AC6" s="73">
        <v>3.9982883888888887</v>
      </c>
      <c r="AD6" s="73">
        <v>-25.508901929003891</v>
      </c>
      <c r="AE6" s="73">
        <v>2.2461111111111109</v>
      </c>
      <c r="AF6" s="73">
        <v>2.2461111111111109</v>
      </c>
      <c r="AG6" s="32">
        <f t="shared" si="1"/>
        <v>1.1379460310984945E-2</v>
      </c>
      <c r="AH6" s="32">
        <f t="shared" si="2"/>
        <v>0.25846953038557846</v>
      </c>
      <c r="AI6" s="33">
        <f t="shared" si="3"/>
        <v>7.5288324441396007E-2</v>
      </c>
      <c r="AJ6" s="34">
        <f t="shared" si="4"/>
        <v>0.61256910382301299</v>
      </c>
      <c r="AK6" s="16">
        <f t="shared" si="5"/>
        <v>3.1997537887593304E-2</v>
      </c>
      <c r="AL6" s="16">
        <f t="shared" si="14"/>
        <v>0.26034186912478052</v>
      </c>
      <c r="AM6" s="27">
        <f t="shared" si="6"/>
        <v>31.997537887593303</v>
      </c>
      <c r="AN6" s="27">
        <f t="shared" si="6"/>
        <v>260.34186912478054</v>
      </c>
      <c r="AO6" s="29" t="e">
        <f t="shared" si="15"/>
        <v>#VALUE!</v>
      </c>
      <c r="AP6" s="29" t="e">
        <f t="shared" si="16"/>
        <v>#VALUE!</v>
      </c>
      <c r="AQ6" s="27">
        <f t="shared" si="7"/>
        <v>8.1363094260363464</v>
      </c>
      <c r="AR6" s="14">
        <f t="shared" si="8"/>
        <v>0.72598343196560555</v>
      </c>
      <c r="AS6" s="25">
        <v>0.36620000000000003</v>
      </c>
      <c r="AT6" s="22">
        <f t="shared" si="9"/>
        <v>0.36651857110855185</v>
      </c>
      <c r="AU6" s="22">
        <f t="shared" si="10"/>
        <v>3.1857110855182391E-4</v>
      </c>
      <c r="AV6" s="15"/>
      <c r="AW6" s="22"/>
      <c r="AX6" s="34">
        <f t="shared" si="11"/>
        <v>3.1857110855182396</v>
      </c>
      <c r="AY6" s="14">
        <f t="shared" si="12"/>
        <v>-28.338750947224923</v>
      </c>
      <c r="AZ6" s="25">
        <v>1.0819000000000001</v>
      </c>
      <c r="BA6" s="22">
        <f t="shared" si="17"/>
        <v>1.0800630154705135</v>
      </c>
      <c r="BB6" s="38">
        <f t="shared" si="18"/>
        <v>-1.8369845294865517E-3</v>
      </c>
      <c r="BC6" s="15"/>
      <c r="BD6" s="38"/>
      <c r="BE6" s="38">
        <f t="shared" si="19"/>
        <v>-18.369845294865517</v>
      </c>
    </row>
    <row r="7" spans="1:57" ht="15.75">
      <c r="A7" s="67">
        <v>5</v>
      </c>
      <c r="B7" s="134">
        <v>1</v>
      </c>
      <c r="C7" s="66" t="s">
        <v>419</v>
      </c>
      <c r="D7" s="66" t="s">
        <v>420</v>
      </c>
      <c r="E7" s="66" t="s">
        <v>410</v>
      </c>
      <c r="F7" s="66" t="s">
        <v>411</v>
      </c>
      <c r="G7" s="66">
        <v>1</v>
      </c>
      <c r="H7" s="66" t="s">
        <v>412</v>
      </c>
      <c r="I7" s="66">
        <v>100</v>
      </c>
      <c r="J7" s="66">
        <v>8.89</v>
      </c>
      <c r="K7" s="66">
        <v>30</v>
      </c>
      <c r="L7" s="66" t="s">
        <v>66</v>
      </c>
      <c r="M7" s="66">
        <v>1</v>
      </c>
      <c r="N7"/>
      <c r="O7"/>
      <c r="P7"/>
      <c r="Q7" s="108">
        <v>10</v>
      </c>
      <c r="R7" s="53">
        <v>8</v>
      </c>
      <c r="S7" s="53">
        <f t="shared" si="0"/>
        <v>2</v>
      </c>
      <c r="T7" s="80">
        <v>112</v>
      </c>
      <c r="U7" s="80" t="s">
        <v>192</v>
      </c>
      <c r="V7" s="81">
        <v>4.0043597499999999</v>
      </c>
      <c r="W7" s="81">
        <v>1.8241389295614003</v>
      </c>
      <c r="X7" s="81">
        <v>3.06855725</v>
      </c>
      <c r="Y7" s="81">
        <v>-28.00192881326263</v>
      </c>
      <c r="Z7" s="69" t="s">
        <v>54</v>
      </c>
      <c r="AA7" s="73">
        <v>5.5661983611111108</v>
      </c>
      <c r="AB7" s="73">
        <v>3.0248816727959098</v>
      </c>
      <c r="AC7" s="73">
        <v>3.9982883888888887</v>
      </c>
      <c r="AD7" s="73">
        <v>-25.508901929003891</v>
      </c>
      <c r="AE7" s="73">
        <v>2.2461111111111109</v>
      </c>
      <c r="AF7" s="73">
        <v>2.2461111111111109</v>
      </c>
      <c r="AG7" s="32">
        <f t="shared" si="1"/>
        <v>1.1379460310984945E-2</v>
      </c>
      <c r="AH7" s="32">
        <f t="shared" si="2"/>
        <v>0.25846953038557846</v>
      </c>
      <c r="AI7" s="33">
        <f t="shared" si="3"/>
        <v>4.5567452846030594E-2</v>
      </c>
      <c r="AJ7" s="34">
        <f t="shared" si="4"/>
        <v>0.79312855136876204</v>
      </c>
      <c r="AK7" s="16">
        <f t="shared" si="5"/>
        <v>1.9366167459563002E-2</v>
      </c>
      <c r="AL7" s="16">
        <f t="shared" si="14"/>
        <v>0.33707963433172389</v>
      </c>
      <c r="AM7" s="27">
        <f t="shared" si="6"/>
        <v>19.366167459563002</v>
      </c>
      <c r="AN7" s="27">
        <f t="shared" si="6"/>
        <v>337.07963433172387</v>
      </c>
      <c r="AO7" s="29" t="e">
        <f t="shared" si="15"/>
        <v>#VALUE!</v>
      </c>
      <c r="AP7" s="29" t="e">
        <f t="shared" si="16"/>
        <v>#VALUE!</v>
      </c>
      <c r="AQ7" s="27">
        <f t="shared" si="7"/>
        <v>17.405593287136124</v>
      </c>
      <c r="AR7" s="14">
        <f t="shared" si="8"/>
        <v>0.77925725676549051</v>
      </c>
      <c r="AS7" s="25">
        <v>0.36620000000000003</v>
      </c>
      <c r="AT7" s="22">
        <f t="shared" si="9"/>
        <v>0.3665380112718104</v>
      </c>
      <c r="AU7" s="22">
        <f t="shared" si="10"/>
        <v>3.3801127181037893E-4</v>
      </c>
      <c r="AV7" s="15"/>
      <c r="AW7" s="22"/>
      <c r="AX7" s="34">
        <f t="shared" si="11"/>
        <v>3.3801127181037893</v>
      </c>
      <c r="AY7" s="14">
        <f t="shared" si="12"/>
        <v>-28.523026884258741</v>
      </c>
      <c r="AZ7" s="25">
        <v>1.0819000000000001</v>
      </c>
      <c r="BA7" s="22">
        <f t="shared" si="17"/>
        <v>1.0798603930212383</v>
      </c>
      <c r="BB7" s="38">
        <f t="shared" si="18"/>
        <v>-2.039606978761821E-3</v>
      </c>
      <c r="BC7" s="15"/>
      <c r="BD7" s="38"/>
      <c r="BE7" s="38">
        <f t="shared" si="19"/>
        <v>-20.39606978761821</v>
      </c>
    </row>
    <row r="8" spans="1:57" ht="15.75">
      <c r="A8" s="67">
        <v>6</v>
      </c>
      <c r="B8" s="134">
        <v>1</v>
      </c>
      <c r="C8" s="66" t="s">
        <v>421</v>
      </c>
      <c r="D8" s="66" t="s">
        <v>422</v>
      </c>
      <c r="E8" s="66" t="s">
        <v>410</v>
      </c>
      <c r="F8" s="66" t="s">
        <v>411</v>
      </c>
      <c r="G8" s="66">
        <v>1</v>
      </c>
      <c r="H8" s="66" t="s">
        <v>412</v>
      </c>
      <c r="I8" s="66">
        <v>100</v>
      </c>
      <c r="J8" s="66">
        <v>10.89</v>
      </c>
      <c r="K8" s="66">
        <v>30</v>
      </c>
      <c r="L8" s="66" t="s">
        <v>67</v>
      </c>
      <c r="M8" s="66">
        <v>1</v>
      </c>
      <c r="N8"/>
      <c r="O8"/>
      <c r="P8"/>
      <c r="Q8" s="108">
        <v>10</v>
      </c>
      <c r="R8" s="53">
        <v>8</v>
      </c>
      <c r="S8" s="53">
        <f t="shared" si="0"/>
        <v>2</v>
      </c>
      <c r="T8" s="82">
        <v>113</v>
      </c>
      <c r="U8" s="82" t="s">
        <v>193</v>
      </c>
      <c r="V8" s="83">
        <v>8.1192659999999997</v>
      </c>
      <c r="W8" s="83">
        <v>2.1984388108644697</v>
      </c>
      <c r="X8" s="83">
        <v>6.8126620000000004</v>
      </c>
      <c r="Y8" s="83">
        <v>-27.495327384154173</v>
      </c>
      <c r="Z8" s="69" t="s">
        <v>54</v>
      </c>
      <c r="AA8" s="73">
        <v>5.5661983611111108</v>
      </c>
      <c r="AB8" s="73">
        <v>3.0248816727959098</v>
      </c>
      <c r="AC8" s="73">
        <v>3.9982883888888887</v>
      </c>
      <c r="AD8" s="73">
        <v>-25.508901929003891</v>
      </c>
      <c r="AE8" s="73">
        <v>2.2461111111111109</v>
      </c>
      <c r="AF8" s="73">
        <v>2.2461111111111109</v>
      </c>
      <c r="AG8" s="32">
        <f t="shared" si="1"/>
        <v>1.1379460310984945E-2</v>
      </c>
      <c r="AH8" s="32">
        <f t="shared" si="2"/>
        <v>0.25846953038557846</v>
      </c>
      <c r="AI8" s="33">
        <f t="shared" si="3"/>
        <v>9.2392865201329485E-2</v>
      </c>
      <c r="AJ8" s="34">
        <f t="shared" si="4"/>
        <v>1.7608655478156758</v>
      </c>
      <c r="AK8" s="16">
        <f t="shared" si="5"/>
        <v>3.926696771056503E-2</v>
      </c>
      <c r="AL8" s="16">
        <f t="shared" si="14"/>
        <v>0.74836785782166226</v>
      </c>
      <c r="AM8" s="27">
        <f t="shared" si="6"/>
        <v>39.266967710565034</v>
      </c>
      <c r="AN8" s="27">
        <f t="shared" si="6"/>
        <v>748.36785782166226</v>
      </c>
      <c r="AO8" s="29" t="e">
        <f t="shared" si="15"/>
        <v>#VALUE!</v>
      </c>
      <c r="AP8" s="29" t="e">
        <f t="shared" si="16"/>
        <v>#VALUE!</v>
      </c>
      <c r="AQ8" s="27">
        <f t="shared" si="7"/>
        <v>19.058458074426486</v>
      </c>
      <c r="AR8" s="14">
        <f t="shared" si="8"/>
        <v>1.1535571380685599</v>
      </c>
      <c r="AS8" s="25">
        <v>0.36620000000000003</v>
      </c>
      <c r="AT8" s="22">
        <f t="shared" si="9"/>
        <v>0.36667459691086712</v>
      </c>
      <c r="AU8" s="22">
        <f t="shared" si="10"/>
        <v>4.7459691086709777E-4</v>
      </c>
      <c r="AV8" s="15"/>
      <c r="AW8" s="22"/>
      <c r="AX8" s="34">
        <f t="shared" si="11"/>
        <v>4.7459691086709777</v>
      </c>
      <c r="AY8" s="14">
        <f t="shared" si="12"/>
        <v>-28.016425455150284</v>
      </c>
      <c r="AZ8" s="25">
        <v>1.0819000000000001</v>
      </c>
      <c r="BA8" s="22">
        <f t="shared" si="17"/>
        <v>1.0804174296927125</v>
      </c>
      <c r="BB8" s="38">
        <f t="shared" si="18"/>
        <v>-1.4825703072876006E-3</v>
      </c>
      <c r="BC8" s="15"/>
      <c r="BD8" s="38"/>
      <c r="BE8" s="38">
        <f t="shared" si="19"/>
        <v>-14.825703072876006</v>
      </c>
    </row>
    <row r="9" spans="1:57" ht="15.75">
      <c r="A9" s="67">
        <v>7</v>
      </c>
      <c r="B9" s="134">
        <v>1</v>
      </c>
      <c r="C9" s="66" t="s">
        <v>423</v>
      </c>
      <c r="D9" s="66" t="s">
        <v>424</v>
      </c>
      <c r="E9" s="66" t="s">
        <v>410</v>
      </c>
      <c r="F9" s="66" t="s">
        <v>411</v>
      </c>
      <c r="G9" s="66">
        <v>1</v>
      </c>
      <c r="H9" s="66" t="s">
        <v>412</v>
      </c>
      <c r="I9" s="66">
        <v>100</v>
      </c>
      <c r="J9" s="66">
        <v>7.66</v>
      </c>
      <c r="K9" s="66">
        <v>30</v>
      </c>
      <c r="L9" s="66" t="s">
        <v>68</v>
      </c>
      <c r="M9" s="66">
        <v>1</v>
      </c>
      <c r="N9"/>
      <c r="O9"/>
      <c r="P9"/>
      <c r="Q9" s="108">
        <v>10</v>
      </c>
      <c r="R9" s="53">
        <v>8</v>
      </c>
      <c r="S9" s="53">
        <f t="shared" si="0"/>
        <v>2</v>
      </c>
      <c r="T9" s="80">
        <v>114</v>
      </c>
      <c r="U9" s="80" t="s">
        <v>194</v>
      </c>
      <c r="V9" s="81">
        <v>4.5341690000000003</v>
      </c>
      <c r="W9" s="81">
        <v>8.585659962562513</v>
      </c>
      <c r="X9" s="81">
        <v>3.61554625</v>
      </c>
      <c r="Y9" s="81">
        <v>-28.099042804032475</v>
      </c>
      <c r="Z9" s="69" t="s">
        <v>54</v>
      </c>
      <c r="AA9" s="73">
        <v>5.5661983611111108</v>
      </c>
      <c r="AB9" s="73">
        <v>3.0248816727959098</v>
      </c>
      <c r="AC9" s="73">
        <v>3.9982883888888887</v>
      </c>
      <c r="AD9" s="73">
        <v>-25.508901929003891</v>
      </c>
      <c r="AE9" s="73">
        <v>2.2461111111111109</v>
      </c>
      <c r="AF9" s="73">
        <v>2.2461111111111109</v>
      </c>
      <c r="AG9" s="32">
        <f t="shared" si="1"/>
        <v>1.1379460310984945E-2</v>
      </c>
      <c r="AH9" s="32">
        <f t="shared" si="2"/>
        <v>0.25846953038557846</v>
      </c>
      <c r="AI9" s="33">
        <f t="shared" si="3"/>
        <v>5.1596396178798305E-2</v>
      </c>
      <c r="AJ9" s="34">
        <f t="shared" si="4"/>
        <v>0.93450854132483929</v>
      </c>
      <c r="AK9" s="16">
        <f t="shared" si="5"/>
        <v>2.1928468375989281E-2</v>
      </c>
      <c r="AL9" s="16">
        <f t="shared" si="14"/>
        <v>0.39716613006305668</v>
      </c>
      <c r="AM9" s="27">
        <f t="shared" si="6"/>
        <v>21.928468375989279</v>
      </c>
      <c r="AN9" s="27">
        <f t="shared" si="6"/>
        <v>397.1661300630567</v>
      </c>
      <c r="AO9" s="29" t="e">
        <f t="shared" si="15"/>
        <v>#VALUE!</v>
      </c>
      <c r="AP9" s="29" t="e">
        <f t="shared" si="16"/>
        <v>#VALUE!</v>
      </c>
      <c r="AQ9" s="27">
        <f t="shared" si="7"/>
        <v>18.111895607717699</v>
      </c>
      <c r="AR9" s="14">
        <f t="shared" si="8"/>
        <v>7.5407782897666031</v>
      </c>
      <c r="AS9" s="25">
        <v>0.36620000000000003</v>
      </c>
      <c r="AT9" s="22">
        <f t="shared" si="9"/>
        <v>0.36900529783415781</v>
      </c>
      <c r="AU9" s="22">
        <f t="shared" si="10"/>
        <v>2.8052978341577828E-3</v>
      </c>
      <c r="AV9" s="15"/>
      <c r="AW9" s="22"/>
      <c r="AX9" s="34">
        <f t="shared" si="11"/>
        <v>28.05297834157783</v>
      </c>
      <c r="AY9" s="14">
        <f t="shared" si="12"/>
        <v>-28.620140875028586</v>
      </c>
      <c r="AZ9" s="25">
        <v>1.0819000000000001</v>
      </c>
      <c r="BA9" s="22">
        <f t="shared" si="17"/>
        <v>1.0797536100275746</v>
      </c>
      <c r="BB9" s="38">
        <f t="shared" si="18"/>
        <v>-2.1463899724254443E-3</v>
      </c>
      <c r="BC9" s="15"/>
      <c r="BD9" s="38"/>
      <c r="BE9" s="38">
        <f t="shared" si="19"/>
        <v>-21.463899724254443</v>
      </c>
    </row>
    <row r="10" spans="1:57" ht="15.75">
      <c r="A10" s="67">
        <v>8</v>
      </c>
      <c r="B10" s="134">
        <v>1</v>
      </c>
      <c r="C10" s="66" t="s">
        <v>425</v>
      </c>
      <c r="D10" s="66" t="s">
        <v>426</v>
      </c>
      <c r="E10" s="66" t="s">
        <v>410</v>
      </c>
      <c r="F10" s="66" t="s">
        <v>411</v>
      </c>
      <c r="G10" s="66">
        <v>1</v>
      </c>
      <c r="H10" s="66" t="s">
        <v>412</v>
      </c>
      <c r="I10" s="66">
        <v>100</v>
      </c>
      <c r="J10" s="66">
        <v>13.98</v>
      </c>
      <c r="K10" s="66">
        <v>30</v>
      </c>
      <c r="L10" s="66" t="s">
        <v>69</v>
      </c>
      <c r="M10" s="66">
        <v>1</v>
      </c>
      <c r="N10"/>
      <c r="O10"/>
      <c r="P10"/>
      <c r="Q10" s="108">
        <v>10</v>
      </c>
      <c r="R10" s="53">
        <v>8</v>
      </c>
      <c r="S10" s="53">
        <f t="shared" si="0"/>
        <v>2</v>
      </c>
      <c r="T10" s="82">
        <v>115</v>
      </c>
      <c r="U10" s="82" t="s">
        <v>195</v>
      </c>
      <c r="V10" s="83">
        <v>0.44312962500000003</v>
      </c>
      <c r="W10" s="83">
        <v>17.513499445103992</v>
      </c>
      <c r="X10" s="83">
        <v>0.26993946875000002</v>
      </c>
      <c r="Y10" s="83">
        <v>-40.396883395377493</v>
      </c>
      <c r="Z10" s="69" t="s">
        <v>54</v>
      </c>
      <c r="AA10" s="73">
        <v>5.5661983611111108</v>
      </c>
      <c r="AB10" s="73">
        <v>3.0248816727959098</v>
      </c>
      <c r="AC10" s="73">
        <v>3.9982883888888887</v>
      </c>
      <c r="AD10" s="73">
        <v>-25.508901929003891</v>
      </c>
      <c r="AE10" s="73">
        <v>2.2461111111111109</v>
      </c>
      <c r="AF10" s="73">
        <v>2.2461111111111109</v>
      </c>
      <c r="AG10" s="32">
        <f t="shared" si="1"/>
        <v>1.1379460310984945E-2</v>
      </c>
      <c r="AH10" s="32">
        <f t="shared" si="2"/>
        <v>0.25846953038557846</v>
      </c>
      <c r="AI10" s="33">
        <f t="shared" si="3"/>
        <v>5.0425759803091426E-3</v>
      </c>
      <c r="AJ10" s="34">
        <f t="shared" si="4"/>
        <v>6.9771127720345036E-2</v>
      </c>
      <c r="AK10" s="16">
        <f t="shared" si="5"/>
        <v>2.1430947916313858E-3</v>
      </c>
      <c r="AL10" s="16">
        <f t="shared" si="14"/>
        <v>2.9652729281146643E-2</v>
      </c>
      <c r="AM10" s="27">
        <f t="shared" si="6"/>
        <v>2.1430947916313858</v>
      </c>
      <c r="AN10" s="27">
        <f t="shared" si="6"/>
        <v>29.652729281146645</v>
      </c>
      <c r="AO10" s="29" t="e">
        <f t="shared" si="15"/>
        <v>#VALUE!</v>
      </c>
      <c r="AP10" s="29" t="e">
        <f t="shared" si="16"/>
        <v>#VALUE!</v>
      </c>
      <c r="AQ10" s="27">
        <f t="shared" si="7"/>
        <v>13.836405835587948</v>
      </c>
      <c r="AR10" s="14">
        <f t="shared" si="8"/>
        <v>16.468617772308082</v>
      </c>
      <c r="AS10" s="25">
        <v>0.36620000000000003</v>
      </c>
      <c r="AT10" s="22">
        <f t="shared" si="9"/>
        <v>0.37226288922367612</v>
      </c>
      <c r="AU10" s="22">
        <f t="shared" si="10"/>
        <v>6.0628892236760934E-3</v>
      </c>
      <c r="AV10" s="15"/>
      <c r="AW10" s="22"/>
      <c r="AX10" s="34">
        <f t="shared" si="11"/>
        <v>60.628892236760933</v>
      </c>
      <c r="AY10" s="14">
        <f t="shared" si="12"/>
        <v>-40.917981466373604</v>
      </c>
      <c r="AZ10" s="25">
        <v>1.0819000000000001</v>
      </c>
      <c r="BA10" s="22">
        <f t="shared" si="17"/>
        <v>1.0662294908081813</v>
      </c>
      <c r="BB10" s="38">
        <f t="shared" si="18"/>
        <v>-1.5670509191818782E-2</v>
      </c>
      <c r="BC10" s="15"/>
      <c r="BD10" s="38"/>
      <c r="BE10" s="38">
        <f t="shared" si="19"/>
        <v>-156.70509191818783</v>
      </c>
    </row>
    <row r="11" spans="1:57" ht="15.75">
      <c r="A11" s="67">
        <v>9</v>
      </c>
      <c r="B11" s="134">
        <v>2</v>
      </c>
      <c r="C11" s="66" t="s">
        <v>408</v>
      </c>
      <c r="D11" s="66" t="s">
        <v>426</v>
      </c>
      <c r="E11" s="66" t="s">
        <v>410</v>
      </c>
      <c r="F11" s="66" t="s">
        <v>411</v>
      </c>
      <c r="G11" s="66">
        <v>2</v>
      </c>
      <c r="H11" s="66" t="s">
        <v>427</v>
      </c>
      <c r="I11" s="66">
        <v>100</v>
      </c>
      <c r="J11" s="66">
        <v>9.4</v>
      </c>
      <c r="K11" s="66">
        <v>30</v>
      </c>
      <c r="L11" s="66" t="s">
        <v>70</v>
      </c>
      <c r="M11" s="66">
        <v>1</v>
      </c>
      <c r="N11"/>
      <c r="O11"/>
      <c r="P11"/>
      <c r="Q11" s="108">
        <v>10</v>
      </c>
      <c r="R11" s="53">
        <v>8</v>
      </c>
      <c r="S11" s="53">
        <f t="shared" si="0"/>
        <v>2</v>
      </c>
      <c r="T11" s="80">
        <v>116</v>
      </c>
      <c r="U11" s="80" t="s">
        <v>196</v>
      </c>
      <c r="V11" s="81">
        <v>8.551266</v>
      </c>
      <c r="W11" s="81">
        <v>1500.8046578897192</v>
      </c>
      <c r="X11" s="81">
        <v>4.3230719999999998</v>
      </c>
      <c r="Y11" s="81">
        <v>4.4493282834368184</v>
      </c>
      <c r="Z11" s="69" t="s">
        <v>54</v>
      </c>
      <c r="AA11" s="73">
        <v>5.5661983611111108</v>
      </c>
      <c r="AB11" s="73">
        <v>3.0248816727959098</v>
      </c>
      <c r="AC11" s="73">
        <v>3.9982883888888887</v>
      </c>
      <c r="AD11" s="73">
        <v>-25.508901929003891</v>
      </c>
      <c r="AE11" s="73">
        <v>2.2461111111111109</v>
      </c>
      <c r="AF11" s="73">
        <v>2.2461111111111109</v>
      </c>
      <c r="AG11" s="32">
        <f t="shared" si="1"/>
        <v>1.1379460310984945E-2</v>
      </c>
      <c r="AH11" s="32">
        <f t="shared" si="2"/>
        <v>0.25846953038557846</v>
      </c>
      <c r="AI11" s="33">
        <f t="shared" si="3"/>
        <v>9.7308792055674984E-2</v>
      </c>
      <c r="AJ11" s="34">
        <f t="shared" si="4"/>
        <v>1.1173823896630435</v>
      </c>
      <c r="AK11" s="16">
        <f t="shared" si="5"/>
        <v>4.135623662366187E-2</v>
      </c>
      <c r="AL11" s="16">
        <f t="shared" si="14"/>
        <v>0.47488751560679349</v>
      </c>
      <c r="AM11" s="27">
        <f t="shared" si="6"/>
        <v>41.356236623661871</v>
      </c>
      <c r="AN11" s="27">
        <f t="shared" si="6"/>
        <v>474.8875156067935</v>
      </c>
      <c r="AO11" s="29" t="e">
        <f t="shared" si="15"/>
        <v>#VALUE!</v>
      </c>
      <c r="AP11" s="29" t="e">
        <f t="shared" si="16"/>
        <v>#VALUE!</v>
      </c>
      <c r="AQ11" s="27">
        <f t="shared" si="7"/>
        <v>11.482851303135444</v>
      </c>
      <c r="AR11" s="14">
        <f t="shared" si="8"/>
        <v>1499.7597762169232</v>
      </c>
      <c r="AS11" s="25">
        <v>0.36620000000000003</v>
      </c>
      <c r="AT11" s="22">
        <f t="shared" si="9"/>
        <v>0.91054459299561119</v>
      </c>
      <c r="AU11" s="22">
        <f t="shared" si="10"/>
        <v>0.54434459299561122</v>
      </c>
      <c r="AV11" s="15"/>
      <c r="AW11" s="22"/>
      <c r="AX11" s="34">
        <f t="shared" si="11"/>
        <v>5443.4459299561122</v>
      </c>
      <c r="AY11" s="14">
        <f t="shared" si="12"/>
        <v>3.9282302124407078</v>
      </c>
      <c r="AZ11" s="25">
        <v>1.0819000000000001</v>
      </c>
      <c r="BA11" s="22">
        <f t="shared" si="17"/>
        <v>1.115529703827842</v>
      </c>
      <c r="BB11" s="38">
        <f t="shared" si="18"/>
        <v>3.3629703827841917E-2</v>
      </c>
      <c r="BC11" s="15"/>
      <c r="BD11" s="38"/>
      <c r="BE11" s="38">
        <f t="shared" si="19"/>
        <v>336.29703827841917</v>
      </c>
    </row>
    <row r="12" spans="1:57" ht="15.75">
      <c r="A12" s="67">
        <v>10</v>
      </c>
      <c r="B12" s="134">
        <v>2</v>
      </c>
      <c r="C12" s="66" t="s">
        <v>413</v>
      </c>
      <c r="D12" s="66" t="s">
        <v>418</v>
      </c>
      <c r="E12" s="66" t="s">
        <v>410</v>
      </c>
      <c r="F12" s="66" t="s">
        <v>411</v>
      </c>
      <c r="G12" s="66">
        <v>2</v>
      </c>
      <c r="H12" s="66" t="s">
        <v>427</v>
      </c>
      <c r="I12" s="66">
        <v>100</v>
      </c>
      <c r="J12" s="66">
        <v>3.2</v>
      </c>
      <c r="K12" s="66">
        <v>30</v>
      </c>
      <c r="L12" s="66" t="s">
        <v>71</v>
      </c>
      <c r="M12" s="66">
        <v>1</v>
      </c>
      <c r="N12"/>
      <c r="O12"/>
      <c r="P12"/>
      <c r="Q12" s="108">
        <v>10</v>
      </c>
      <c r="R12" s="53">
        <v>8</v>
      </c>
      <c r="S12" s="53">
        <f t="shared" si="0"/>
        <v>2</v>
      </c>
      <c r="T12" s="82">
        <v>117</v>
      </c>
      <c r="U12" s="82" t="s">
        <v>197</v>
      </c>
      <c r="V12" s="83">
        <v>2.77913575</v>
      </c>
      <c r="W12" s="83">
        <v>1336.0967960726825</v>
      </c>
      <c r="X12" s="83">
        <v>1.7598235</v>
      </c>
      <c r="Y12" s="83">
        <v>10.689453081557824</v>
      </c>
      <c r="Z12" s="69" t="s">
        <v>54</v>
      </c>
      <c r="AA12" s="73">
        <v>5.5661983611111108</v>
      </c>
      <c r="AB12" s="73">
        <v>3.0248816727959098</v>
      </c>
      <c r="AC12" s="73">
        <v>3.9982883888888887</v>
      </c>
      <c r="AD12" s="73">
        <v>-25.508901929003891</v>
      </c>
      <c r="AE12" s="73">
        <v>2.2461111111111109</v>
      </c>
      <c r="AF12" s="73">
        <v>2.2461111111111109</v>
      </c>
      <c r="AG12" s="32">
        <f t="shared" si="1"/>
        <v>1.1379460310984945E-2</v>
      </c>
      <c r="AH12" s="32">
        <f t="shared" si="2"/>
        <v>0.25846953038557846</v>
      </c>
      <c r="AI12" s="33">
        <f t="shared" si="3"/>
        <v>3.1625064965964379E-2</v>
      </c>
      <c r="AJ12" s="34">
        <f t="shared" si="4"/>
        <v>0.45486075360650502</v>
      </c>
      <c r="AK12" s="16">
        <f t="shared" si="5"/>
        <v>1.344065261053486E-2</v>
      </c>
      <c r="AL12" s="16">
        <f t="shared" si="14"/>
        <v>0.19331582028276464</v>
      </c>
      <c r="AM12" s="27">
        <f t="shared" si="6"/>
        <v>13.44065261053486</v>
      </c>
      <c r="AN12" s="27">
        <f t="shared" si="6"/>
        <v>193.31582028276463</v>
      </c>
      <c r="AO12" s="29" t="e">
        <f t="shared" si="15"/>
        <v>#VALUE!</v>
      </c>
      <c r="AP12" s="29" t="e">
        <f t="shared" si="16"/>
        <v>#VALUE!</v>
      </c>
      <c r="AQ12" s="27">
        <f t="shared" si="7"/>
        <v>14.382919184388605</v>
      </c>
      <c r="AR12" s="14">
        <f t="shared" si="8"/>
        <v>1335.0519143998865</v>
      </c>
      <c r="AS12" s="25">
        <v>0.36620000000000003</v>
      </c>
      <c r="AT12" s="22">
        <f t="shared" si="9"/>
        <v>0.85105988285728884</v>
      </c>
      <c r="AU12" s="22">
        <f t="shared" si="10"/>
        <v>0.48485988285728882</v>
      </c>
      <c r="AV12" s="15"/>
      <c r="AW12" s="22"/>
      <c r="AX12" s="34">
        <f t="shared" si="11"/>
        <v>4848.5988285728881</v>
      </c>
      <c r="AY12" s="14">
        <f t="shared" si="12"/>
        <v>10.168355010561713</v>
      </c>
      <c r="AZ12" s="25">
        <v>1.0819000000000001</v>
      </c>
      <c r="BA12" s="22">
        <f t="shared" si="17"/>
        <v>1.1223856867486157</v>
      </c>
      <c r="BB12" s="38">
        <f t="shared" si="18"/>
        <v>4.0485686748615635E-2</v>
      </c>
      <c r="BC12" s="15"/>
      <c r="BD12" s="38"/>
      <c r="BE12" s="38">
        <f t="shared" si="19"/>
        <v>404.85686748615637</v>
      </c>
    </row>
    <row r="13" spans="1:57" ht="15.75">
      <c r="A13" s="67">
        <v>11</v>
      </c>
      <c r="B13" s="134">
        <v>2</v>
      </c>
      <c r="C13" s="66" t="s">
        <v>415</v>
      </c>
      <c r="D13" s="66" t="s">
        <v>416</v>
      </c>
      <c r="E13" s="66" t="s">
        <v>410</v>
      </c>
      <c r="F13" s="66" t="s">
        <v>411</v>
      </c>
      <c r="G13" s="66">
        <v>2</v>
      </c>
      <c r="H13" s="66" t="s">
        <v>427</v>
      </c>
      <c r="I13" s="66">
        <v>100</v>
      </c>
      <c r="J13" s="66">
        <v>7.69</v>
      </c>
      <c r="K13" s="66">
        <v>30</v>
      </c>
      <c r="L13" s="66" t="s">
        <v>72</v>
      </c>
      <c r="M13" s="66">
        <v>1</v>
      </c>
      <c r="N13"/>
      <c r="O13"/>
      <c r="P13"/>
      <c r="Q13" s="108">
        <v>10</v>
      </c>
      <c r="R13" s="53">
        <v>8</v>
      </c>
      <c r="S13" s="53">
        <f t="shared" si="0"/>
        <v>2</v>
      </c>
      <c r="T13" s="80">
        <v>118</v>
      </c>
      <c r="U13" s="80" t="s">
        <v>198</v>
      </c>
      <c r="V13" s="81">
        <v>9.6817390000000003</v>
      </c>
      <c r="W13" s="81">
        <v>904.00242294424481</v>
      </c>
      <c r="X13" s="81">
        <v>4.4663744999999997</v>
      </c>
      <c r="Y13" s="81">
        <v>-16.872632699834167</v>
      </c>
      <c r="Z13" s="69" t="s">
        <v>54</v>
      </c>
      <c r="AA13" s="73">
        <v>5.5661983611111108</v>
      </c>
      <c r="AB13" s="73">
        <v>3.0248816727959098</v>
      </c>
      <c r="AC13" s="73">
        <v>3.9982883888888887</v>
      </c>
      <c r="AD13" s="73">
        <v>-25.508901929003891</v>
      </c>
      <c r="AE13" s="73">
        <v>2.2461111111111109</v>
      </c>
      <c r="AF13" s="73">
        <v>2.2461111111111109</v>
      </c>
      <c r="AG13" s="32">
        <f t="shared" si="1"/>
        <v>1.1379460310984945E-2</v>
      </c>
      <c r="AH13" s="32">
        <f t="shared" si="2"/>
        <v>0.25846953038557846</v>
      </c>
      <c r="AI13" s="33">
        <f t="shared" si="3"/>
        <v>0.11017296469181508</v>
      </c>
      <c r="AJ13" s="34">
        <f t="shared" si="4"/>
        <v>1.1544217195411228</v>
      </c>
      <c r="AK13" s="16">
        <f t="shared" si="5"/>
        <v>4.6823509994021406E-2</v>
      </c>
      <c r="AL13" s="16">
        <f t="shared" si="14"/>
        <v>0.49062923080497722</v>
      </c>
      <c r="AM13" s="27">
        <f t="shared" si="6"/>
        <v>46.823509994021407</v>
      </c>
      <c r="AN13" s="27">
        <f t="shared" si="6"/>
        <v>490.62923080497723</v>
      </c>
      <c r="AO13" s="29" t="e">
        <f t="shared" si="15"/>
        <v>#VALUE!</v>
      </c>
      <c r="AP13" s="29" t="e">
        <f t="shared" si="16"/>
        <v>#VALUE!</v>
      </c>
      <c r="AQ13" s="27">
        <f t="shared" si="7"/>
        <v>10.478266812283456</v>
      </c>
      <c r="AR13" s="14">
        <f t="shared" si="8"/>
        <v>902.95754127144892</v>
      </c>
      <c r="AS13" s="25">
        <v>0.36620000000000003</v>
      </c>
      <c r="AT13" s="22">
        <f t="shared" si="9"/>
        <v>0.69466780200112743</v>
      </c>
      <c r="AU13" s="22">
        <f t="shared" si="10"/>
        <v>0.32846780200112741</v>
      </c>
      <c r="AV13" s="15"/>
      <c r="AW13" s="22"/>
      <c r="AX13" s="34">
        <f t="shared" si="11"/>
        <v>3284.6780200112739</v>
      </c>
      <c r="AY13" s="14">
        <f t="shared" si="12"/>
        <v>-17.393730770830278</v>
      </c>
      <c r="AZ13" s="25">
        <v>1.0819000000000001</v>
      </c>
      <c r="BA13" s="22">
        <f t="shared" si="17"/>
        <v>1.0920962332302353</v>
      </c>
      <c r="BB13" s="38">
        <f t="shared" si="18"/>
        <v>1.0196233230235219E-2</v>
      </c>
      <c r="BC13" s="15"/>
      <c r="BD13" s="38"/>
      <c r="BE13" s="38">
        <f t="shared" si="19"/>
        <v>101.96233230235219</v>
      </c>
    </row>
    <row r="14" spans="1:57" ht="15.75">
      <c r="A14" s="67">
        <v>12</v>
      </c>
      <c r="B14" s="134">
        <v>2</v>
      </c>
      <c r="C14" s="66" t="s">
        <v>417</v>
      </c>
      <c r="D14" s="66" t="s">
        <v>422</v>
      </c>
      <c r="E14" s="66" t="s">
        <v>410</v>
      </c>
      <c r="F14" s="66" t="s">
        <v>411</v>
      </c>
      <c r="G14" s="66">
        <v>2</v>
      </c>
      <c r="H14" s="66" t="s">
        <v>427</v>
      </c>
      <c r="I14" s="66">
        <v>100</v>
      </c>
      <c r="J14" s="66">
        <v>9.26</v>
      </c>
      <c r="K14" s="66">
        <v>30</v>
      </c>
      <c r="L14" s="66" t="s">
        <v>428</v>
      </c>
      <c r="M14" s="66">
        <v>1</v>
      </c>
      <c r="N14"/>
      <c r="O14"/>
      <c r="P14"/>
      <c r="Q14" s="108">
        <v>10</v>
      </c>
      <c r="R14" s="53">
        <v>8</v>
      </c>
      <c r="S14" s="53">
        <f t="shared" si="0"/>
        <v>2</v>
      </c>
      <c r="T14" s="80">
        <v>120</v>
      </c>
      <c r="U14" s="80" t="s">
        <v>200</v>
      </c>
      <c r="V14" s="81">
        <v>19.606266000000002</v>
      </c>
      <c r="W14" s="81">
        <v>1313.5248097176705</v>
      </c>
      <c r="X14" s="81">
        <v>13.396355</v>
      </c>
      <c r="Y14" s="81">
        <v>30.36226315923669</v>
      </c>
      <c r="Z14" s="69" t="s">
        <v>54</v>
      </c>
      <c r="AA14" s="73">
        <v>5.5661983611111108</v>
      </c>
      <c r="AB14" s="73">
        <v>3.0248816727959098</v>
      </c>
      <c r="AC14" s="73">
        <v>3.9982883888888887</v>
      </c>
      <c r="AD14" s="73">
        <v>-25.508901929003891</v>
      </c>
      <c r="AE14" s="73">
        <v>2.2461111111111109</v>
      </c>
      <c r="AF14" s="73">
        <v>2.2461111111111109</v>
      </c>
      <c r="AG14" s="32">
        <f t="shared" si="1"/>
        <v>1.1379460310984945E-2</v>
      </c>
      <c r="AH14" s="32">
        <f t="shared" si="2"/>
        <v>0.25846953038557846</v>
      </c>
      <c r="AI14" s="33">
        <f t="shared" si="3"/>
        <v>0.22310872579361357</v>
      </c>
      <c r="AJ14" s="34">
        <f t="shared" si="4"/>
        <v>3.462549585728496</v>
      </c>
      <c r="AK14" s="16">
        <f t="shared" si="5"/>
        <v>9.4821208462285769E-2</v>
      </c>
      <c r="AL14" s="16">
        <f t="shared" si="14"/>
        <v>1.4715835739346108</v>
      </c>
      <c r="AM14" s="27">
        <f t="shared" si="6"/>
        <v>94.821208462285767</v>
      </c>
      <c r="AN14" s="27">
        <f t="shared" si="6"/>
        <v>1471.5835739346107</v>
      </c>
      <c r="AO14" s="29" t="e">
        <f t="shared" si="15"/>
        <v>#VALUE!</v>
      </c>
      <c r="AP14" s="29" t="e">
        <f t="shared" si="16"/>
        <v>#VALUE!</v>
      </c>
      <c r="AQ14" s="27">
        <f t="shared" si="7"/>
        <v>15.519561475742202</v>
      </c>
      <c r="AR14" s="14">
        <f t="shared" si="8"/>
        <v>1312.4799280448744</v>
      </c>
      <c r="AS14" s="25">
        <v>0.36620000000000003</v>
      </c>
      <c r="AT14" s="22">
        <f t="shared" si="9"/>
        <v>0.84290238132438933</v>
      </c>
      <c r="AU14" s="22">
        <f t="shared" si="10"/>
        <v>0.4767023813243893</v>
      </c>
      <c r="AV14" s="15"/>
      <c r="AW14" s="22"/>
      <c r="AX14" s="34">
        <f t="shared" si="11"/>
        <v>4767.0238132438926</v>
      </c>
      <c r="AY14" s="14">
        <f t="shared" si="12"/>
        <v>29.841165088240579</v>
      </c>
      <c r="AZ14" s="25">
        <v>1.0819000000000001</v>
      </c>
      <c r="BA14" s="22">
        <f t="shared" si="17"/>
        <v>1.143993848401081</v>
      </c>
      <c r="BB14" s="38">
        <f t="shared" si="18"/>
        <v>6.2093848401080898E-2</v>
      </c>
      <c r="BC14" s="15"/>
      <c r="BD14" s="38"/>
      <c r="BE14" s="38">
        <f t="shared" si="19"/>
        <v>620.93848401080902</v>
      </c>
    </row>
    <row r="15" spans="1:57" ht="15.75">
      <c r="A15" s="67">
        <v>13</v>
      </c>
      <c r="B15" s="134">
        <v>2</v>
      </c>
      <c r="C15" s="66" t="s">
        <v>419</v>
      </c>
      <c r="D15" s="66" t="s">
        <v>409</v>
      </c>
      <c r="E15" s="66" t="s">
        <v>410</v>
      </c>
      <c r="F15" s="66" t="s">
        <v>411</v>
      </c>
      <c r="G15" s="66">
        <v>2</v>
      </c>
      <c r="H15" s="66" t="s">
        <v>427</v>
      </c>
      <c r="I15" s="66">
        <v>100</v>
      </c>
      <c r="J15" s="66">
        <v>5.7</v>
      </c>
      <c r="K15" s="66">
        <v>30</v>
      </c>
      <c r="L15" s="66" t="s">
        <v>74</v>
      </c>
      <c r="M15" s="66">
        <v>1</v>
      </c>
      <c r="N15"/>
      <c r="O15"/>
      <c r="P15"/>
      <c r="Q15" s="108">
        <v>10</v>
      </c>
      <c r="R15" s="53">
        <v>8</v>
      </c>
      <c r="S15" s="53">
        <f t="shared" si="0"/>
        <v>2</v>
      </c>
      <c r="T15" s="82">
        <v>121</v>
      </c>
      <c r="U15" s="82" t="s">
        <v>201</v>
      </c>
      <c r="V15" s="83">
        <v>8.7109989999999993</v>
      </c>
      <c r="W15" s="83">
        <v>2130.5849425297329</v>
      </c>
      <c r="X15" s="83">
        <v>7.0021315</v>
      </c>
      <c r="Y15" s="83">
        <v>15.026387138432938</v>
      </c>
      <c r="Z15" s="69" t="s">
        <v>54</v>
      </c>
      <c r="AA15" s="73">
        <v>5.5661983611111108</v>
      </c>
      <c r="AB15" s="73">
        <v>3.0248816727959098</v>
      </c>
      <c r="AC15" s="73">
        <v>3.9982883888888887</v>
      </c>
      <c r="AD15" s="73">
        <v>-25.508901929003891</v>
      </c>
      <c r="AE15" s="73">
        <v>2.2461111111111109</v>
      </c>
      <c r="AF15" s="73">
        <v>2.2461111111111109</v>
      </c>
      <c r="AG15" s="32">
        <f t="shared" si="1"/>
        <v>1.1379460310984945E-2</v>
      </c>
      <c r="AH15" s="32">
        <f t="shared" si="2"/>
        <v>0.25846953038557846</v>
      </c>
      <c r="AI15" s="33">
        <f t="shared" si="3"/>
        <v>9.9126467389529543E-2</v>
      </c>
      <c r="AJ15" s="34">
        <f t="shared" si="4"/>
        <v>1.8098376405030661</v>
      </c>
      <c r="AK15" s="16">
        <f t="shared" si="5"/>
        <v>4.2128748640550058E-2</v>
      </c>
      <c r="AL15" s="16">
        <f t="shared" si="14"/>
        <v>0.76918099721380306</v>
      </c>
      <c r="AM15" s="27">
        <f t="shared" si="6"/>
        <v>42.128748640550057</v>
      </c>
      <c r="AN15" s="27">
        <f t="shared" si="6"/>
        <v>769.18099721380304</v>
      </c>
      <c r="AO15" s="29" t="e">
        <f t="shared" si="15"/>
        <v>#VALUE!</v>
      </c>
      <c r="AP15" s="29" t="e">
        <f t="shared" si="16"/>
        <v>#VALUE!</v>
      </c>
      <c r="AQ15" s="27">
        <f t="shared" si="7"/>
        <v>18.257864808105069</v>
      </c>
      <c r="AR15" s="14">
        <f t="shared" si="8"/>
        <v>2129.5400608569371</v>
      </c>
      <c r="AS15" s="25">
        <v>0.36620000000000003</v>
      </c>
      <c r="AT15" s="22">
        <f t="shared" si="9"/>
        <v>1.137334811443953</v>
      </c>
      <c r="AU15" s="22">
        <f t="shared" si="10"/>
        <v>0.77113481144395291</v>
      </c>
      <c r="AV15" s="15"/>
      <c r="AW15" s="22"/>
      <c r="AX15" s="34">
        <f t="shared" si="11"/>
        <v>7711.3481144395282</v>
      </c>
      <c r="AY15" s="14">
        <f t="shared" si="12"/>
        <v>14.505289067436827</v>
      </c>
      <c r="AZ15" s="25">
        <v>1.0819000000000001</v>
      </c>
      <c r="BA15" s="22">
        <f t="shared" si="17"/>
        <v>1.1271500869180502</v>
      </c>
      <c r="BB15" s="38">
        <f t="shared" si="18"/>
        <v>4.5250086918050103E-2</v>
      </c>
      <c r="BC15" s="15"/>
      <c r="BD15" s="38"/>
      <c r="BE15" s="38">
        <f t="shared" si="19"/>
        <v>452.50086918050101</v>
      </c>
    </row>
    <row r="16" spans="1:57" ht="15.75">
      <c r="A16" s="67">
        <v>14</v>
      </c>
      <c r="B16" s="134">
        <v>2</v>
      </c>
      <c r="C16" s="66" t="s">
        <v>421</v>
      </c>
      <c r="D16" s="66" t="s">
        <v>424</v>
      </c>
      <c r="E16" s="66" t="s">
        <v>410</v>
      </c>
      <c r="F16" s="66" t="s">
        <v>411</v>
      </c>
      <c r="G16" s="66">
        <v>2</v>
      </c>
      <c r="H16" s="66" t="s">
        <v>427</v>
      </c>
      <c r="I16" s="66">
        <v>100</v>
      </c>
      <c r="J16" s="66">
        <v>10.81</v>
      </c>
      <c r="K16" s="66">
        <v>30</v>
      </c>
      <c r="L16" s="66" t="s">
        <v>75</v>
      </c>
      <c r="M16" s="66">
        <v>1</v>
      </c>
      <c r="N16"/>
      <c r="O16"/>
      <c r="P16"/>
      <c r="Q16" s="108">
        <v>10</v>
      </c>
      <c r="R16" s="53">
        <v>8</v>
      </c>
      <c r="S16" s="53">
        <f t="shared" si="0"/>
        <v>2</v>
      </c>
      <c r="T16" s="80">
        <v>122</v>
      </c>
      <c r="U16" s="80" t="s">
        <v>202</v>
      </c>
      <c r="V16" s="81">
        <v>3.4629599999999998</v>
      </c>
      <c r="W16" s="81">
        <v>1503.4591895932183</v>
      </c>
      <c r="X16" s="81">
        <v>2.8376169999999998</v>
      </c>
      <c r="Y16" s="81">
        <v>7.344769518636026</v>
      </c>
      <c r="Z16" s="69" t="s">
        <v>54</v>
      </c>
      <c r="AA16" s="73">
        <v>5.5661983611111108</v>
      </c>
      <c r="AB16" s="73">
        <v>3.0248816727959098</v>
      </c>
      <c r="AC16" s="73">
        <v>3.9982883888888887</v>
      </c>
      <c r="AD16" s="73">
        <v>-25.508901929003891</v>
      </c>
      <c r="AE16" s="73">
        <v>2.2461111111111109</v>
      </c>
      <c r="AF16" s="73">
        <v>2.2461111111111109</v>
      </c>
      <c r="AG16" s="32">
        <f t="shared" si="1"/>
        <v>1.1379460310984945E-2</v>
      </c>
      <c r="AH16" s="32">
        <f t="shared" si="2"/>
        <v>0.25846953038557846</v>
      </c>
      <c r="AI16" s="33">
        <f t="shared" si="3"/>
        <v>3.9406615878528423E-2</v>
      </c>
      <c r="AJ16" s="34">
        <f t="shared" si="4"/>
        <v>0.73343753340413398</v>
      </c>
      <c r="AK16" s="16">
        <f t="shared" si="5"/>
        <v>1.6747811748374579E-2</v>
      </c>
      <c r="AL16" s="16">
        <f t="shared" si="14"/>
        <v>0.31171095169675694</v>
      </c>
      <c r="AM16" s="27">
        <f t="shared" si="6"/>
        <v>16.747811748374581</v>
      </c>
      <c r="AN16" s="27">
        <f t="shared" si="6"/>
        <v>311.71095169675692</v>
      </c>
      <c r="AO16" s="29" t="e">
        <f t="shared" si="15"/>
        <v>#VALUE!</v>
      </c>
      <c r="AP16" s="29" t="e">
        <f t="shared" si="16"/>
        <v>#VALUE!</v>
      </c>
      <c r="AQ16" s="27">
        <f t="shared" si="7"/>
        <v>18.612040568643803</v>
      </c>
      <c r="AR16" s="14">
        <f t="shared" si="8"/>
        <v>1502.4143079204223</v>
      </c>
      <c r="AS16" s="25">
        <v>0.36620000000000003</v>
      </c>
      <c r="AT16" s="22">
        <f t="shared" si="9"/>
        <v>0.91150270019402291</v>
      </c>
      <c r="AU16" s="22">
        <f t="shared" si="10"/>
        <v>0.54530270019402294</v>
      </c>
      <c r="AV16" s="15"/>
      <c r="AW16" s="22"/>
      <c r="AX16" s="34">
        <f t="shared" si="11"/>
        <v>5453.0270019402287</v>
      </c>
      <c r="AY16" s="14">
        <f t="shared" si="12"/>
        <v>6.8236714476399154</v>
      </c>
      <c r="AZ16" s="25">
        <v>1.0819000000000001</v>
      </c>
      <c r="BA16" s="22">
        <f t="shared" si="17"/>
        <v>1.1187110237597404</v>
      </c>
      <c r="BB16" s="38">
        <f t="shared" si="18"/>
        <v>3.6811023759740324E-2</v>
      </c>
      <c r="BC16" s="15"/>
      <c r="BD16" s="38"/>
      <c r="BE16" s="38">
        <f t="shared" si="19"/>
        <v>368.11023759740328</v>
      </c>
    </row>
    <row r="17" spans="1:57" ht="15.75">
      <c r="A17" s="67">
        <v>15</v>
      </c>
      <c r="B17" s="134">
        <v>2</v>
      </c>
      <c r="C17" s="66" t="s">
        <v>423</v>
      </c>
      <c r="D17" s="66" t="s">
        <v>414</v>
      </c>
      <c r="E17" s="66" t="s">
        <v>410</v>
      </c>
      <c r="F17" s="66" t="s">
        <v>411</v>
      </c>
      <c r="G17" s="66">
        <v>2</v>
      </c>
      <c r="H17" s="66" t="s">
        <v>427</v>
      </c>
      <c r="I17" s="66">
        <v>100</v>
      </c>
      <c r="J17" s="66">
        <v>10</v>
      </c>
      <c r="K17" s="66">
        <v>30</v>
      </c>
      <c r="L17" s="66" t="s">
        <v>76</v>
      </c>
      <c r="M17" s="66">
        <v>1</v>
      </c>
      <c r="N17"/>
      <c r="O17"/>
      <c r="P17"/>
      <c r="Q17" s="108">
        <v>10</v>
      </c>
      <c r="R17" s="53">
        <v>8</v>
      </c>
      <c r="S17" s="53">
        <f t="shared" si="0"/>
        <v>2</v>
      </c>
      <c r="T17" s="82">
        <v>123</v>
      </c>
      <c r="U17" s="82" t="s">
        <v>203</v>
      </c>
      <c r="V17" s="83">
        <v>2.9473829999999999</v>
      </c>
      <c r="W17" s="83">
        <v>1954.7197835913469</v>
      </c>
      <c r="X17" s="83">
        <v>1.09266</v>
      </c>
      <c r="Y17" s="83">
        <v>-28.492728531788877</v>
      </c>
      <c r="Z17" s="69" t="s">
        <v>54</v>
      </c>
      <c r="AA17" s="73">
        <v>5.5661983611111108</v>
      </c>
      <c r="AB17" s="73">
        <v>3.0248816727959098</v>
      </c>
      <c r="AC17" s="73">
        <v>3.9982883888888887</v>
      </c>
      <c r="AD17" s="73">
        <v>-25.508901929003891</v>
      </c>
      <c r="AE17" s="73">
        <v>2.2461111111111109</v>
      </c>
      <c r="AF17" s="73">
        <v>2.2461111111111109</v>
      </c>
      <c r="AG17" s="32">
        <f t="shared" si="1"/>
        <v>1.1379460310984945E-2</v>
      </c>
      <c r="AH17" s="32">
        <f t="shared" si="2"/>
        <v>0.25846953038557846</v>
      </c>
      <c r="AI17" s="33">
        <f t="shared" si="3"/>
        <v>3.3539627869771736E-2</v>
      </c>
      <c r="AJ17" s="34">
        <f t="shared" si="4"/>
        <v>0.28241931707110618</v>
      </c>
      <c r="AK17" s="16">
        <f t="shared" si="5"/>
        <v>1.4254341844652988E-2</v>
      </c>
      <c r="AL17" s="16">
        <f t="shared" si="14"/>
        <v>0.12002820975522012</v>
      </c>
      <c r="AM17" s="27">
        <f t="shared" si="6"/>
        <v>14.254341844652988</v>
      </c>
      <c r="AN17" s="27">
        <f t="shared" si="6"/>
        <v>120.02820975522012</v>
      </c>
      <c r="AO17" s="29" t="e">
        <f t="shared" si="15"/>
        <v>#VALUE!</v>
      </c>
      <c r="AP17" s="29" t="e">
        <f t="shared" si="16"/>
        <v>#VALUE!</v>
      </c>
      <c r="AQ17" s="27">
        <f t="shared" si="7"/>
        <v>8.4204666243671191</v>
      </c>
      <c r="AR17" s="14">
        <f t="shared" si="8"/>
        <v>1953.6749019185509</v>
      </c>
      <c r="AS17" s="25">
        <v>0.36620000000000003</v>
      </c>
      <c r="AT17" s="22">
        <f t="shared" si="9"/>
        <v>1.0741085360910017</v>
      </c>
      <c r="AU17" s="22">
        <f t="shared" si="10"/>
        <v>0.70790853609100157</v>
      </c>
      <c r="AV17" s="15"/>
      <c r="AW17" s="22"/>
      <c r="AX17" s="34">
        <f t="shared" si="11"/>
        <v>7079.0853609100159</v>
      </c>
      <c r="AY17" s="14">
        <f t="shared" si="12"/>
        <v>-29.013826602784988</v>
      </c>
      <c r="AZ17" s="25">
        <v>1.0819000000000001</v>
      </c>
      <c r="BA17" s="22">
        <f t="shared" si="17"/>
        <v>1.0793207252332584</v>
      </c>
      <c r="BB17" s="38">
        <f t="shared" si="18"/>
        <v>-2.5792747667416904E-3</v>
      </c>
      <c r="BC17" s="15"/>
      <c r="BD17" s="38"/>
      <c r="BE17" s="38">
        <f t="shared" si="19"/>
        <v>-25.792747667416904</v>
      </c>
    </row>
    <row r="18" spans="1:57" ht="15.75">
      <c r="A18" s="67">
        <v>16</v>
      </c>
      <c r="B18" s="134">
        <v>2</v>
      </c>
      <c r="C18" s="66" t="s">
        <v>425</v>
      </c>
      <c r="D18" s="66" t="s">
        <v>420</v>
      </c>
      <c r="E18" s="66" t="s">
        <v>410</v>
      </c>
      <c r="F18" s="66" t="s">
        <v>411</v>
      </c>
      <c r="G18" s="66">
        <v>2</v>
      </c>
      <c r="H18" s="66" t="s">
        <v>427</v>
      </c>
      <c r="I18" s="66">
        <v>100</v>
      </c>
      <c r="J18" s="66">
        <v>10.56</v>
      </c>
      <c r="K18" s="66">
        <v>30</v>
      </c>
      <c r="L18" s="66" t="s">
        <v>77</v>
      </c>
      <c r="M18" s="66">
        <v>1</v>
      </c>
      <c r="N18"/>
      <c r="O18"/>
      <c r="P18"/>
      <c r="Q18" s="108">
        <v>10</v>
      </c>
      <c r="R18" s="53">
        <v>8</v>
      </c>
      <c r="S18" s="53">
        <f t="shared" si="0"/>
        <v>2</v>
      </c>
      <c r="T18" s="80">
        <v>124</v>
      </c>
      <c r="U18" s="80" t="s">
        <v>204</v>
      </c>
      <c r="V18" s="81">
        <v>8.1053280000000001</v>
      </c>
      <c r="W18" s="81">
        <v>1316.3523848678744</v>
      </c>
      <c r="X18" s="81">
        <v>5.7392865000000004</v>
      </c>
      <c r="Y18" s="81">
        <v>2.0020310262703509</v>
      </c>
      <c r="Z18" s="69" t="s">
        <v>54</v>
      </c>
      <c r="AA18" s="73">
        <v>5.5661983611111108</v>
      </c>
      <c r="AB18" s="73">
        <v>3.0248816727959098</v>
      </c>
      <c r="AC18" s="73">
        <v>3.9982883888888887</v>
      </c>
      <c r="AD18" s="73">
        <v>-25.508901929003891</v>
      </c>
      <c r="AE18" s="73">
        <v>2.2461111111111109</v>
      </c>
      <c r="AF18" s="73">
        <v>2.2461111111111109</v>
      </c>
      <c r="AG18" s="32">
        <f t="shared" si="1"/>
        <v>1.1379460310984945E-2</v>
      </c>
      <c r="AH18" s="32">
        <f t="shared" si="2"/>
        <v>0.25846953038557846</v>
      </c>
      <c r="AI18" s="33">
        <f t="shared" si="3"/>
        <v>9.2234258283514989E-2</v>
      </c>
      <c r="AJ18" s="34">
        <f t="shared" si="4"/>
        <v>1.4834306864032905</v>
      </c>
      <c r="AK18" s="16">
        <f t="shared" si="5"/>
        <v>3.9199559770493865E-2</v>
      </c>
      <c r="AL18" s="16">
        <f t="shared" si="14"/>
        <v>0.63045804172139841</v>
      </c>
      <c r="AM18" s="27">
        <f t="shared" ref="AM18:AN66" si="20">AK18*1000</f>
        <v>39.199559770493863</v>
      </c>
      <c r="AN18" s="27">
        <f t="shared" si="20"/>
        <v>630.45804172139844</v>
      </c>
      <c r="AO18" s="29" t="e">
        <f t="shared" si="15"/>
        <v>#VALUE!</v>
      </c>
      <c r="AP18" s="29" t="e">
        <f t="shared" si="16"/>
        <v>#VALUE!</v>
      </c>
      <c r="AQ18" s="27">
        <f t="shared" si="7"/>
        <v>16.083293930151587</v>
      </c>
      <c r="AR18" s="14">
        <f t="shared" si="8"/>
        <v>1315.3075031950784</v>
      </c>
      <c r="AS18" s="25">
        <v>0.36620000000000003</v>
      </c>
      <c r="AT18" s="22">
        <f t="shared" si="9"/>
        <v>0.84392433873070605</v>
      </c>
      <c r="AU18" s="22">
        <f t="shared" si="10"/>
        <v>0.47772433873070602</v>
      </c>
      <c r="AV18" s="15"/>
      <c r="AW18" s="22"/>
      <c r="AX18" s="34">
        <f t="shared" si="11"/>
        <v>4777.2433873070604</v>
      </c>
      <c r="AY18" s="14">
        <f t="shared" si="12"/>
        <v>1.4809329552742403</v>
      </c>
      <c r="AZ18" s="25">
        <v>1.0819000000000001</v>
      </c>
      <c r="BA18" s="22">
        <f t="shared" si="17"/>
        <v>1.1128406153157511</v>
      </c>
      <c r="BB18" s="38">
        <f t="shared" si="18"/>
        <v>3.0940615315750986E-2</v>
      </c>
      <c r="BC18" s="15"/>
      <c r="BD18" s="38"/>
      <c r="BE18" s="38">
        <f t="shared" si="19"/>
        <v>309.40615315750983</v>
      </c>
    </row>
    <row r="19" spans="1:57" ht="15.75">
      <c r="A19" s="67">
        <v>17</v>
      </c>
      <c r="B19" s="134">
        <v>3</v>
      </c>
      <c r="C19" s="66" t="s">
        <v>408</v>
      </c>
      <c r="D19" s="66" t="s">
        <v>418</v>
      </c>
      <c r="E19" s="66" t="s">
        <v>410</v>
      </c>
      <c r="F19" s="66" t="s">
        <v>411</v>
      </c>
      <c r="G19" s="66">
        <v>3</v>
      </c>
      <c r="H19" s="66" t="s">
        <v>429</v>
      </c>
      <c r="I19" s="66">
        <v>100</v>
      </c>
      <c r="J19" s="66">
        <v>16.45</v>
      </c>
      <c r="K19" s="66">
        <v>30</v>
      </c>
      <c r="L19" s="66" t="s">
        <v>78</v>
      </c>
      <c r="M19" s="66">
        <v>1</v>
      </c>
      <c r="N19"/>
      <c r="O19"/>
      <c r="P19"/>
      <c r="Q19" s="108">
        <v>10</v>
      </c>
      <c r="R19" s="53">
        <v>8</v>
      </c>
      <c r="S19" s="53">
        <f t="shared" si="0"/>
        <v>2</v>
      </c>
      <c r="T19" s="82">
        <v>125</v>
      </c>
      <c r="U19" s="82" t="s">
        <v>205</v>
      </c>
      <c r="V19" s="83">
        <v>1.6121220000000001</v>
      </c>
      <c r="W19" s="83">
        <v>3059.1441970254182</v>
      </c>
      <c r="X19" s="83">
        <v>0.88509362499999999</v>
      </c>
      <c r="Y19" s="83">
        <v>-27.346384455984499</v>
      </c>
      <c r="Z19" s="69" t="s">
        <v>54</v>
      </c>
      <c r="AA19" s="73">
        <v>5.5661983611111108</v>
      </c>
      <c r="AB19" s="73">
        <v>3.0248816727959098</v>
      </c>
      <c r="AC19" s="73">
        <v>3.9982883888888887</v>
      </c>
      <c r="AD19" s="73">
        <v>-25.508901929003891</v>
      </c>
      <c r="AE19" s="73">
        <v>2.2461111111111109</v>
      </c>
      <c r="AF19" s="73">
        <v>2.2461111111111109</v>
      </c>
      <c r="AG19" s="32">
        <f t="shared" si="1"/>
        <v>1.1379460310984945E-2</v>
      </c>
      <c r="AH19" s="32">
        <f t="shared" si="2"/>
        <v>0.25846953038557846</v>
      </c>
      <c r="AI19" s="33">
        <f t="shared" si="3"/>
        <v>1.8345078315465672E-2</v>
      </c>
      <c r="AJ19" s="34">
        <f t="shared" si="4"/>
        <v>0.22876973360101929</v>
      </c>
      <c r="AK19" s="16">
        <f t="shared" si="5"/>
        <v>7.7966582840729099E-3</v>
      </c>
      <c r="AL19" s="16">
        <f t="shared" si="14"/>
        <v>9.7227136780433196E-2</v>
      </c>
      <c r="AM19" s="27">
        <f t="shared" si="20"/>
        <v>7.79665828407291</v>
      </c>
      <c r="AN19" s="27">
        <f t="shared" si="20"/>
        <v>97.227136780433199</v>
      </c>
      <c r="AO19" s="29" t="e">
        <f t="shared" si="15"/>
        <v>#VALUE!</v>
      </c>
      <c r="AP19" s="29" t="e">
        <f t="shared" si="16"/>
        <v>#VALUE!</v>
      </c>
      <c r="AQ19" s="27">
        <f t="shared" si="7"/>
        <v>12.470360151483071</v>
      </c>
      <c r="AR19" s="14">
        <f t="shared" si="8"/>
        <v>3058.0993153526224</v>
      </c>
      <c r="AS19" s="25">
        <v>0.36620000000000003</v>
      </c>
      <c r="AT19" s="22">
        <f t="shared" si="9"/>
        <v>1.4698309970057841</v>
      </c>
      <c r="AU19" s="22">
        <f t="shared" si="10"/>
        <v>1.103630997005784</v>
      </c>
      <c r="AV19" s="15"/>
      <c r="AW19" s="22"/>
      <c r="AX19" s="34">
        <f t="shared" si="11"/>
        <v>11036.30997005784</v>
      </c>
      <c r="AY19" s="14">
        <f t="shared" si="12"/>
        <v>-27.867482526980609</v>
      </c>
      <c r="AZ19" s="25">
        <v>1.0819000000000001</v>
      </c>
      <c r="BA19" s="22">
        <f t="shared" si="17"/>
        <v>1.0805811995986436</v>
      </c>
      <c r="BB19" s="38">
        <f t="shared" si="18"/>
        <v>-1.3188004013564569E-3</v>
      </c>
      <c r="BC19" s="15"/>
      <c r="BD19" s="38"/>
      <c r="BE19" s="38">
        <f t="shared" si="19"/>
        <v>-13.188004013564569</v>
      </c>
    </row>
    <row r="20" spans="1:57" ht="15.75">
      <c r="A20" s="67">
        <v>18</v>
      </c>
      <c r="B20" s="134">
        <v>3</v>
      </c>
      <c r="C20" s="66" t="s">
        <v>413</v>
      </c>
      <c r="D20" s="66" t="s">
        <v>416</v>
      </c>
      <c r="E20" s="66" t="s">
        <v>410</v>
      </c>
      <c r="F20" s="66" t="s">
        <v>411</v>
      </c>
      <c r="G20" s="66">
        <v>3</v>
      </c>
      <c r="H20" s="66" t="s">
        <v>429</v>
      </c>
      <c r="I20" s="66">
        <v>100</v>
      </c>
      <c r="J20" s="66">
        <v>8.51</v>
      </c>
      <c r="K20" s="66">
        <v>30</v>
      </c>
      <c r="L20" s="66" t="s">
        <v>79</v>
      </c>
      <c r="M20" s="66">
        <v>1</v>
      </c>
      <c r="N20"/>
      <c r="O20"/>
      <c r="P20"/>
      <c r="Q20" s="108">
        <v>10</v>
      </c>
      <c r="R20" s="53">
        <v>8</v>
      </c>
      <c r="S20" s="53">
        <f t="shared" si="0"/>
        <v>2</v>
      </c>
      <c r="T20" s="80">
        <v>126</v>
      </c>
      <c r="U20" s="80" t="s">
        <v>206</v>
      </c>
      <c r="V20" s="81">
        <v>4.1182577499999997</v>
      </c>
      <c r="W20" s="81">
        <v>944.81910556600735</v>
      </c>
      <c r="X20" s="81">
        <v>2.2809667500000002</v>
      </c>
      <c r="Y20" s="81">
        <v>-5.23797769746922</v>
      </c>
      <c r="Z20" s="69" t="s">
        <v>54</v>
      </c>
      <c r="AA20" s="73">
        <v>5.5661983611111108</v>
      </c>
      <c r="AB20" s="73">
        <v>3.0248816727959098</v>
      </c>
      <c r="AC20" s="73">
        <v>3.9982883888888887</v>
      </c>
      <c r="AD20" s="73">
        <v>-25.508901929003891</v>
      </c>
      <c r="AE20" s="73">
        <v>2.2461111111111109</v>
      </c>
      <c r="AF20" s="73">
        <v>2.2461111111111109</v>
      </c>
      <c r="AG20" s="32">
        <f t="shared" si="1"/>
        <v>1.1379460310984945E-2</v>
      </c>
      <c r="AH20" s="32">
        <f t="shared" si="2"/>
        <v>0.25846953038557846</v>
      </c>
      <c r="AI20" s="33">
        <f t="shared" si="3"/>
        <v>4.6863550616531156E-2</v>
      </c>
      <c r="AJ20" s="34">
        <f t="shared" si="4"/>
        <v>0.58956040469761917</v>
      </c>
      <c r="AK20" s="16">
        <f t="shared" si="5"/>
        <v>1.9917009012025741E-2</v>
      </c>
      <c r="AL20" s="16">
        <f t="shared" si="14"/>
        <v>0.25056317199648814</v>
      </c>
      <c r="AM20" s="27">
        <f t="shared" si="20"/>
        <v>19.917009012025741</v>
      </c>
      <c r="AN20" s="27">
        <f t="shared" si="20"/>
        <v>250.56317199648814</v>
      </c>
      <c r="AO20" s="29" t="e">
        <f t="shared" si="15"/>
        <v>#VALUE!</v>
      </c>
      <c r="AP20" s="29" t="e">
        <f t="shared" si="16"/>
        <v>#VALUE!</v>
      </c>
      <c r="AQ20" s="27">
        <f t="shared" si="7"/>
        <v>12.580361431036154</v>
      </c>
      <c r="AR20" s="14">
        <f t="shared" si="8"/>
        <v>943.77422389321146</v>
      </c>
      <c r="AS20" s="25">
        <v>0.36620000000000003</v>
      </c>
      <c r="AT20" s="22">
        <f t="shared" si="9"/>
        <v>0.70946207537016592</v>
      </c>
      <c r="AU20" s="22">
        <f t="shared" si="10"/>
        <v>0.3432620753701659</v>
      </c>
      <c r="AV20" s="15"/>
      <c r="AW20" s="22"/>
      <c r="AX20" s="34">
        <f t="shared" si="11"/>
        <v>3432.6207537016594</v>
      </c>
      <c r="AY20" s="14">
        <f t="shared" si="12"/>
        <v>-5.7590757684653306</v>
      </c>
      <c r="AZ20" s="25">
        <v>1.0819000000000001</v>
      </c>
      <c r="BA20" s="22">
        <f t="shared" si="17"/>
        <v>1.104884442383159</v>
      </c>
      <c r="BB20" s="38">
        <f t="shared" si="18"/>
        <v>2.2984442383158887E-2</v>
      </c>
      <c r="BC20" s="15"/>
      <c r="BD20" s="38"/>
      <c r="BE20" s="38">
        <f t="shared" si="19"/>
        <v>229.84442383158887</v>
      </c>
    </row>
    <row r="21" spans="1:57" ht="15.75">
      <c r="A21" s="67">
        <v>19</v>
      </c>
      <c r="B21" s="134">
        <v>3</v>
      </c>
      <c r="C21" s="66" t="s">
        <v>415</v>
      </c>
      <c r="D21" s="66" t="s">
        <v>426</v>
      </c>
      <c r="E21" s="66" t="s">
        <v>410</v>
      </c>
      <c r="F21" s="66" t="s">
        <v>411</v>
      </c>
      <c r="G21" s="66">
        <v>3</v>
      </c>
      <c r="H21" s="66" t="s">
        <v>429</v>
      </c>
      <c r="I21" s="66">
        <v>100</v>
      </c>
      <c r="J21" s="66">
        <v>16.52</v>
      </c>
      <c r="K21" s="66">
        <v>30</v>
      </c>
      <c r="L21" s="66" t="s">
        <v>80</v>
      </c>
      <c r="M21" s="66">
        <v>1</v>
      </c>
      <c r="N21"/>
      <c r="O21"/>
      <c r="P21"/>
      <c r="Q21" s="108">
        <v>10</v>
      </c>
      <c r="R21" s="53">
        <v>8</v>
      </c>
      <c r="S21" s="53">
        <f t="shared" si="0"/>
        <v>2</v>
      </c>
      <c r="T21" s="82">
        <v>127</v>
      </c>
      <c r="U21" s="82" t="s">
        <v>207</v>
      </c>
      <c r="V21" s="83">
        <v>2.3216252499999999</v>
      </c>
      <c r="W21" s="83">
        <v>585.49808442213657</v>
      </c>
      <c r="X21" s="83">
        <v>1.316195875</v>
      </c>
      <c r="Y21" s="83">
        <v>-25.522638539949629</v>
      </c>
      <c r="Z21" s="69" t="s">
        <v>54</v>
      </c>
      <c r="AA21" s="73">
        <v>5.5661983611111108</v>
      </c>
      <c r="AB21" s="73">
        <v>3.0248816727959098</v>
      </c>
      <c r="AC21" s="73">
        <v>3.9982883888888887</v>
      </c>
      <c r="AD21" s="73">
        <v>-25.508901929003891</v>
      </c>
      <c r="AE21" s="73">
        <v>2.2461111111111109</v>
      </c>
      <c r="AF21" s="73">
        <v>2.2461111111111109</v>
      </c>
      <c r="AG21" s="32">
        <f t="shared" si="1"/>
        <v>1.1379460310984945E-2</v>
      </c>
      <c r="AH21" s="32">
        <f t="shared" si="2"/>
        <v>0.25846953038557846</v>
      </c>
      <c r="AI21" s="33">
        <f t="shared" si="3"/>
        <v>2.6418842389355501E-2</v>
      </c>
      <c r="AJ21" s="34">
        <f t="shared" si="4"/>
        <v>0.34019652970668551</v>
      </c>
      <c r="AK21" s="16">
        <f t="shared" si="5"/>
        <v>1.1228008015476089E-2</v>
      </c>
      <c r="AL21" s="16">
        <f t="shared" si="14"/>
        <v>0.14458352512534134</v>
      </c>
      <c r="AM21" s="27">
        <f t="shared" si="20"/>
        <v>11.228008015476089</v>
      </c>
      <c r="AN21" s="27">
        <f t="shared" si="20"/>
        <v>144.58352512534134</v>
      </c>
      <c r="AO21" s="29" t="e">
        <f t="shared" si="15"/>
        <v>#VALUE!</v>
      </c>
      <c r="AP21" s="29" t="e">
        <f t="shared" si="16"/>
        <v>#VALUE!</v>
      </c>
      <c r="AQ21" s="27">
        <f t="shared" si="7"/>
        <v>12.877041495344065</v>
      </c>
      <c r="AR21" s="14">
        <f t="shared" si="8"/>
        <v>584.45320274934068</v>
      </c>
      <c r="AS21" s="25">
        <v>0.36620000000000003</v>
      </c>
      <c r="AT21" s="22">
        <f t="shared" si="9"/>
        <v>0.57907222015344229</v>
      </c>
      <c r="AU21" s="22">
        <f t="shared" si="10"/>
        <v>0.21287222015344226</v>
      </c>
      <c r="AV21" s="15"/>
      <c r="AW21" s="22"/>
      <c r="AX21" s="34">
        <f t="shared" si="11"/>
        <v>2128.7222015344223</v>
      </c>
      <c r="AY21" s="14">
        <f t="shared" si="12"/>
        <v>-26.043736610945739</v>
      </c>
      <c r="AZ21" s="25">
        <v>1.0819000000000001</v>
      </c>
      <c r="BA21" s="22">
        <f t="shared" si="17"/>
        <v>1.0825864518902668</v>
      </c>
      <c r="BB21" s="38">
        <f t="shared" si="18"/>
        <v>6.8645189026672604E-4</v>
      </c>
      <c r="BC21" s="15"/>
      <c r="BD21" s="38"/>
      <c r="BE21" s="38">
        <f t="shared" si="19"/>
        <v>6.8645189026672604</v>
      </c>
    </row>
    <row r="22" spans="1:57" ht="15.75">
      <c r="A22" s="67">
        <v>20</v>
      </c>
      <c r="B22" s="134">
        <v>3</v>
      </c>
      <c r="C22" s="66" t="s">
        <v>417</v>
      </c>
      <c r="D22" s="66" t="s">
        <v>420</v>
      </c>
      <c r="E22" s="66" t="s">
        <v>410</v>
      </c>
      <c r="F22" s="66" t="s">
        <v>411</v>
      </c>
      <c r="G22" s="66">
        <v>3</v>
      </c>
      <c r="H22" s="66" t="s">
        <v>429</v>
      </c>
      <c r="I22" s="66">
        <v>100</v>
      </c>
      <c r="J22" s="66">
        <v>7.29</v>
      </c>
      <c r="K22" s="66">
        <v>30</v>
      </c>
      <c r="L22" s="66" t="s">
        <v>81</v>
      </c>
      <c r="M22" s="66">
        <v>1</v>
      </c>
      <c r="N22"/>
      <c r="O22"/>
      <c r="P22"/>
      <c r="Q22" s="108">
        <v>10</v>
      </c>
      <c r="R22" s="53">
        <v>8</v>
      </c>
      <c r="S22" s="53">
        <f t="shared" si="0"/>
        <v>2</v>
      </c>
      <c r="T22" s="80">
        <v>128</v>
      </c>
      <c r="U22" s="80" t="s">
        <v>208</v>
      </c>
      <c r="V22" s="81">
        <v>6.4251480000000001</v>
      </c>
      <c r="W22" s="81">
        <v>1312.6382563139089</v>
      </c>
      <c r="X22" s="81">
        <v>3.9255659999999999</v>
      </c>
      <c r="Y22" s="81">
        <v>7.8683965818861488</v>
      </c>
      <c r="Z22" s="69" t="s">
        <v>54</v>
      </c>
      <c r="AA22" s="73">
        <v>5.5661983611111108</v>
      </c>
      <c r="AB22" s="73">
        <v>3.0248816727959098</v>
      </c>
      <c r="AC22" s="73">
        <v>3.9982883888888887</v>
      </c>
      <c r="AD22" s="73">
        <v>-25.508901929003891</v>
      </c>
      <c r="AE22" s="73">
        <v>2.2461111111111109</v>
      </c>
      <c r="AF22" s="73">
        <v>2.2461111111111109</v>
      </c>
      <c r="AG22" s="32">
        <f t="shared" si="1"/>
        <v>1.1379460310984945E-2</v>
      </c>
      <c r="AH22" s="32">
        <f t="shared" si="2"/>
        <v>0.25846953038557846</v>
      </c>
      <c r="AI22" s="33">
        <f t="shared" si="3"/>
        <v>7.3114716658204307E-2</v>
      </c>
      <c r="AJ22" s="34">
        <f t="shared" si="4"/>
        <v>1.0146392005175937</v>
      </c>
      <c r="AK22" s="16">
        <f t="shared" si="5"/>
        <v>3.107375457973683E-2</v>
      </c>
      <c r="AL22" s="16">
        <f t="shared" si="14"/>
        <v>0.43122166021997732</v>
      </c>
      <c r="AM22" s="27">
        <f t="shared" si="20"/>
        <v>31.073754579736828</v>
      </c>
      <c r="AN22" s="27">
        <f t="shared" si="20"/>
        <v>431.22166021997731</v>
      </c>
      <c r="AO22" s="29" t="e">
        <f t="shared" si="15"/>
        <v>#VALUE!</v>
      </c>
      <c r="AP22" s="29" t="e">
        <f t="shared" si="16"/>
        <v>#VALUE!</v>
      </c>
      <c r="AQ22" s="27">
        <f t="shared" si="7"/>
        <v>13.877359400308086</v>
      </c>
      <c r="AR22" s="14">
        <f t="shared" si="8"/>
        <v>1311.5933746411129</v>
      </c>
      <c r="AS22" s="25">
        <v>0.36620000000000003</v>
      </c>
      <c r="AT22" s="22">
        <f t="shared" si="9"/>
        <v>0.84258195409090286</v>
      </c>
      <c r="AU22" s="22">
        <f t="shared" si="10"/>
        <v>0.47638195409090284</v>
      </c>
      <c r="AV22" s="15"/>
      <c r="AW22" s="22"/>
      <c r="AX22" s="34">
        <f t="shared" si="11"/>
        <v>4763.8195409090285</v>
      </c>
      <c r="AY22" s="14">
        <f t="shared" si="12"/>
        <v>7.3472985108900382</v>
      </c>
      <c r="AZ22" s="25">
        <v>1.0819000000000001</v>
      </c>
      <c r="BA22" s="22">
        <f t="shared" si="17"/>
        <v>1.1192863287972532</v>
      </c>
      <c r="BB22" s="38">
        <f t="shared" si="18"/>
        <v>3.7386328797253121E-2</v>
      </c>
      <c r="BC22" s="15"/>
      <c r="BD22" s="38"/>
      <c r="BE22" s="38">
        <f t="shared" si="19"/>
        <v>373.86328797253123</v>
      </c>
    </row>
    <row r="23" spans="1:57" ht="15.75">
      <c r="A23" s="67">
        <v>21</v>
      </c>
      <c r="B23" s="134">
        <v>3</v>
      </c>
      <c r="C23" s="66" t="s">
        <v>419</v>
      </c>
      <c r="D23" s="66" t="s">
        <v>422</v>
      </c>
      <c r="E23" s="66" t="s">
        <v>410</v>
      </c>
      <c r="F23" s="66" t="s">
        <v>411</v>
      </c>
      <c r="G23" s="66">
        <v>3</v>
      </c>
      <c r="H23" s="66" t="s">
        <v>429</v>
      </c>
      <c r="I23" s="66">
        <v>100</v>
      </c>
      <c r="J23" s="66">
        <v>7.82</v>
      </c>
      <c r="K23" s="66">
        <v>30</v>
      </c>
      <c r="L23" s="66" t="s">
        <v>82</v>
      </c>
      <c r="M23" s="66">
        <v>1</v>
      </c>
      <c r="N23"/>
      <c r="O23"/>
      <c r="P23"/>
      <c r="Q23" s="108">
        <v>10</v>
      </c>
      <c r="R23" s="53">
        <v>8</v>
      </c>
      <c r="S23" s="53">
        <f t="shared" si="0"/>
        <v>2</v>
      </c>
      <c r="T23" s="82">
        <v>129</v>
      </c>
      <c r="U23" s="82" t="s">
        <v>209</v>
      </c>
      <c r="V23" s="83">
        <v>12.830360000000001</v>
      </c>
      <c r="W23" s="83">
        <v>1584.1106366888087</v>
      </c>
      <c r="X23" s="83">
        <v>8.5774500000000007</v>
      </c>
      <c r="Y23" s="83">
        <v>11.379856199276404</v>
      </c>
      <c r="Z23" s="69" t="s">
        <v>54</v>
      </c>
      <c r="AA23" s="73">
        <v>5.5661983611111108</v>
      </c>
      <c r="AB23" s="73">
        <v>3.0248816727959098</v>
      </c>
      <c r="AC23" s="73">
        <v>3.9982883888888887</v>
      </c>
      <c r="AD23" s="73">
        <v>-25.508901929003891</v>
      </c>
      <c r="AE23" s="73">
        <v>2.2461111111111109</v>
      </c>
      <c r="AF23" s="73">
        <v>2.2461111111111109</v>
      </c>
      <c r="AG23" s="32">
        <f t="shared" si="1"/>
        <v>1.1379460310984945E-2</v>
      </c>
      <c r="AH23" s="32">
        <f t="shared" si="2"/>
        <v>0.25846953038557846</v>
      </c>
      <c r="AI23" s="33">
        <f t="shared" si="3"/>
        <v>0.14600257239564882</v>
      </c>
      <c r="AJ23" s="34">
        <f t="shared" si="4"/>
        <v>2.2170094734057804</v>
      </c>
      <c r="AK23" s="16">
        <f t="shared" si="5"/>
        <v>6.2051093268150746E-2</v>
      </c>
      <c r="AL23" s="16">
        <f t="shared" si="14"/>
        <v>0.94222902619745674</v>
      </c>
      <c r="AM23" s="27">
        <f t="shared" si="20"/>
        <v>62.051093268150744</v>
      </c>
      <c r="AN23" s="27">
        <f t="shared" si="20"/>
        <v>942.22902619745673</v>
      </c>
      <c r="AO23" s="29" t="e">
        <f t="shared" si="15"/>
        <v>#VALUE!</v>
      </c>
      <c r="AP23" s="29" t="e">
        <f t="shared" si="16"/>
        <v>#VALUE!</v>
      </c>
      <c r="AQ23" s="27">
        <f t="shared" si="7"/>
        <v>15.184728851201061</v>
      </c>
      <c r="AR23" s="14">
        <f t="shared" si="8"/>
        <v>1583.0657550160126</v>
      </c>
      <c r="AS23" s="25">
        <v>0.36620000000000003</v>
      </c>
      <c r="AT23" s="22">
        <f t="shared" si="9"/>
        <v>0.94060361131088466</v>
      </c>
      <c r="AU23" s="22">
        <f t="shared" si="10"/>
        <v>0.57440361131088458</v>
      </c>
      <c r="AV23" s="15"/>
      <c r="AW23" s="22"/>
      <c r="AX23" s="34">
        <f t="shared" si="11"/>
        <v>5744.0361131088466</v>
      </c>
      <c r="AY23" s="14">
        <f t="shared" si="12"/>
        <v>10.858758128280293</v>
      </c>
      <c r="AZ23" s="25">
        <v>1.0819000000000001</v>
      </c>
      <c r="BA23" s="22">
        <f t="shared" si="17"/>
        <v>1.1231441695751867</v>
      </c>
      <c r="BB23" s="38">
        <f t="shared" si="18"/>
        <v>4.1244169575186618E-2</v>
      </c>
      <c r="BC23" s="15"/>
      <c r="BD23" s="38"/>
      <c r="BE23" s="38">
        <f t="shared" si="19"/>
        <v>412.44169575186618</v>
      </c>
    </row>
    <row r="24" spans="1:57" ht="15.75">
      <c r="A24" s="67">
        <v>22</v>
      </c>
      <c r="B24" s="134">
        <v>3</v>
      </c>
      <c r="C24" s="66" t="s">
        <v>421</v>
      </c>
      <c r="D24" s="66" t="s">
        <v>424</v>
      </c>
      <c r="E24" s="66" t="s">
        <v>410</v>
      </c>
      <c r="F24" s="66" t="s">
        <v>411</v>
      </c>
      <c r="G24" s="66">
        <v>3</v>
      </c>
      <c r="H24" s="66" t="s">
        <v>429</v>
      </c>
      <c r="I24" s="66">
        <v>100</v>
      </c>
      <c r="J24" s="66">
        <v>7.15</v>
      </c>
      <c r="K24" s="66">
        <v>30</v>
      </c>
      <c r="L24" s="66" t="s">
        <v>83</v>
      </c>
      <c r="M24" s="66">
        <v>1</v>
      </c>
      <c r="N24"/>
      <c r="O24"/>
      <c r="P24"/>
      <c r="Q24" s="108">
        <v>10</v>
      </c>
      <c r="R24" s="53">
        <v>8</v>
      </c>
      <c r="S24" s="53">
        <f t="shared" si="0"/>
        <v>2</v>
      </c>
      <c r="T24" s="80">
        <v>130</v>
      </c>
      <c r="U24" s="80" t="s">
        <v>210</v>
      </c>
      <c r="V24" s="81">
        <v>5.6651210000000001</v>
      </c>
      <c r="W24" s="81">
        <v>1312.2469043323244</v>
      </c>
      <c r="X24" s="81">
        <v>4.1254332500000004</v>
      </c>
      <c r="Y24" s="81">
        <v>-3.0537534258326438</v>
      </c>
      <c r="Z24" s="69" t="s">
        <v>54</v>
      </c>
      <c r="AA24" s="73">
        <v>5.5661983611111108</v>
      </c>
      <c r="AB24" s="73">
        <v>3.0248816727959098</v>
      </c>
      <c r="AC24" s="73">
        <v>3.9982883888888887</v>
      </c>
      <c r="AD24" s="73">
        <v>-25.508901929003891</v>
      </c>
      <c r="AE24" s="73">
        <v>2.2461111111111109</v>
      </c>
      <c r="AF24" s="73">
        <v>2.2461111111111109</v>
      </c>
      <c r="AG24" s="32">
        <f t="shared" si="1"/>
        <v>1.1379460310984945E-2</v>
      </c>
      <c r="AH24" s="32">
        <f t="shared" si="2"/>
        <v>0.25846953038557846</v>
      </c>
      <c r="AI24" s="33">
        <f t="shared" si="3"/>
        <v>6.446601957642735E-2</v>
      </c>
      <c r="AJ24" s="34">
        <f t="shared" si="4"/>
        <v>1.0662987947645508</v>
      </c>
      <c r="AK24" s="16">
        <f t="shared" si="5"/>
        <v>2.7398058319981624E-2</v>
      </c>
      <c r="AL24" s="16">
        <f t="shared" si="14"/>
        <v>0.45317698777493404</v>
      </c>
      <c r="AM24" s="27">
        <f t="shared" si="20"/>
        <v>27.398058319981622</v>
      </c>
      <c r="AN24" s="27">
        <f t="shared" si="20"/>
        <v>453.17698777493405</v>
      </c>
      <c r="AO24" s="29" t="e">
        <f t="shared" si="15"/>
        <v>#VALUE!</v>
      </c>
      <c r="AP24" s="29" t="e">
        <f t="shared" si="16"/>
        <v>#VALUE!</v>
      </c>
      <c r="AQ24" s="27">
        <f t="shared" si="7"/>
        <v>16.540478251498154</v>
      </c>
      <c r="AR24" s="14">
        <f t="shared" si="8"/>
        <v>1311.2020226595284</v>
      </c>
      <c r="AS24" s="25">
        <v>0.36620000000000003</v>
      </c>
      <c r="AT24" s="22">
        <f t="shared" si="9"/>
        <v>0.84244050698082507</v>
      </c>
      <c r="AU24" s="22">
        <f t="shared" si="10"/>
        <v>0.47624050698082504</v>
      </c>
      <c r="AV24" s="15"/>
      <c r="AW24" s="22"/>
      <c r="AX24" s="34">
        <f t="shared" si="11"/>
        <v>4762.4050698082501</v>
      </c>
      <c r="AY24" s="14">
        <f t="shared" si="12"/>
        <v>-3.5748514968287544</v>
      </c>
      <c r="AZ24" s="25">
        <v>1.0819000000000001</v>
      </c>
      <c r="BA24" s="22">
        <f t="shared" si="17"/>
        <v>1.107284859708596</v>
      </c>
      <c r="BB24" s="38">
        <f t="shared" si="18"/>
        <v>2.5384859708595942E-2</v>
      </c>
      <c r="BC24" s="15"/>
      <c r="BD24" s="38"/>
      <c r="BE24" s="38">
        <f t="shared" si="19"/>
        <v>253.84859708595943</v>
      </c>
    </row>
    <row r="25" spans="1:57" ht="15.75">
      <c r="A25" s="67">
        <v>23</v>
      </c>
      <c r="B25" s="134">
        <v>3</v>
      </c>
      <c r="C25" s="66" t="s">
        <v>423</v>
      </c>
      <c r="D25" s="66" t="s">
        <v>414</v>
      </c>
      <c r="E25" s="66" t="s">
        <v>410</v>
      </c>
      <c r="F25" s="66" t="s">
        <v>411</v>
      </c>
      <c r="G25" s="66">
        <v>3</v>
      </c>
      <c r="H25" s="66" t="s">
        <v>429</v>
      </c>
      <c r="I25" s="66">
        <v>100</v>
      </c>
      <c r="J25" s="66">
        <v>10.01</v>
      </c>
      <c r="K25" s="66">
        <v>30</v>
      </c>
      <c r="L25" s="66" t="s">
        <v>84</v>
      </c>
      <c r="M25" s="66">
        <v>1</v>
      </c>
      <c r="N25"/>
      <c r="O25"/>
      <c r="P25"/>
      <c r="Q25" s="108">
        <v>10</v>
      </c>
      <c r="R25" s="53">
        <v>8</v>
      </c>
      <c r="S25" s="53">
        <f t="shared" si="0"/>
        <v>2</v>
      </c>
      <c r="T25" s="80">
        <v>132</v>
      </c>
      <c r="U25" s="80" t="s">
        <v>212</v>
      </c>
      <c r="V25" s="81">
        <v>2.1247180000000001</v>
      </c>
      <c r="W25" s="81">
        <v>683.96662715281104</v>
      </c>
      <c r="X25" s="81">
        <v>1.1550164999999999</v>
      </c>
      <c r="Y25" s="81">
        <v>-22.629625458936047</v>
      </c>
      <c r="Z25" s="69" t="s">
        <v>54</v>
      </c>
      <c r="AA25" s="73">
        <v>5.5661983611111108</v>
      </c>
      <c r="AB25" s="73">
        <v>3.0248816727959098</v>
      </c>
      <c r="AC25" s="73">
        <v>3.9982883888888887</v>
      </c>
      <c r="AD25" s="73">
        <v>-25.508901929003891</v>
      </c>
      <c r="AE25" s="73">
        <v>2.2461111111111109</v>
      </c>
      <c r="AF25" s="73">
        <v>2.2461111111111109</v>
      </c>
      <c r="AG25" s="32">
        <f t="shared" si="1"/>
        <v>1.1379460310984945E-2</v>
      </c>
      <c r="AH25" s="32">
        <f t="shared" si="2"/>
        <v>0.25846953038557846</v>
      </c>
      <c r="AI25" s="33">
        <f t="shared" si="3"/>
        <v>2.4178144153035312E-2</v>
      </c>
      <c r="AJ25" s="34">
        <f t="shared" si="4"/>
        <v>0.29853657234259445</v>
      </c>
      <c r="AK25" s="16">
        <f t="shared" si="5"/>
        <v>1.0275711265040009E-2</v>
      </c>
      <c r="AL25" s="16">
        <f t="shared" si="14"/>
        <v>0.12687804324560265</v>
      </c>
      <c r="AM25" s="27">
        <f t="shared" si="20"/>
        <v>10.275711265040009</v>
      </c>
      <c r="AN25" s="27">
        <f t="shared" si="20"/>
        <v>126.87804324560264</v>
      </c>
      <c r="AO25" s="29" t="e">
        <f t="shared" si="15"/>
        <v>#VALUE!</v>
      </c>
      <c r="AP25" s="29" t="e">
        <f t="shared" si="16"/>
        <v>#VALUE!</v>
      </c>
      <c r="AQ25" s="27">
        <f t="shared" si="7"/>
        <v>12.347373332419988</v>
      </c>
      <c r="AR25" s="14">
        <f t="shared" si="8"/>
        <v>682.92174548001515</v>
      </c>
      <c r="AS25" s="25">
        <v>0.36620000000000003</v>
      </c>
      <c r="AT25" s="22">
        <f t="shared" si="9"/>
        <v>0.61483838495020771</v>
      </c>
      <c r="AU25" s="22">
        <f t="shared" si="10"/>
        <v>0.24863838495020768</v>
      </c>
      <c r="AV25" s="15"/>
      <c r="AW25" s="22"/>
      <c r="AX25" s="34">
        <f t="shared" si="11"/>
        <v>2486.3838495020768</v>
      </c>
      <c r="AY25" s="14">
        <f t="shared" si="12"/>
        <v>-23.150723529932158</v>
      </c>
      <c r="AZ25" s="25">
        <v>1.0819000000000001</v>
      </c>
      <c r="BA25" s="22">
        <f t="shared" si="17"/>
        <v>1.0857672222598034</v>
      </c>
      <c r="BB25" s="38">
        <f t="shared" si="18"/>
        <v>3.8672222598032935E-3</v>
      </c>
      <c r="BC25" s="15"/>
      <c r="BD25" s="38"/>
      <c r="BE25" s="38">
        <f t="shared" si="19"/>
        <v>38.672222598032931</v>
      </c>
    </row>
    <row r="26" spans="1:57" ht="15.75">
      <c r="A26" s="67">
        <v>24</v>
      </c>
      <c r="B26" s="134">
        <v>3</v>
      </c>
      <c r="C26" s="66" t="s">
        <v>425</v>
      </c>
      <c r="D26" s="66" t="s">
        <v>409</v>
      </c>
      <c r="E26" s="66" t="s">
        <v>410</v>
      </c>
      <c r="F26" s="66" t="s">
        <v>411</v>
      </c>
      <c r="G26" s="66">
        <v>3</v>
      </c>
      <c r="H26" s="66" t="s">
        <v>429</v>
      </c>
      <c r="I26" s="66">
        <v>100</v>
      </c>
      <c r="J26" s="66">
        <v>8.89</v>
      </c>
      <c r="K26" s="66">
        <v>30</v>
      </c>
      <c r="L26" s="66" t="s">
        <v>85</v>
      </c>
      <c r="M26" s="66">
        <v>1</v>
      </c>
      <c r="N26"/>
      <c r="O26"/>
      <c r="P26"/>
      <c r="Q26" s="108">
        <v>10</v>
      </c>
      <c r="R26" s="53">
        <v>8</v>
      </c>
      <c r="S26" s="53">
        <f t="shared" si="0"/>
        <v>2</v>
      </c>
      <c r="T26" s="82">
        <v>133</v>
      </c>
      <c r="U26" s="82" t="s">
        <v>213</v>
      </c>
      <c r="V26" s="83">
        <v>7.9669825000000003</v>
      </c>
      <c r="W26" s="83">
        <v>1101.7326398965754</v>
      </c>
      <c r="X26" s="83">
        <v>5.0831315000000004</v>
      </c>
      <c r="Y26" s="83">
        <v>-1.6725509158680993</v>
      </c>
      <c r="Z26" s="69" t="s">
        <v>54</v>
      </c>
      <c r="AA26" s="73">
        <v>5.5661983611111108</v>
      </c>
      <c r="AB26" s="73">
        <v>3.0248816727959098</v>
      </c>
      <c r="AC26" s="73">
        <v>3.9982883888888887</v>
      </c>
      <c r="AD26" s="73">
        <v>-25.508901929003891</v>
      </c>
      <c r="AE26" s="73">
        <v>2.2461111111111109</v>
      </c>
      <c r="AF26" s="73">
        <v>2.2461111111111109</v>
      </c>
      <c r="AG26" s="32">
        <f t="shared" si="1"/>
        <v>1.1379460310984945E-2</v>
      </c>
      <c r="AH26" s="32">
        <f t="shared" si="2"/>
        <v>0.25846953038557846</v>
      </c>
      <c r="AI26" s="33">
        <f t="shared" si="3"/>
        <v>9.0659961157061625E-2</v>
      </c>
      <c r="AJ26" s="34">
        <f t="shared" si="4"/>
        <v>1.3138346116931412</v>
      </c>
      <c r="AK26" s="16">
        <f t="shared" si="5"/>
        <v>3.8530483491751193E-2</v>
      </c>
      <c r="AL26" s="16">
        <f t="shared" si="14"/>
        <v>0.55837970996958508</v>
      </c>
      <c r="AM26" s="27">
        <f t="shared" si="20"/>
        <v>38.530483491751191</v>
      </c>
      <c r="AN26" s="27">
        <f t="shared" si="20"/>
        <v>558.37970996958506</v>
      </c>
      <c r="AO26" s="29" t="e">
        <f t="shared" si="15"/>
        <v>#VALUE!</v>
      </c>
      <c r="AP26" s="29" t="e">
        <f t="shared" si="16"/>
        <v>#VALUE!</v>
      </c>
      <c r="AQ26" s="27">
        <f t="shared" si="7"/>
        <v>14.491894712121271</v>
      </c>
      <c r="AR26" s="14">
        <f t="shared" si="8"/>
        <v>1100.6877582237794</v>
      </c>
      <c r="AS26" s="25">
        <v>0.36620000000000003</v>
      </c>
      <c r="AT26" s="22">
        <f t="shared" si="9"/>
        <v>0.7662953886930941</v>
      </c>
      <c r="AU26" s="22">
        <f t="shared" si="10"/>
        <v>0.40009538869309408</v>
      </c>
      <c r="AV26" s="15"/>
      <c r="AW26" s="22"/>
      <c r="AX26" s="34">
        <f t="shared" si="11"/>
        <v>4000.9538869309413</v>
      </c>
      <c r="AY26" s="14">
        <f t="shared" si="12"/>
        <v>-2.1936489868642099</v>
      </c>
      <c r="AZ26" s="25">
        <v>1.0819000000000001</v>
      </c>
      <c r="BA26" s="22">
        <f t="shared" si="17"/>
        <v>1.1088027125764326</v>
      </c>
      <c r="BB26" s="38">
        <f t="shared" si="18"/>
        <v>2.6902712576432508E-2</v>
      </c>
      <c r="BC26" s="15"/>
      <c r="BD26" s="38"/>
      <c r="BE26" s="38">
        <f t="shared" si="19"/>
        <v>269.02712576432509</v>
      </c>
    </row>
    <row r="27" spans="1:57" ht="15.75">
      <c r="A27" s="67">
        <v>25</v>
      </c>
      <c r="B27" s="134">
        <v>4</v>
      </c>
      <c r="C27" s="66" t="s">
        <v>408</v>
      </c>
      <c r="D27" s="66" t="s">
        <v>416</v>
      </c>
      <c r="E27" s="66" t="s">
        <v>410</v>
      </c>
      <c r="F27" s="66" t="s">
        <v>411</v>
      </c>
      <c r="G27" s="66">
        <v>4</v>
      </c>
      <c r="H27" s="66" t="s">
        <v>430</v>
      </c>
      <c r="I27" s="66">
        <v>100</v>
      </c>
      <c r="J27" s="66">
        <v>4.59</v>
      </c>
      <c r="K27" s="66">
        <v>30</v>
      </c>
      <c r="L27" s="66" t="s">
        <v>86</v>
      </c>
      <c r="M27" s="66">
        <v>1</v>
      </c>
      <c r="N27"/>
      <c r="O27"/>
      <c r="P27"/>
      <c r="Q27" s="108">
        <v>10</v>
      </c>
      <c r="R27" s="53">
        <v>8</v>
      </c>
      <c r="S27" s="53">
        <f t="shared" si="0"/>
        <v>2</v>
      </c>
      <c r="T27" s="80">
        <v>134</v>
      </c>
      <c r="U27" s="80" t="s">
        <v>214</v>
      </c>
      <c r="V27" s="81">
        <v>2.4514887500000002</v>
      </c>
      <c r="W27" s="81">
        <v>682.95483338621773</v>
      </c>
      <c r="X27" s="81">
        <v>1.606986</v>
      </c>
      <c r="Y27" s="81">
        <v>-21.614155723320977</v>
      </c>
      <c r="Z27" s="69" t="s">
        <v>54</v>
      </c>
      <c r="AA27" s="73">
        <v>5.5661983611111108</v>
      </c>
      <c r="AB27" s="73">
        <v>3.0248816727959098</v>
      </c>
      <c r="AC27" s="73">
        <v>3.9982883888888887</v>
      </c>
      <c r="AD27" s="73">
        <v>-25.508901929003891</v>
      </c>
      <c r="AE27" s="73">
        <v>2.2461111111111109</v>
      </c>
      <c r="AF27" s="73">
        <v>2.2461111111111109</v>
      </c>
      <c r="AG27" s="32">
        <f t="shared" si="1"/>
        <v>1.1379460310984945E-2</v>
      </c>
      <c r="AH27" s="32">
        <f t="shared" si="2"/>
        <v>0.25846953038557846</v>
      </c>
      <c r="AI27" s="33">
        <f t="shared" si="3"/>
        <v>2.7896618933451096E-2</v>
      </c>
      <c r="AJ27" s="34">
        <f t="shared" si="4"/>
        <v>0.41535691675619918</v>
      </c>
      <c r="AK27" s="16">
        <f t="shared" si="5"/>
        <v>1.1856063046716716E-2</v>
      </c>
      <c r="AL27" s="16">
        <f t="shared" si="14"/>
        <v>0.17652668962138465</v>
      </c>
      <c r="AM27" s="27">
        <f t="shared" si="20"/>
        <v>11.856063046716715</v>
      </c>
      <c r="AN27" s="27">
        <f t="shared" si="20"/>
        <v>176.52668962138466</v>
      </c>
      <c r="AO27" s="29" t="e">
        <f t="shared" si="15"/>
        <v>#VALUE!</v>
      </c>
      <c r="AP27" s="29" t="e">
        <f t="shared" si="16"/>
        <v>#VALUE!</v>
      </c>
      <c r="AQ27" s="27">
        <f t="shared" si="7"/>
        <v>14.889149030821827</v>
      </c>
      <c r="AR27" s="14">
        <f t="shared" si="8"/>
        <v>681.90995171342183</v>
      </c>
      <c r="AS27" s="25">
        <v>0.36620000000000003</v>
      </c>
      <c r="AT27" s="22">
        <f t="shared" si="9"/>
        <v>0.6144710077465424</v>
      </c>
      <c r="AU27" s="22">
        <f t="shared" si="10"/>
        <v>0.24827100774654237</v>
      </c>
      <c r="AV27" s="15"/>
      <c r="AW27" s="22"/>
      <c r="AX27" s="34">
        <f t="shared" si="11"/>
        <v>2482.7100774654236</v>
      </c>
      <c r="AY27" s="14">
        <f t="shared" si="12"/>
        <v>-22.135253794317087</v>
      </c>
      <c r="AZ27" s="25">
        <v>1.0819000000000001</v>
      </c>
      <c r="BA27" s="22">
        <f t="shared" si="17"/>
        <v>1.086883648504096</v>
      </c>
      <c r="BB27" s="38">
        <f t="shared" si="18"/>
        <v>4.9836485040959388E-3</v>
      </c>
      <c r="BC27" s="15"/>
      <c r="BD27" s="38"/>
      <c r="BE27" s="38">
        <f t="shared" si="19"/>
        <v>49.836485040959381</v>
      </c>
    </row>
    <row r="28" spans="1:57" ht="15.75">
      <c r="A28" s="67">
        <v>26</v>
      </c>
      <c r="B28" s="134">
        <v>4</v>
      </c>
      <c r="C28" s="66" t="s">
        <v>413</v>
      </c>
      <c r="D28" s="66" t="s">
        <v>409</v>
      </c>
      <c r="E28" s="66" t="s">
        <v>410</v>
      </c>
      <c r="F28" s="66" t="s">
        <v>411</v>
      </c>
      <c r="G28" s="66">
        <v>4</v>
      </c>
      <c r="H28" s="66" t="s">
        <v>430</v>
      </c>
      <c r="I28" s="66">
        <v>100</v>
      </c>
      <c r="J28" s="66">
        <v>5.44</v>
      </c>
      <c r="K28" s="66">
        <v>30</v>
      </c>
      <c r="L28" s="66" t="s">
        <v>87</v>
      </c>
      <c r="M28" s="66">
        <v>1</v>
      </c>
      <c r="N28"/>
      <c r="O28"/>
      <c r="P28"/>
      <c r="Q28" s="108">
        <v>10</v>
      </c>
      <c r="R28" s="53">
        <v>8</v>
      </c>
      <c r="S28" s="53">
        <f t="shared" si="0"/>
        <v>2</v>
      </c>
      <c r="T28" s="82">
        <v>135</v>
      </c>
      <c r="U28" s="82" t="s">
        <v>215</v>
      </c>
      <c r="V28" s="83">
        <v>10.023908</v>
      </c>
      <c r="W28" s="83">
        <v>92.625321504389618</v>
      </c>
      <c r="X28" s="83">
        <v>7.5566500000000003</v>
      </c>
      <c r="Y28" s="83">
        <v>-25.038013998667083</v>
      </c>
      <c r="Z28" s="69" t="s">
        <v>54</v>
      </c>
      <c r="AA28" s="73">
        <v>5.5661983611111108</v>
      </c>
      <c r="AB28" s="73">
        <v>3.0248816727959098</v>
      </c>
      <c r="AC28" s="73">
        <v>3.9982883888888887</v>
      </c>
      <c r="AD28" s="73">
        <v>-25.508901929003891</v>
      </c>
      <c r="AE28" s="73">
        <v>2.2461111111111109</v>
      </c>
      <c r="AF28" s="73">
        <v>2.2461111111111109</v>
      </c>
      <c r="AG28" s="32">
        <f t="shared" si="1"/>
        <v>1.1379460310984945E-2</v>
      </c>
      <c r="AH28" s="32">
        <f t="shared" si="2"/>
        <v>0.25846953038557846</v>
      </c>
      <c r="AI28" s="33">
        <f t="shared" si="3"/>
        <v>0.11406666324696449</v>
      </c>
      <c r="AJ28" s="34">
        <f t="shared" si="4"/>
        <v>1.9531637767881815</v>
      </c>
      <c r="AK28" s="16">
        <f t="shared" si="5"/>
        <v>4.8478331879959903E-2</v>
      </c>
      <c r="AL28" s="16">
        <f t="shared" si="14"/>
        <v>0.83009460513497713</v>
      </c>
      <c r="AM28" s="27">
        <f t="shared" si="20"/>
        <v>48.478331879959903</v>
      </c>
      <c r="AN28" s="27">
        <f t="shared" si="20"/>
        <v>830.09460513497709</v>
      </c>
      <c r="AO28" s="29" t="e">
        <f t="shared" si="15"/>
        <v>#VALUE!</v>
      </c>
      <c r="AP28" s="29" t="e">
        <f t="shared" si="16"/>
        <v>#VALUE!</v>
      </c>
      <c r="AQ28" s="27">
        <f t="shared" si="7"/>
        <v>17.123002647665846</v>
      </c>
      <c r="AR28" s="14">
        <f t="shared" si="8"/>
        <v>91.580439831593708</v>
      </c>
      <c r="AS28" s="25">
        <v>0.36620000000000003</v>
      </c>
      <c r="AT28" s="22">
        <f t="shared" si="9"/>
        <v>0.39966126901216115</v>
      </c>
      <c r="AU28" s="22">
        <f t="shared" si="10"/>
        <v>3.3461269012161121E-2</v>
      </c>
      <c r="AV28" s="15"/>
      <c r="AW28" s="22"/>
      <c r="AX28" s="34">
        <f t="shared" si="11"/>
        <v>334.61269012161119</v>
      </c>
      <c r="AY28" s="14">
        <f t="shared" si="12"/>
        <v>-25.559112069663193</v>
      </c>
      <c r="AZ28" s="25">
        <v>1.0819000000000001</v>
      </c>
      <c r="BA28" s="22">
        <f t="shared" si="17"/>
        <v>1.0831192945022425</v>
      </c>
      <c r="BB28" s="38">
        <f t="shared" si="18"/>
        <v>1.2192945022424517E-3</v>
      </c>
      <c r="BC28" s="15"/>
      <c r="BD28" s="38"/>
      <c r="BE28" s="38">
        <f t="shared" si="19"/>
        <v>12.192945022424517</v>
      </c>
    </row>
    <row r="29" spans="1:57" ht="15.75">
      <c r="A29" s="67">
        <v>27</v>
      </c>
      <c r="B29" s="134">
        <v>4</v>
      </c>
      <c r="C29" s="66" t="s">
        <v>415</v>
      </c>
      <c r="D29" s="66" t="s">
        <v>418</v>
      </c>
      <c r="E29" s="66" t="s">
        <v>410</v>
      </c>
      <c r="F29" s="66" t="s">
        <v>411</v>
      </c>
      <c r="G29" s="66">
        <v>4</v>
      </c>
      <c r="H29" s="66" t="s">
        <v>430</v>
      </c>
      <c r="I29" s="66">
        <v>100</v>
      </c>
      <c r="J29" s="66">
        <v>7.91</v>
      </c>
      <c r="K29" s="66">
        <v>30</v>
      </c>
      <c r="L29" s="66" t="s">
        <v>88</v>
      </c>
      <c r="M29" s="66">
        <v>1</v>
      </c>
      <c r="N29"/>
      <c r="O29"/>
      <c r="P29"/>
      <c r="Q29" s="108">
        <v>10</v>
      </c>
      <c r="R29" s="53">
        <v>8</v>
      </c>
      <c r="S29" s="53">
        <f t="shared" si="0"/>
        <v>2</v>
      </c>
      <c r="T29" s="80">
        <v>136</v>
      </c>
      <c r="U29" s="80" t="s">
        <v>216</v>
      </c>
      <c r="V29" s="81">
        <v>1.6231211249999999</v>
      </c>
      <c r="W29" s="81">
        <v>626.37796122187729</v>
      </c>
      <c r="X29" s="81">
        <v>1.0652483749999999</v>
      </c>
      <c r="Y29" s="81">
        <v>-25.225216128355925</v>
      </c>
      <c r="Z29" s="69" t="s">
        <v>54</v>
      </c>
      <c r="AA29" s="73">
        <v>5.5661983611111108</v>
      </c>
      <c r="AB29" s="73">
        <v>3.0248816727959098</v>
      </c>
      <c r="AC29" s="73">
        <v>3.9982883888888887</v>
      </c>
      <c r="AD29" s="73">
        <v>-25.508901929003891</v>
      </c>
      <c r="AE29" s="73">
        <v>2.2461111111111109</v>
      </c>
      <c r="AF29" s="73">
        <v>2.2461111111111109</v>
      </c>
      <c r="AG29" s="32">
        <f t="shared" si="1"/>
        <v>1.1379460310984945E-2</v>
      </c>
      <c r="AH29" s="32">
        <f t="shared" si="2"/>
        <v>0.25846953038557846</v>
      </c>
      <c r="AI29" s="33">
        <f t="shared" si="3"/>
        <v>1.8470242421858733E-2</v>
      </c>
      <c r="AJ29" s="34">
        <f t="shared" si="4"/>
        <v>0.27533424723025057</v>
      </c>
      <c r="AK29" s="16">
        <f t="shared" si="5"/>
        <v>7.8498530292899615E-3</v>
      </c>
      <c r="AL29" s="16">
        <f t="shared" si="14"/>
        <v>0.11701705507285651</v>
      </c>
      <c r="AM29" s="27">
        <f t="shared" si="20"/>
        <v>7.8498530292899611</v>
      </c>
      <c r="AN29" s="27">
        <f t="shared" si="20"/>
        <v>117.01705507285651</v>
      </c>
      <c r="AO29" s="29" t="e">
        <f t="shared" si="15"/>
        <v>#VALUE!</v>
      </c>
      <c r="AP29" s="29" t="e">
        <f t="shared" si="16"/>
        <v>#VALUE!</v>
      </c>
      <c r="AQ29" s="27">
        <f t="shared" si="7"/>
        <v>14.906910312363003</v>
      </c>
      <c r="AR29" s="14">
        <f t="shared" si="8"/>
        <v>625.33307954908139</v>
      </c>
      <c r="AS29" s="25">
        <v>0.36620000000000003</v>
      </c>
      <c r="AT29" s="22">
        <f t="shared" si="9"/>
        <v>0.59392390837488063</v>
      </c>
      <c r="AU29" s="22">
        <f t="shared" si="10"/>
        <v>0.2277239083748806</v>
      </c>
      <c r="AV29" s="15"/>
      <c r="AW29" s="22"/>
      <c r="AX29" s="34">
        <f t="shared" si="11"/>
        <v>2277.239083748806</v>
      </c>
      <c r="AY29" s="14">
        <f t="shared" si="12"/>
        <v>-25.746314199352035</v>
      </c>
      <c r="AZ29" s="25">
        <v>1.0819000000000001</v>
      </c>
      <c r="BA29" s="22">
        <f t="shared" si="17"/>
        <v>1.0829134672411602</v>
      </c>
      <c r="BB29" s="38">
        <f t="shared" si="18"/>
        <v>1.0134672411601375E-3</v>
      </c>
      <c r="BC29" s="15"/>
      <c r="BD29" s="38"/>
      <c r="BE29" s="38">
        <f t="shared" si="19"/>
        <v>10.134672411601375</v>
      </c>
    </row>
    <row r="30" spans="1:57" ht="15.75">
      <c r="A30" s="67">
        <v>28</v>
      </c>
      <c r="B30" s="134">
        <v>4</v>
      </c>
      <c r="C30" s="66" t="s">
        <v>417</v>
      </c>
      <c r="D30" s="66" t="s">
        <v>424</v>
      </c>
      <c r="E30" s="66" t="s">
        <v>410</v>
      </c>
      <c r="F30" s="66" t="s">
        <v>411</v>
      </c>
      <c r="G30" s="66">
        <v>4</v>
      </c>
      <c r="H30" s="66" t="s">
        <v>430</v>
      </c>
      <c r="I30" s="66">
        <v>100</v>
      </c>
      <c r="J30" s="66">
        <v>4.96</v>
      </c>
      <c r="K30" s="66">
        <v>30</v>
      </c>
      <c r="L30" s="66" t="s">
        <v>89</v>
      </c>
      <c r="M30" s="66">
        <v>1</v>
      </c>
      <c r="N30"/>
      <c r="O30"/>
      <c r="P30"/>
      <c r="Q30" s="108">
        <v>10</v>
      </c>
      <c r="R30" s="53">
        <v>8</v>
      </c>
      <c r="S30" s="53">
        <f t="shared" si="0"/>
        <v>2</v>
      </c>
      <c r="T30" s="82">
        <v>137</v>
      </c>
      <c r="U30" s="82" t="s">
        <v>217</v>
      </c>
      <c r="V30" s="83">
        <v>10.001783</v>
      </c>
      <c r="W30" s="83">
        <v>1475.8289988209701</v>
      </c>
      <c r="X30" s="83">
        <v>4.9146809999999999</v>
      </c>
      <c r="Y30" s="83">
        <v>7.4878417952287704</v>
      </c>
      <c r="Z30" s="69" t="s">
        <v>54</v>
      </c>
      <c r="AA30" s="73">
        <v>5.5661983611111108</v>
      </c>
      <c r="AB30" s="73">
        <v>3.0248816727959098</v>
      </c>
      <c r="AC30" s="73">
        <v>3.9982883888888887</v>
      </c>
      <c r="AD30" s="73">
        <v>-25.508901929003891</v>
      </c>
      <c r="AE30" s="73">
        <v>2.2461111111111109</v>
      </c>
      <c r="AF30" s="73">
        <v>2.2461111111111109</v>
      </c>
      <c r="AG30" s="32">
        <f t="shared" si="1"/>
        <v>1.1379460310984945E-2</v>
      </c>
      <c r="AH30" s="32">
        <f t="shared" si="2"/>
        <v>0.25846953038557846</v>
      </c>
      <c r="AI30" s="33">
        <f t="shared" si="3"/>
        <v>0.11381489268758394</v>
      </c>
      <c r="AJ30" s="34">
        <f t="shared" si="4"/>
        <v>1.2702952900649251</v>
      </c>
      <c r="AK30" s="16">
        <f t="shared" si="5"/>
        <v>4.8371329392223168E-2</v>
      </c>
      <c r="AL30" s="16">
        <f t="shared" si="14"/>
        <v>0.53987549827759318</v>
      </c>
      <c r="AM30" s="27">
        <f t="shared" si="20"/>
        <v>48.371329392223167</v>
      </c>
      <c r="AN30" s="27">
        <f t="shared" si="20"/>
        <v>539.87549827759312</v>
      </c>
      <c r="AO30" s="29" t="e">
        <f t="shared" si="15"/>
        <v>#VALUE!</v>
      </c>
      <c r="AP30" s="29" t="e">
        <f t="shared" si="16"/>
        <v>#VALUE!</v>
      </c>
      <c r="AQ30" s="27">
        <f t="shared" si="7"/>
        <v>11.161063900062892</v>
      </c>
      <c r="AR30" s="14">
        <f t="shared" si="8"/>
        <v>1474.7841171481741</v>
      </c>
      <c r="AS30" s="25">
        <v>0.36620000000000003</v>
      </c>
      <c r="AT30" s="22">
        <f t="shared" si="9"/>
        <v>0.90152915450342286</v>
      </c>
      <c r="AU30" s="22">
        <f t="shared" si="10"/>
        <v>0.53532915450342289</v>
      </c>
      <c r="AV30" s="15"/>
      <c r="AW30" s="22"/>
      <c r="AX30" s="34">
        <f t="shared" si="11"/>
        <v>5353.2915450342289</v>
      </c>
      <c r="AY30" s="14">
        <f t="shared" si="12"/>
        <v>6.9667437242326598</v>
      </c>
      <c r="AZ30" s="25">
        <v>1.0819000000000001</v>
      </c>
      <c r="BA30" s="22">
        <f t="shared" si="17"/>
        <v>1.118868216837168</v>
      </c>
      <c r="BB30" s="38">
        <f t="shared" si="18"/>
        <v>3.6968216837167889E-2</v>
      </c>
      <c r="BC30" s="15"/>
      <c r="BD30" s="38"/>
      <c r="BE30" s="38">
        <f t="shared" si="19"/>
        <v>369.68216837167887</v>
      </c>
    </row>
    <row r="31" spans="1:57" ht="15.75">
      <c r="A31" s="67">
        <v>29</v>
      </c>
      <c r="B31" s="134">
        <v>4</v>
      </c>
      <c r="C31" s="66" t="s">
        <v>419</v>
      </c>
      <c r="D31" s="66" t="s">
        <v>414</v>
      </c>
      <c r="E31" s="66" t="s">
        <v>410</v>
      </c>
      <c r="F31" s="66" t="s">
        <v>411</v>
      </c>
      <c r="G31" s="66">
        <v>4</v>
      </c>
      <c r="H31" s="66" t="s">
        <v>430</v>
      </c>
      <c r="I31" s="66">
        <v>100</v>
      </c>
      <c r="J31" s="66">
        <v>17.48</v>
      </c>
      <c r="K31" s="66">
        <v>30</v>
      </c>
      <c r="L31" s="66" t="s">
        <v>90</v>
      </c>
      <c r="M31" s="66">
        <v>1</v>
      </c>
      <c r="N31"/>
      <c r="O31"/>
      <c r="P31"/>
      <c r="Q31" s="108">
        <v>10</v>
      </c>
      <c r="R31" s="53">
        <v>8</v>
      </c>
      <c r="S31" s="53">
        <f t="shared" si="0"/>
        <v>2</v>
      </c>
      <c r="T31" s="80">
        <v>138</v>
      </c>
      <c r="U31" s="80" t="s">
        <v>218</v>
      </c>
      <c r="V31" s="81">
        <v>1.6994285</v>
      </c>
      <c r="W31" s="81">
        <v>839.58520635698619</v>
      </c>
      <c r="X31" s="81">
        <v>1.1199874999999999</v>
      </c>
      <c r="Y31" s="81">
        <v>-14.647483704175844</v>
      </c>
      <c r="Z31" s="69" t="s">
        <v>54</v>
      </c>
      <c r="AA31" s="73">
        <v>5.5661983611111108</v>
      </c>
      <c r="AB31" s="73">
        <v>3.0248816727959098</v>
      </c>
      <c r="AC31" s="73">
        <v>3.9982883888888887</v>
      </c>
      <c r="AD31" s="73">
        <v>-25.508901929003891</v>
      </c>
      <c r="AE31" s="73">
        <v>2.2461111111111109</v>
      </c>
      <c r="AF31" s="73">
        <v>2.2461111111111109</v>
      </c>
      <c r="AG31" s="32">
        <f t="shared" si="1"/>
        <v>1.1379460310984945E-2</v>
      </c>
      <c r="AH31" s="32">
        <f t="shared" si="2"/>
        <v>0.25846953038557846</v>
      </c>
      <c r="AI31" s="33">
        <f t="shared" si="3"/>
        <v>1.9338579167106681E-2</v>
      </c>
      <c r="AJ31" s="34">
        <f t="shared" si="4"/>
        <v>0.28948264316271805</v>
      </c>
      <c r="AK31" s="16">
        <f t="shared" si="5"/>
        <v>8.2188961460203398E-3</v>
      </c>
      <c r="AL31" s="16">
        <f t="shared" si="14"/>
        <v>0.12303012334415517</v>
      </c>
      <c r="AM31" s="27">
        <f t="shared" si="20"/>
        <v>8.2188961460203398</v>
      </c>
      <c r="AN31" s="27">
        <f t="shared" si="20"/>
        <v>123.03012334415517</v>
      </c>
      <c r="AO31" s="29" t="e">
        <f t="shared" si="15"/>
        <v>#VALUE!</v>
      </c>
      <c r="AP31" s="29" t="e">
        <f t="shared" si="16"/>
        <v>#VALUE!</v>
      </c>
      <c r="AQ31" s="27">
        <f t="shared" si="7"/>
        <v>14.969178483138203</v>
      </c>
      <c r="AR31" s="14">
        <f t="shared" si="8"/>
        <v>838.5403246841903</v>
      </c>
      <c r="AS31" s="25">
        <v>0.36620000000000003</v>
      </c>
      <c r="AT31" s="22">
        <f t="shared" si="9"/>
        <v>0.67131038938454579</v>
      </c>
      <c r="AU31" s="22">
        <f t="shared" si="10"/>
        <v>0.30511038938454577</v>
      </c>
      <c r="AV31" s="15"/>
      <c r="AW31" s="22"/>
      <c r="AX31" s="34">
        <f t="shared" si="11"/>
        <v>3051.1038938454576</v>
      </c>
      <c r="AY31" s="14">
        <f t="shared" si="12"/>
        <v>-15.168581775171955</v>
      </c>
      <c r="AZ31" s="25">
        <v>1.0819000000000001</v>
      </c>
      <c r="BA31" s="22">
        <f t="shared" si="17"/>
        <v>1.0945422573336214</v>
      </c>
      <c r="BB31" s="38">
        <f t="shared" si="18"/>
        <v>1.2642257333621343E-2</v>
      </c>
      <c r="BC31" s="15"/>
      <c r="BD31" s="38"/>
      <c r="BE31" s="38">
        <f t="shared" si="19"/>
        <v>126.42257333621343</v>
      </c>
    </row>
    <row r="32" spans="1:57" ht="15.75">
      <c r="A32" s="67">
        <v>30</v>
      </c>
      <c r="B32" s="134">
        <v>4</v>
      </c>
      <c r="C32" s="66" t="s">
        <v>421</v>
      </c>
      <c r="D32" s="66" t="s">
        <v>420</v>
      </c>
      <c r="E32" s="66" t="s">
        <v>410</v>
      </c>
      <c r="F32" s="66" t="s">
        <v>411</v>
      </c>
      <c r="G32" s="66">
        <v>4</v>
      </c>
      <c r="H32" s="66" t="s">
        <v>430</v>
      </c>
      <c r="I32" s="66">
        <v>100</v>
      </c>
      <c r="J32" s="66">
        <v>11.67</v>
      </c>
      <c r="K32" s="66">
        <v>30</v>
      </c>
      <c r="L32" s="66" t="s">
        <v>91</v>
      </c>
      <c r="M32" s="66">
        <v>1</v>
      </c>
      <c r="N32"/>
      <c r="O32"/>
      <c r="P32"/>
      <c r="Q32" s="108">
        <v>10</v>
      </c>
      <c r="R32" s="53">
        <v>8</v>
      </c>
      <c r="S32" s="53">
        <f t="shared" si="0"/>
        <v>2</v>
      </c>
      <c r="T32" s="82">
        <v>139</v>
      </c>
      <c r="U32" s="82" t="s">
        <v>219</v>
      </c>
      <c r="V32" s="83">
        <v>7.4832530000000004</v>
      </c>
      <c r="W32" s="83">
        <v>879.66516566658834</v>
      </c>
      <c r="X32" s="83">
        <v>4.0239867499999997</v>
      </c>
      <c r="Y32" s="83">
        <v>-4.2481044141885622</v>
      </c>
      <c r="Z32" s="69" t="s">
        <v>54</v>
      </c>
      <c r="AA32" s="73">
        <v>5.5661983611111108</v>
      </c>
      <c r="AB32" s="73">
        <v>3.0248816727959098</v>
      </c>
      <c r="AC32" s="73">
        <v>3.9982883888888887</v>
      </c>
      <c r="AD32" s="73">
        <v>-25.508901929003891</v>
      </c>
      <c r="AE32" s="73">
        <v>2.2461111111111109</v>
      </c>
      <c r="AF32" s="73">
        <v>2.2461111111111109</v>
      </c>
      <c r="AG32" s="32">
        <f t="shared" si="1"/>
        <v>1.1379460310984945E-2</v>
      </c>
      <c r="AH32" s="32">
        <f t="shared" si="2"/>
        <v>0.25846953038557846</v>
      </c>
      <c r="AI32" s="33">
        <f t="shared" si="3"/>
        <v>8.5155380510559028E-2</v>
      </c>
      <c r="AJ32" s="34">
        <f t="shared" si="4"/>
        <v>1.0400779655502901</v>
      </c>
      <c r="AK32" s="16">
        <f t="shared" si="5"/>
        <v>3.619103671698759E-2</v>
      </c>
      <c r="AL32" s="16">
        <f t="shared" si="14"/>
        <v>0.44203313535887334</v>
      </c>
      <c r="AM32" s="27">
        <f t="shared" si="20"/>
        <v>36.19103671698759</v>
      </c>
      <c r="AN32" s="27">
        <f t="shared" si="20"/>
        <v>442.03313535887332</v>
      </c>
      <c r="AO32" s="29" t="e">
        <f t="shared" si="15"/>
        <v>#VALUE!</v>
      </c>
      <c r="AP32" s="29" t="e">
        <f t="shared" si="16"/>
        <v>#VALUE!</v>
      </c>
      <c r="AQ32" s="27">
        <f t="shared" si="7"/>
        <v>12.213884305541015</v>
      </c>
      <c r="AR32" s="14">
        <f t="shared" si="8"/>
        <v>878.62028399379244</v>
      </c>
      <c r="AS32" s="25">
        <v>0.36620000000000003</v>
      </c>
      <c r="AT32" s="22">
        <f t="shared" si="9"/>
        <v>0.68584450580869638</v>
      </c>
      <c r="AU32" s="22">
        <f t="shared" si="10"/>
        <v>0.31964450580869636</v>
      </c>
      <c r="AV32" s="15"/>
      <c r="AW32" s="22"/>
      <c r="AX32" s="34">
        <f t="shared" si="11"/>
        <v>3196.4450580869634</v>
      </c>
      <c r="AY32" s="14">
        <f t="shared" si="12"/>
        <v>-4.7692024851846728</v>
      </c>
      <c r="AZ32" s="25">
        <v>1.0819000000000001</v>
      </c>
      <c r="BA32" s="22">
        <f t="shared" si="17"/>
        <v>1.105972307098753</v>
      </c>
      <c r="BB32" s="38">
        <f t="shared" si="18"/>
        <v>2.4072307098752965E-2</v>
      </c>
      <c r="BC32" s="15"/>
      <c r="BD32" s="38"/>
      <c r="BE32" s="38">
        <f t="shared" si="19"/>
        <v>240.72307098752964</v>
      </c>
    </row>
    <row r="33" spans="1:57" ht="15.75">
      <c r="A33" s="67">
        <v>31</v>
      </c>
      <c r="B33" s="134">
        <v>4</v>
      </c>
      <c r="C33" s="66" t="s">
        <v>423</v>
      </c>
      <c r="D33" s="66" t="s">
        <v>426</v>
      </c>
      <c r="E33" s="66" t="s">
        <v>410</v>
      </c>
      <c r="F33" s="66" t="s">
        <v>411</v>
      </c>
      <c r="G33" s="66">
        <v>4</v>
      </c>
      <c r="H33" s="66" t="s">
        <v>430</v>
      </c>
      <c r="I33" s="66">
        <v>100</v>
      </c>
      <c r="J33" s="66">
        <v>15.56</v>
      </c>
      <c r="K33" s="66">
        <v>30</v>
      </c>
      <c r="L33" s="66" t="s">
        <v>92</v>
      </c>
      <c r="M33" s="66">
        <v>1</v>
      </c>
      <c r="N33"/>
      <c r="O33"/>
      <c r="P33"/>
      <c r="Q33" s="108">
        <v>10</v>
      </c>
      <c r="R33" s="53">
        <v>8</v>
      </c>
      <c r="S33" s="53">
        <f t="shared" si="0"/>
        <v>2</v>
      </c>
      <c r="T33" s="80">
        <v>140</v>
      </c>
      <c r="U33" s="80" t="s">
        <v>220</v>
      </c>
      <c r="V33" s="81">
        <v>2.74769</v>
      </c>
      <c r="W33" s="81">
        <v>299.88608465443826</v>
      </c>
      <c r="X33" s="81">
        <v>1.9534425</v>
      </c>
      <c r="Y33" s="81">
        <v>-25.806348071912527</v>
      </c>
      <c r="Z33" s="69" t="s">
        <v>54</v>
      </c>
      <c r="AA33" s="73">
        <v>5.5661983611111108</v>
      </c>
      <c r="AB33" s="73">
        <v>3.0248816727959098</v>
      </c>
      <c r="AC33" s="73">
        <v>3.9982883888888887</v>
      </c>
      <c r="AD33" s="73">
        <v>-25.508901929003891</v>
      </c>
      <c r="AE33" s="73">
        <v>2.2461111111111109</v>
      </c>
      <c r="AF33" s="73">
        <v>2.2461111111111109</v>
      </c>
      <c r="AG33" s="32">
        <f t="shared" si="1"/>
        <v>1.1379460310984945E-2</v>
      </c>
      <c r="AH33" s="32">
        <f t="shared" si="2"/>
        <v>0.25846953038557846</v>
      </c>
      <c r="AI33" s="33">
        <f t="shared" si="3"/>
        <v>3.1267229301890222E-2</v>
      </c>
      <c r="AJ33" s="34">
        <f t="shared" si="4"/>
        <v>0.50490536561023036</v>
      </c>
      <c r="AK33" s="16">
        <f t="shared" si="5"/>
        <v>1.3288572453303343E-2</v>
      </c>
      <c r="AL33" s="16">
        <f t="shared" si="14"/>
        <v>0.21458478038434789</v>
      </c>
      <c r="AM33" s="27">
        <f t="shared" si="20"/>
        <v>13.288572453303344</v>
      </c>
      <c r="AN33" s="27">
        <f t="shared" si="20"/>
        <v>214.58478038434788</v>
      </c>
      <c r="AO33" s="29" t="e">
        <f t="shared" si="15"/>
        <v>#VALUE!</v>
      </c>
      <c r="AP33" s="29" t="e">
        <f t="shared" si="16"/>
        <v>#VALUE!</v>
      </c>
      <c r="AQ33" s="27">
        <f t="shared" si="7"/>
        <v>16.14806866113036</v>
      </c>
      <c r="AR33" s="14">
        <f t="shared" si="8"/>
        <v>298.84120298164237</v>
      </c>
      <c r="AS33" s="25">
        <v>0.36620000000000003</v>
      </c>
      <c r="AT33" s="22">
        <f t="shared" si="9"/>
        <v>0.4751852351787067</v>
      </c>
      <c r="AU33" s="22">
        <f t="shared" si="10"/>
        <v>0.10898523517870667</v>
      </c>
      <c r="AV33" s="15"/>
      <c r="AW33" s="22"/>
      <c r="AX33" s="34">
        <f t="shared" si="11"/>
        <v>1089.8523517870669</v>
      </c>
      <c r="AY33" s="14">
        <f t="shared" si="12"/>
        <v>-26.327446142908638</v>
      </c>
      <c r="AZ33" s="25">
        <v>1.0819000000000001</v>
      </c>
      <c r="BA33" s="22">
        <f t="shared" si="17"/>
        <v>1.0822745118083292</v>
      </c>
      <c r="BB33" s="38">
        <f t="shared" si="18"/>
        <v>3.7451180832914766E-4</v>
      </c>
      <c r="BC33" s="15"/>
      <c r="BD33" s="38"/>
      <c r="BE33" s="38">
        <f t="shared" si="19"/>
        <v>3.7451180832914766</v>
      </c>
    </row>
    <row r="34" spans="1:57" ht="15.75">
      <c r="A34" s="67">
        <v>32</v>
      </c>
      <c r="B34" s="134">
        <v>4</v>
      </c>
      <c r="C34" s="66" t="s">
        <v>425</v>
      </c>
      <c r="D34" s="66" t="s">
        <v>422</v>
      </c>
      <c r="E34" s="66" t="s">
        <v>410</v>
      </c>
      <c r="F34" s="66" t="s">
        <v>411</v>
      </c>
      <c r="G34" s="66">
        <v>4</v>
      </c>
      <c r="H34" s="66" t="s">
        <v>430</v>
      </c>
      <c r="I34" s="66">
        <v>100</v>
      </c>
      <c r="J34" s="66">
        <v>7.53</v>
      </c>
      <c r="K34" s="66">
        <v>30</v>
      </c>
      <c r="L34" s="66" t="s">
        <v>93</v>
      </c>
      <c r="M34" s="66">
        <v>1</v>
      </c>
      <c r="N34"/>
      <c r="O34"/>
      <c r="P34"/>
      <c r="Q34" s="108">
        <v>10</v>
      </c>
      <c r="R34" s="53">
        <v>8</v>
      </c>
      <c r="S34" s="53">
        <f t="shared" si="0"/>
        <v>2</v>
      </c>
      <c r="T34" s="82">
        <v>141</v>
      </c>
      <c r="U34" s="82" t="s">
        <v>221</v>
      </c>
      <c r="V34" s="83">
        <v>8.0421364999999998</v>
      </c>
      <c r="W34" s="83">
        <v>284.10969246942494</v>
      </c>
      <c r="X34" s="83">
        <v>5.1145684999999999</v>
      </c>
      <c r="Y34" s="83">
        <v>-20.515641539140439</v>
      </c>
      <c r="Z34" s="69" t="s">
        <v>54</v>
      </c>
      <c r="AA34" s="73">
        <v>5.5661983611111108</v>
      </c>
      <c r="AB34" s="73">
        <v>3.0248816727959098</v>
      </c>
      <c r="AC34" s="73">
        <v>3.9982883888888887</v>
      </c>
      <c r="AD34" s="73">
        <v>-25.508901929003891</v>
      </c>
      <c r="AE34" s="73">
        <v>2.2461111111111109</v>
      </c>
      <c r="AF34" s="73">
        <v>2.2461111111111109</v>
      </c>
      <c r="AG34" s="32">
        <f t="shared" si="1"/>
        <v>1.1379460310984945E-2</v>
      </c>
      <c r="AH34" s="32">
        <f t="shared" si="2"/>
        <v>0.25846953038557846</v>
      </c>
      <c r="AI34" s="33">
        <f t="shared" si="3"/>
        <v>9.1515173117273377E-2</v>
      </c>
      <c r="AJ34" s="34">
        <f t="shared" si="4"/>
        <v>1.3219601183198724</v>
      </c>
      <c r="AK34" s="16">
        <f t="shared" si="5"/>
        <v>3.8893948574841186E-2</v>
      </c>
      <c r="AL34" s="16">
        <f t="shared" si="14"/>
        <v>0.56183305028594577</v>
      </c>
      <c r="AM34" s="27">
        <f t="shared" si="20"/>
        <v>38.89394857484119</v>
      </c>
      <c r="AN34" s="27">
        <f t="shared" si="20"/>
        <v>561.83305028594577</v>
      </c>
      <c r="AO34" s="29" t="e">
        <f t="shared" si="15"/>
        <v>#VALUE!</v>
      </c>
      <c r="AP34" s="29" t="e">
        <f t="shared" si="16"/>
        <v>#VALUE!</v>
      </c>
      <c r="AQ34" s="27">
        <f t="shared" si="7"/>
        <v>14.445256161246927</v>
      </c>
      <c r="AR34" s="14">
        <f t="shared" si="8"/>
        <v>283.06481079662905</v>
      </c>
      <c r="AS34" s="25">
        <v>0.36620000000000003</v>
      </c>
      <c r="AT34" s="22">
        <f t="shared" si="9"/>
        <v>0.46944048668435884</v>
      </c>
      <c r="AU34" s="22">
        <f t="shared" si="10"/>
        <v>0.10324048668435881</v>
      </c>
      <c r="AV34" s="15"/>
      <c r="AW34" s="22"/>
      <c r="AX34" s="34">
        <f t="shared" si="11"/>
        <v>1032.404866843588</v>
      </c>
      <c r="AY34" s="14">
        <f t="shared" si="12"/>
        <v>-21.03673961013655</v>
      </c>
      <c r="AZ34" s="25">
        <v>1.0819000000000001</v>
      </c>
      <c r="BA34" s="22">
        <f t="shared" si="17"/>
        <v>1.0880913469767921</v>
      </c>
      <c r="BB34" s="38">
        <f t="shared" si="18"/>
        <v>6.1913469767920226E-3</v>
      </c>
      <c r="BC34" s="15"/>
      <c r="BD34" s="38"/>
      <c r="BE34" s="38">
        <f t="shared" si="19"/>
        <v>61.913469767920233</v>
      </c>
    </row>
    <row r="35" spans="1:57" ht="15.75">
      <c r="A35" s="67">
        <v>33</v>
      </c>
      <c r="B35" s="66">
        <v>5</v>
      </c>
      <c r="C35" s="66" t="s">
        <v>408</v>
      </c>
      <c r="D35" s="66" t="s">
        <v>420</v>
      </c>
      <c r="E35" s="66" t="s">
        <v>410</v>
      </c>
      <c r="F35" s="66" t="s">
        <v>411</v>
      </c>
      <c r="G35" s="66">
        <v>5</v>
      </c>
      <c r="H35" s="66" t="s">
        <v>431</v>
      </c>
      <c r="I35" s="66">
        <v>100</v>
      </c>
      <c r="J35" s="66">
        <v>11.8</v>
      </c>
      <c r="K35" s="66">
        <v>30</v>
      </c>
      <c r="L35" s="66" t="s">
        <v>94</v>
      </c>
      <c r="M35" s="66">
        <v>1</v>
      </c>
      <c r="N35"/>
      <c r="O35"/>
      <c r="P35"/>
      <c r="Q35" s="108">
        <v>10</v>
      </c>
      <c r="R35" s="53">
        <v>8</v>
      </c>
      <c r="S35" s="53">
        <f t="shared" si="0"/>
        <v>2</v>
      </c>
      <c r="T35" s="80">
        <v>142</v>
      </c>
      <c r="U35" s="80" t="s">
        <v>222</v>
      </c>
      <c r="V35" s="81">
        <v>8.8467839999999995</v>
      </c>
      <c r="W35" s="81">
        <v>1276.3005405956369</v>
      </c>
      <c r="X35" s="81">
        <v>7.0657325000000002</v>
      </c>
      <c r="Y35" s="81">
        <v>-2.8569453289676585</v>
      </c>
      <c r="Z35" s="69" t="s">
        <v>54</v>
      </c>
      <c r="AA35" s="73">
        <v>5.5661983611111108</v>
      </c>
      <c r="AB35" s="73">
        <v>3.0248816727959098</v>
      </c>
      <c r="AC35" s="73">
        <v>3.9982883888888887</v>
      </c>
      <c r="AD35" s="73">
        <v>-25.508901929003891</v>
      </c>
      <c r="AE35" s="73">
        <v>2.2461111111111109</v>
      </c>
      <c r="AF35" s="73">
        <v>2.2461111111111109</v>
      </c>
      <c r="AG35" s="32">
        <f t="shared" si="1"/>
        <v>1.1379460310984945E-2</v>
      </c>
      <c r="AH35" s="32">
        <f t="shared" si="2"/>
        <v>0.25846953038557846</v>
      </c>
      <c r="AI35" s="33">
        <f t="shared" si="3"/>
        <v>0.10067162740785664</v>
      </c>
      <c r="AJ35" s="34">
        <f t="shared" si="4"/>
        <v>1.8262765611051193</v>
      </c>
      <c r="AK35" s="16">
        <f t="shared" si="5"/>
        <v>4.278544164833907E-2</v>
      </c>
      <c r="AL35" s="16">
        <f t="shared" si="14"/>
        <v>0.77616753846967568</v>
      </c>
      <c r="AM35" s="27">
        <f t="shared" si="20"/>
        <v>42.785441648339074</v>
      </c>
      <c r="AN35" s="27">
        <f t="shared" si="20"/>
        <v>776.16753846967572</v>
      </c>
      <c r="AO35" s="29" t="e">
        <f t="shared" si="15"/>
        <v>#VALUE!</v>
      </c>
      <c r="AP35" s="29" t="e">
        <f t="shared" si="16"/>
        <v>#VALUE!</v>
      </c>
      <c r="AQ35" s="27">
        <f t="shared" si="7"/>
        <v>18.140926178795365</v>
      </c>
      <c r="AR35" s="14">
        <f t="shared" si="8"/>
        <v>1275.2556589228409</v>
      </c>
      <c r="AS35" s="25">
        <v>0.36620000000000003</v>
      </c>
      <c r="AT35" s="22">
        <f t="shared" si="9"/>
        <v>0.82944662155289162</v>
      </c>
      <c r="AU35" s="22">
        <f t="shared" si="10"/>
        <v>0.46324662155289159</v>
      </c>
      <c r="AV35" s="15"/>
      <c r="AW35" s="22"/>
      <c r="AX35" s="34">
        <f t="shared" si="11"/>
        <v>4632.4662155289152</v>
      </c>
      <c r="AY35" s="14">
        <f t="shared" si="12"/>
        <v>-3.3780433999637691</v>
      </c>
      <c r="AZ35" s="25">
        <v>1.0819000000000001</v>
      </c>
      <c r="BA35" s="22">
        <f t="shared" si="17"/>
        <v>1.1075011420160827</v>
      </c>
      <c r="BB35" s="38">
        <f t="shared" si="18"/>
        <v>2.5601142016082656E-2</v>
      </c>
      <c r="BC35" s="15"/>
      <c r="BD35" s="38"/>
      <c r="BE35" s="38">
        <f t="shared" si="19"/>
        <v>256.01142016082656</v>
      </c>
    </row>
    <row r="36" spans="1:57" ht="15.75">
      <c r="A36" s="67">
        <v>34</v>
      </c>
      <c r="B36" s="66">
        <v>5</v>
      </c>
      <c r="C36" s="66" t="s">
        <v>413</v>
      </c>
      <c r="D36" s="66" t="s">
        <v>424</v>
      </c>
      <c r="E36" s="66" t="s">
        <v>410</v>
      </c>
      <c r="F36" s="66" t="s">
        <v>411</v>
      </c>
      <c r="G36" s="66">
        <v>5</v>
      </c>
      <c r="H36" s="66" t="s">
        <v>431</v>
      </c>
      <c r="I36" s="66">
        <v>100</v>
      </c>
      <c r="J36" s="66">
        <v>7.67</v>
      </c>
      <c r="K36" s="66">
        <v>30</v>
      </c>
      <c r="L36" s="66" t="s">
        <v>95</v>
      </c>
      <c r="M36" s="66">
        <v>1</v>
      </c>
      <c r="N36"/>
      <c r="O36"/>
      <c r="P36"/>
      <c r="Q36" s="108">
        <v>10</v>
      </c>
      <c r="R36" s="53">
        <v>8</v>
      </c>
      <c r="S36" s="53">
        <f t="shared" si="0"/>
        <v>2</v>
      </c>
      <c r="T36" s="80">
        <v>144</v>
      </c>
      <c r="U36" s="80" t="s">
        <v>224</v>
      </c>
      <c r="V36" s="81">
        <v>3.3431782499999998</v>
      </c>
      <c r="W36" s="81">
        <v>844.01496902663655</v>
      </c>
      <c r="X36" s="81">
        <v>3.7119752500000001</v>
      </c>
      <c r="Y36" s="81">
        <v>-10.077325820703734</v>
      </c>
      <c r="Z36" s="69" t="s">
        <v>54</v>
      </c>
      <c r="AA36" s="73">
        <v>5.5661983611111108</v>
      </c>
      <c r="AB36" s="73">
        <v>3.0248816727959098</v>
      </c>
      <c r="AC36" s="73">
        <v>3.9982883888888887</v>
      </c>
      <c r="AD36" s="73">
        <v>-25.508901929003891</v>
      </c>
      <c r="AE36" s="73">
        <v>2.2461111111111109</v>
      </c>
      <c r="AF36" s="73">
        <v>2.2461111111111109</v>
      </c>
      <c r="AG36" s="32">
        <f t="shared" si="1"/>
        <v>1.1379460310984945E-2</v>
      </c>
      <c r="AH36" s="32">
        <f t="shared" si="2"/>
        <v>0.25846953038557846</v>
      </c>
      <c r="AI36" s="33">
        <f t="shared" si="3"/>
        <v>3.80435642084231E-2</v>
      </c>
      <c r="AJ36" s="34">
        <f t="shared" si="4"/>
        <v>0.95943249967039024</v>
      </c>
      <c r="AK36" s="16">
        <f t="shared" si="5"/>
        <v>1.6168514788579818E-2</v>
      </c>
      <c r="AL36" s="16">
        <f t="shared" si="14"/>
        <v>0.4077588123599159</v>
      </c>
      <c r="AM36" s="27">
        <f t="shared" si="20"/>
        <v>16.168514788579817</v>
      </c>
      <c r="AN36" s="27">
        <f t="shared" si="20"/>
        <v>407.75881235991591</v>
      </c>
      <c r="AO36" s="29" t="e">
        <f t="shared" si="15"/>
        <v>#VALUE!</v>
      </c>
      <c r="AP36" s="29" t="e">
        <f t="shared" si="16"/>
        <v>#VALUE!</v>
      </c>
      <c r="AQ36" s="27">
        <f t="shared" si="7"/>
        <v>25.219311587476483</v>
      </c>
      <c r="AR36" s="14">
        <f t="shared" si="8"/>
        <v>842.97008735384065</v>
      </c>
      <c r="AS36" s="25">
        <v>0.36620000000000003</v>
      </c>
      <c r="AT36" s="22">
        <f t="shared" si="9"/>
        <v>0.67291695456234935</v>
      </c>
      <c r="AU36" s="22">
        <f t="shared" si="10"/>
        <v>0.30671695456234932</v>
      </c>
      <c r="AV36" s="15"/>
      <c r="AW36" s="22"/>
      <c r="AX36" s="34">
        <f t="shared" si="11"/>
        <v>3067.1695456234934</v>
      </c>
      <c r="AY36" s="14">
        <f t="shared" si="12"/>
        <v>-10.598423891699845</v>
      </c>
      <c r="AZ36" s="25">
        <v>1.0819000000000001</v>
      </c>
      <c r="BA36" s="22">
        <f t="shared" si="17"/>
        <v>1.0995656836986949</v>
      </c>
      <c r="BB36" s="38">
        <f t="shared" si="18"/>
        <v>1.7665683698694812E-2</v>
      </c>
      <c r="BC36" s="15"/>
      <c r="BD36" s="38"/>
      <c r="BE36" s="38">
        <f t="shared" si="19"/>
        <v>176.65683698694812</v>
      </c>
    </row>
    <row r="37" spans="1:57" ht="15.75">
      <c r="A37" s="67">
        <v>35</v>
      </c>
      <c r="B37" s="66">
        <v>5</v>
      </c>
      <c r="C37" s="66" t="s">
        <v>415</v>
      </c>
      <c r="D37" s="66" t="s">
        <v>409</v>
      </c>
      <c r="E37" s="66" t="s">
        <v>410</v>
      </c>
      <c r="F37" s="66" t="s">
        <v>411</v>
      </c>
      <c r="G37" s="66">
        <v>5</v>
      </c>
      <c r="H37" s="66" t="s">
        <v>431</v>
      </c>
      <c r="I37" s="66">
        <v>100</v>
      </c>
      <c r="J37" s="66">
        <v>7.93</v>
      </c>
      <c r="K37" s="66">
        <v>30</v>
      </c>
      <c r="L37" s="66" t="s">
        <v>96</v>
      </c>
      <c r="M37" s="66">
        <v>1</v>
      </c>
      <c r="N37"/>
      <c r="O37"/>
      <c r="P37"/>
      <c r="Q37" s="108">
        <v>10</v>
      </c>
      <c r="R37" s="53">
        <v>8</v>
      </c>
      <c r="S37" s="53">
        <f t="shared" si="0"/>
        <v>2</v>
      </c>
      <c r="T37" s="82">
        <v>145</v>
      </c>
      <c r="U37" s="82" t="s">
        <v>225</v>
      </c>
      <c r="V37" s="83">
        <v>2.3385864999999999</v>
      </c>
      <c r="W37" s="83">
        <v>488.00607306142768</v>
      </c>
      <c r="X37" s="83">
        <v>2.1636652500000002</v>
      </c>
      <c r="Y37" s="83">
        <v>-17.809496331901883</v>
      </c>
      <c r="Z37" s="69" t="s">
        <v>54</v>
      </c>
      <c r="AA37" s="73">
        <v>5.5661983611111108</v>
      </c>
      <c r="AB37" s="73">
        <v>3.0248816727959098</v>
      </c>
      <c r="AC37" s="73">
        <v>3.9982883888888887</v>
      </c>
      <c r="AD37" s="73">
        <v>-25.508901929003891</v>
      </c>
      <c r="AE37" s="73">
        <v>2.2461111111111109</v>
      </c>
      <c r="AF37" s="73">
        <v>2.2461111111111109</v>
      </c>
      <c r="AG37" s="32">
        <f t="shared" si="1"/>
        <v>1.1379460310984945E-2</v>
      </c>
      <c r="AH37" s="32">
        <f t="shared" si="2"/>
        <v>0.25846953038557846</v>
      </c>
      <c r="AI37" s="33">
        <f t="shared" si="3"/>
        <v>2.6611852260555194E-2</v>
      </c>
      <c r="AJ37" s="34">
        <f t="shared" si="4"/>
        <v>0.55924154107909529</v>
      </c>
      <c r="AK37" s="16">
        <f t="shared" si="5"/>
        <v>1.1310037210735958E-2</v>
      </c>
      <c r="AL37" s="16">
        <f t="shared" si="14"/>
        <v>0.23767765495861548</v>
      </c>
      <c r="AM37" s="27">
        <f t="shared" si="20"/>
        <v>11.310037210735958</v>
      </c>
      <c r="AN37" s="27">
        <f t="shared" si="20"/>
        <v>237.67765495861548</v>
      </c>
      <c r="AO37" s="29" t="e">
        <f t="shared" si="15"/>
        <v>#VALUE!</v>
      </c>
      <c r="AP37" s="29" t="e">
        <f t="shared" si="16"/>
        <v>#VALUE!</v>
      </c>
      <c r="AQ37" s="27">
        <f t="shared" si="7"/>
        <v>21.014754463672496</v>
      </c>
      <c r="AR37" s="14">
        <f t="shared" si="8"/>
        <v>486.96119138863179</v>
      </c>
      <c r="AS37" s="25">
        <v>0.36620000000000003</v>
      </c>
      <c r="AT37" s="22">
        <f t="shared" si="9"/>
        <v>0.54363538524329125</v>
      </c>
      <c r="AU37" s="22">
        <f t="shared" si="10"/>
        <v>0.17743538524329122</v>
      </c>
      <c r="AV37" s="15"/>
      <c r="AW37" s="22"/>
      <c r="AX37" s="34">
        <f t="shared" si="11"/>
        <v>1774.3538524329124</v>
      </c>
      <c r="AY37" s="14">
        <f t="shared" si="12"/>
        <v>-18.330594402897994</v>
      </c>
      <c r="AZ37" s="25">
        <v>1.0819000000000001</v>
      </c>
      <c r="BA37" s="22">
        <f t="shared" si="17"/>
        <v>1.0910663374500171</v>
      </c>
      <c r="BB37" s="38">
        <f t="shared" si="18"/>
        <v>9.166337450017048E-3</v>
      </c>
      <c r="BC37" s="15"/>
      <c r="BD37" s="38"/>
      <c r="BE37" s="38">
        <f t="shared" si="19"/>
        <v>91.663374500170477</v>
      </c>
    </row>
    <row r="38" spans="1:57" ht="15.75">
      <c r="A38" s="67">
        <v>36</v>
      </c>
      <c r="B38" s="66">
        <v>5</v>
      </c>
      <c r="C38" s="66" t="s">
        <v>417</v>
      </c>
      <c r="D38" s="66" t="s">
        <v>426</v>
      </c>
      <c r="E38" s="66" t="s">
        <v>410</v>
      </c>
      <c r="F38" s="66" t="s">
        <v>411</v>
      </c>
      <c r="G38" s="66">
        <v>5</v>
      </c>
      <c r="H38" s="66" t="s">
        <v>431</v>
      </c>
      <c r="I38" s="66">
        <v>100</v>
      </c>
      <c r="J38" s="66">
        <v>7.41</v>
      </c>
      <c r="K38" s="66">
        <v>30</v>
      </c>
      <c r="L38" s="66" t="s">
        <v>97</v>
      </c>
      <c r="M38" s="66">
        <v>1</v>
      </c>
      <c r="N38"/>
      <c r="O38"/>
      <c r="P38"/>
      <c r="Q38" s="108">
        <v>10</v>
      </c>
      <c r="R38" s="53">
        <v>8</v>
      </c>
      <c r="S38" s="53">
        <f t="shared" si="0"/>
        <v>2</v>
      </c>
      <c r="T38" s="80">
        <v>146</v>
      </c>
      <c r="U38" s="80" t="s">
        <v>226</v>
      </c>
      <c r="V38" s="81">
        <v>3.8821034999999999</v>
      </c>
      <c r="W38" s="81">
        <v>899.2092567766914</v>
      </c>
      <c r="X38" s="81">
        <v>2.76701825</v>
      </c>
      <c r="Y38" s="81">
        <v>-8.8152251738005187</v>
      </c>
      <c r="Z38" s="69" t="s">
        <v>54</v>
      </c>
      <c r="AA38" s="73">
        <v>5.5661983611111108</v>
      </c>
      <c r="AB38" s="73">
        <v>3.0248816727959098</v>
      </c>
      <c r="AC38" s="73">
        <v>3.9982883888888887</v>
      </c>
      <c r="AD38" s="73">
        <v>-25.508901929003891</v>
      </c>
      <c r="AE38" s="73">
        <v>2.2461111111111109</v>
      </c>
      <c r="AF38" s="73">
        <v>2.2461111111111109</v>
      </c>
      <c r="AG38" s="32">
        <f t="shared" si="1"/>
        <v>1.1379460310984945E-2</v>
      </c>
      <c r="AH38" s="32">
        <f t="shared" si="2"/>
        <v>0.25846953038557846</v>
      </c>
      <c r="AI38" s="33">
        <f t="shared" si="3"/>
        <v>4.4176242701385746E-2</v>
      </c>
      <c r="AJ38" s="34">
        <f t="shared" si="4"/>
        <v>0.71518990764582513</v>
      </c>
      <c r="AK38" s="16">
        <f t="shared" si="5"/>
        <v>1.8774903148088939E-2</v>
      </c>
      <c r="AL38" s="16">
        <f t="shared" si="14"/>
        <v>0.30395571074947569</v>
      </c>
      <c r="AM38" s="27">
        <f t="shared" si="20"/>
        <v>18.774903148088939</v>
      </c>
      <c r="AN38" s="27">
        <f t="shared" si="20"/>
        <v>303.95571074947571</v>
      </c>
      <c r="AO38" s="29" t="e">
        <f t="shared" si="15"/>
        <v>#VALUE!</v>
      </c>
      <c r="AP38" s="29" t="e">
        <f t="shared" si="16"/>
        <v>#VALUE!</v>
      </c>
      <c r="AQ38" s="27">
        <f t="shared" si="7"/>
        <v>16.189468907082734</v>
      </c>
      <c r="AR38" s="14">
        <f t="shared" si="8"/>
        <v>898.16437510389551</v>
      </c>
      <c r="AS38" s="25">
        <v>0.36620000000000003</v>
      </c>
      <c r="AT38" s="22">
        <f t="shared" si="9"/>
        <v>0.69293019833561487</v>
      </c>
      <c r="AU38" s="22">
        <f t="shared" si="10"/>
        <v>0.32673019833561484</v>
      </c>
      <c r="AV38" s="15"/>
      <c r="AW38" s="22"/>
      <c r="AX38" s="34">
        <f t="shared" si="11"/>
        <v>3267.3019833561484</v>
      </c>
      <c r="AY38" s="14">
        <f t="shared" si="12"/>
        <v>-9.3363232447966293</v>
      </c>
      <c r="AZ38" s="25">
        <v>1.0819000000000001</v>
      </c>
      <c r="BA38" s="22">
        <f t="shared" si="17"/>
        <v>1.1009528696322077</v>
      </c>
      <c r="BB38" s="38">
        <f t="shared" si="18"/>
        <v>1.9052869632207647E-2</v>
      </c>
      <c r="BC38" s="15"/>
      <c r="BD38" s="38"/>
      <c r="BE38" s="38">
        <f t="shared" si="19"/>
        <v>190.52869632207648</v>
      </c>
    </row>
    <row r="39" spans="1:57" ht="15.75">
      <c r="A39" s="67">
        <v>37</v>
      </c>
      <c r="B39" s="66">
        <v>5</v>
      </c>
      <c r="C39" s="66" t="s">
        <v>419</v>
      </c>
      <c r="D39" s="66" t="s">
        <v>418</v>
      </c>
      <c r="E39" s="66" t="s">
        <v>410</v>
      </c>
      <c r="F39" s="66" t="s">
        <v>411</v>
      </c>
      <c r="G39" s="66">
        <v>5</v>
      </c>
      <c r="H39" s="66" t="s">
        <v>431</v>
      </c>
      <c r="I39" s="66">
        <v>100</v>
      </c>
      <c r="J39" s="66">
        <v>2.4500000000000002</v>
      </c>
      <c r="K39" s="66">
        <v>30</v>
      </c>
      <c r="L39" s="66" t="s">
        <v>98</v>
      </c>
      <c r="M39" s="66">
        <v>1</v>
      </c>
      <c r="N39"/>
      <c r="O39"/>
      <c r="P39"/>
      <c r="Q39" s="108">
        <v>10</v>
      </c>
      <c r="R39" s="53">
        <v>8</v>
      </c>
      <c r="S39" s="53">
        <f t="shared" si="0"/>
        <v>2</v>
      </c>
      <c r="T39" s="82">
        <v>147</v>
      </c>
      <c r="U39" s="82" t="s">
        <v>227</v>
      </c>
      <c r="V39" s="83">
        <v>2.2015630000000002</v>
      </c>
      <c r="W39" s="83">
        <v>87.193436761395489</v>
      </c>
      <c r="X39" s="83">
        <v>2.9478825</v>
      </c>
      <c r="Y39" s="83">
        <v>-26.276828838355421</v>
      </c>
      <c r="Z39" s="69" t="s">
        <v>54</v>
      </c>
      <c r="AA39" s="73">
        <v>5.5661983611111108</v>
      </c>
      <c r="AB39" s="73">
        <v>3.0248816727959098</v>
      </c>
      <c r="AC39" s="73">
        <v>3.9982883888888887</v>
      </c>
      <c r="AD39" s="73">
        <v>-25.508901929003891</v>
      </c>
      <c r="AE39" s="73">
        <v>2.2461111111111109</v>
      </c>
      <c r="AF39" s="73">
        <v>2.2461111111111109</v>
      </c>
      <c r="AG39" s="32">
        <f t="shared" si="1"/>
        <v>1.1379460310984945E-2</v>
      </c>
      <c r="AH39" s="32">
        <f t="shared" si="2"/>
        <v>0.25846953038557846</v>
      </c>
      <c r="AI39" s="33">
        <f t="shared" si="3"/>
        <v>2.5052598780632949E-2</v>
      </c>
      <c r="AJ39" s="34">
        <f t="shared" si="4"/>
        <v>0.76193780540686495</v>
      </c>
      <c r="AK39" s="16">
        <f t="shared" si="5"/>
        <v>1.0647354481769004E-2</v>
      </c>
      <c r="AL39" s="16">
        <f t="shared" si="14"/>
        <v>0.32382356729791761</v>
      </c>
      <c r="AM39" s="27">
        <f t="shared" si="20"/>
        <v>10.647354481769005</v>
      </c>
      <c r="AN39" s="27">
        <f t="shared" si="20"/>
        <v>323.82356729791763</v>
      </c>
      <c r="AO39" s="29" t="e">
        <f t="shared" si="15"/>
        <v>#VALUE!</v>
      </c>
      <c r="AP39" s="29" t="e">
        <f t="shared" si="16"/>
        <v>#VALUE!</v>
      </c>
      <c r="AQ39" s="27">
        <f t="shared" si="7"/>
        <v>30.413523645933498</v>
      </c>
      <c r="AR39" s="14">
        <f t="shared" si="8"/>
        <v>86.148555088599579</v>
      </c>
      <c r="AS39" s="25">
        <v>0.36620000000000003</v>
      </c>
      <c r="AT39" s="22">
        <f t="shared" si="9"/>
        <v>0.39768039745071787</v>
      </c>
      <c r="AU39" s="22">
        <f t="shared" si="10"/>
        <v>3.1480397450717845E-2</v>
      </c>
      <c r="AV39" s="15"/>
      <c r="AW39" s="22"/>
      <c r="AX39" s="34">
        <f t="shared" si="11"/>
        <v>314.80397450717845</v>
      </c>
      <c r="AY39" s="14">
        <f t="shared" si="12"/>
        <v>-26.797926909351531</v>
      </c>
      <c r="AZ39" s="25">
        <v>1.0819000000000001</v>
      </c>
      <c r="BA39" s="22">
        <f t="shared" si="17"/>
        <v>1.0817572114619276</v>
      </c>
      <c r="BB39" s="38">
        <f t="shared" si="18"/>
        <v>-1.4278853807248026E-4</v>
      </c>
      <c r="BC39" s="15"/>
      <c r="BD39" s="38"/>
      <c r="BE39" s="38">
        <f t="shared" si="19"/>
        <v>-1.4278853807248024</v>
      </c>
    </row>
    <row r="40" spans="1:57" ht="15.75">
      <c r="A40" s="67">
        <v>38</v>
      </c>
      <c r="B40" s="66">
        <v>5</v>
      </c>
      <c r="C40" s="66" t="s">
        <v>421</v>
      </c>
      <c r="D40" s="66" t="s">
        <v>416</v>
      </c>
      <c r="E40" s="66" t="s">
        <v>410</v>
      </c>
      <c r="F40" s="66" t="s">
        <v>411</v>
      </c>
      <c r="G40" s="66">
        <v>5</v>
      </c>
      <c r="H40" s="66" t="s">
        <v>431</v>
      </c>
      <c r="I40" s="66">
        <v>100</v>
      </c>
      <c r="J40" s="66">
        <v>4.43</v>
      </c>
      <c r="K40" s="66">
        <v>30</v>
      </c>
      <c r="L40" s="66" t="s">
        <v>99</v>
      </c>
      <c r="M40" s="66">
        <v>1</v>
      </c>
      <c r="N40"/>
      <c r="O40"/>
      <c r="P40"/>
      <c r="Q40" s="108">
        <v>10</v>
      </c>
      <c r="R40" s="53">
        <v>8</v>
      </c>
      <c r="S40" s="53">
        <f t="shared" si="0"/>
        <v>2</v>
      </c>
      <c r="T40" s="80">
        <v>148</v>
      </c>
      <c r="U40" s="80" t="s">
        <v>228</v>
      </c>
      <c r="V40" s="81">
        <v>1.7487051250000001</v>
      </c>
      <c r="W40" s="81">
        <v>643.48543083379684</v>
      </c>
      <c r="X40" s="81">
        <v>1.5263655</v>
      </c>
      <c r="Y40" s="81">
        <v>-16.03644042721951</v>
      </c>
      <c r="Z40" s="69" t="s">
        <v>54</v>
      </c>
      <c r="AA40" s="73">
        <v>5.5661983611111108</v>
      </c>
      <c r="AB40" s="73">
        <v>3.0248816727959098</v>
      </c>
      <c r="AC40" s="73">
        <v>3.9982883888888887</v>
      </c>
      <c r="AD40" s="73">
        <v>-25.508901929003891</v>
      </c>
      <c r="AE40" s="73">
        <v>2.2461111111111109</v>
      </c>
      <c r="AF40" s="73">
        <v>2.2461111111111109</v>
      </c>
      <c r="AG40" s="32">
        <f t="shared" si="1"/>
        <v>1.1379460310984945E-2</v>
      </c>
      <c r="AH40" s="32">
        <f t="shared" si="2"/>
        <v>0.25846953038557846</v>
      </c>
      <c r="AI40" s="33">
        <f t="shared" si="3"/>
        <v>1.989932056555347E-2</v>
      </c>
      <c r="AJ40" s="34">
        <f t="shared" si="4"/>
        <v>0.39451897398174868</v>
      </c>
      <c r="AK40" s="16">
        <f t="shared" si="5"/>
        <v>8.4572112403602257E-3</v>
      </c>
      <c r="AL40" s="16">
        <f t="shared" si="14"/>
        <v>0.16767056394224319</v>
      </c>
      <c r="AM40" s="27">
        <f t="shared" si="20"/>
        <v>8.4572112403602251</v>
      </c>
      <c r="AN40" s="27">
        <f t="shared" si="20"/>
        <v>167.67056394224321</v>
      </c>
      <c r="AO40" s="29" t="e">
        <f t="shared" si="15"/>
        <v>#VALUE!</v>
      </c>
      <c r="AP40" s="29" t="e">
        <f t="shared" si="16"/>
        <v>#VALUE!</v>
      </c>
      <c r="AQ40" s="27">
        <f t="shared" si="7"/>
        <v>19.825750968838452</v>
      </c>
      <c r="AR40" s="14">
        <f t="shared" si="8"/>
        <v>642.44054916100094</v>
      </c>
      <c r="AS40" s="25">
        <v>0.36620000000000003</v>
      </c>
      <c r="AT40" s="22">
        <f t="shared" si="9"/>
        <v>0.6001377473314875</v>
      </c>
      <c r="AU40" s="22">
        <f t="shared" si="10"/>
        <v>0.23393774733148748</v>
      </c>
      <c r="AV40" s="15"/>
      <c r="AW40" s="22"/>
      <c r="AX40" s="34">
        <f t="shared" si="11"/>
        <v>2339.3774733148748</v>
      </c>
      <c r="AY40" s="14">
        <f t="shared" si="12"/>
        <v>-16.557538498215621</v>
      </c>
      <c r="AZ40" s="25">
        <v>1.0819000000000001</v>
      </c>
      <c r="BA40" s="22">
        <f t="shared" si="17"/>
        <v>1.0930154426998544</v>
      </c>
      <c r="BB40" s="38">
        <f t="shared" si="18"/>
        <v>1.1115442699854317E-2</v>
      </c>
      <c r="BC40" s="15"/>
      <c r="BD40" s="38"/>
      <c r="BE40" s="38">
        <f t="shared" si="19"/>
        <v>111.15442699854316</v>
      </c>
    </row>
    <row r="41" spans="1:57" ht="15.75">
      <c r="A41" s="67">
        <v>39</v>
      </c>
      <c r="B41" s="66">
        <v>5</v>
      </c>
      <c r="C41" s="66" t="s">
        <v>423</v>
      </c>
      <c r="D41" s="66" t="s">
        <v>422</v>
      </c>
      <c r="E41" s="66" t="s">
        <v>410</v>
      </c>
      <c r="F41" s="66" t="s">
        <v>411</v>
      </c>
      <c r="G41" s="66">
        <v>5</v>
      </c>
      <c r="H41" s="66" t="s">
        <v>431</v>
      </c>
      <c r="I41" s="66">
        <v>100</v>
      </c>
      <c r="J41" s="66">
        <v>6.06</v>
      </c>
      <c r="K41" s="66">
        <v>30</v>
      </c>
      <c r="L41" s="66" t="s">
        <v>100</v>
      </c>
      <c r="M41" s="66">
        <v>1</v>
      </c>
      <c r="N41"/>
      <c r="O41"/>
      <c r="P41"/>
      <c r="Q41" s="108">
        <v>10</v>
      </c>
      <c r="R41" s="53">
        <v>8</v>
      </c>
      <c r="S41" s="53">
        <f t="shared" si="0"/>
        <v>2</v>
      </c>
      <c r="T41" s="82">
        <v>149</v>
      </c>
      <c r="U41" s="82" t="s">
        <v>229</v>
      </c>
      <c r="V41" s="83">
        <v>6.4736235000000004</v>
      </c>
      <c r="W41" s="83">
        <v>1240.7116253844927</v>
      </c>
      <c r="X41" s="83">
        <v>7.058573</v>
      </c>
      <c r="Y41" s="83">
        <v>-5.3424633112747841</v>
      </c>
      <c r="Z41" s="69" t="s">
        <v>54</v>
      </c>
      <c r="AA41" s="73">
        <v>5.5661983611111108</v>
      </c>
      <c r="AB41" s="73">
        <v>3.0248816727959098</v>
      </c>
      <c r="AC41" s="73">
        <v>3.9982883888888887</v>
      </c>
      <c r="AD41" s="73">
        <v>-25.508901929003891</v>
      </c>
      <c r="AE41" s="73">
        <v>2.2461111111111109</v>
      </c>
      <c r="AF41" s="73">
        <v>2.2461111111111109</v>
      </c>
      <c r="AG41" s="32">
        <f t="shared" si="1"/>
        <v>1.1379460310984945E-2</v>
      </c>
      <c r="AH41" s="32">
        <f t="shared" si="2"/>
        <v>0.25846953038557846</v>
      </c>
      <c r="AI41" s="33">
        <f t="shared" si="3"/>
        <v>7.3666341686509457E-2</v>
      </c>
      <c r="AJ41" s="34">
        <f t="shared" si="4"/>
        <v>1.8244260485023238</v>
      </c>
      <c r="AK41" s="16">
        <f t="shared" si="5"/>
        <v>3.1308195216766518E-2</v>
      </c>
      <c r="AL41" s="16">
        <f t="shared" si="14"/>
        <v>0.7753810706134876</v>
      </c>
      <c r="AM41" s="27">
        <f t="shared" si="20"/>
        <v>31.308195216766517</v>
      </c>
      <c r="AN41" s="27">
        <f t="shared" si="20"/>
        <v>775.38107061348762</v>
      </c>
      <c r="AO41" s="29" t="e">
        <f t="shared" si="15"/>
        <v>#VALUE!</v>
      </c>
      <c r="AP41" s="29" t="e">
        <f t="shared" si="16"/>
        <v>#VALUE!</v>
      </c>
      <c r="AQ41" s="27">
        <f t="shared" si="7"/>
        <v>24.766073714726513</v>
      </c>
      <c r="AR41" s="14">
        <f t="shared" si="8"/>
        <v>1239.6667437116967</v>
      </c>
      <c r="AS41" s="25">
        <v>0.36620000000000003</v>
      </c>
      <c r="AT41" s="22">
        <f t="shared" si="9"/>
        <v>0.81657859123899357</v>
      </c>
      <c r="AU41" s="22">
        <f t="shared" si="10"/>
        <v>0.45037859123899354</v>
      </c>
      <c r="AV41" s="15"/>
      <c r="AW41" s="22"/>
      <c r="AX41" s="34">
        <f t="shared" si="11"/>
        <v>4503.7859123899352</v>
      </c>
      <c r="AY41" s="14">
        <f t="shared" si="12"/>
        <v>-5.8635613822708947</v>
      </c>
      <c r="AZ41" s="25">
        <v>1.0819000000000001</v>
      </c>
      <c r="BA41" s="22">
        <f t="shared" si="17"/>
        <v>1.1047696119328252</v>
      </c>
      <c r="BB41" s="38">
        <f t="shared" si="18"/>
        <v>2.2869611932825107E-2</v>
      </c>
      <c r="BC41" s="15"/>
      <c r="BD41" s="38"/>
      <c r="BE41" s="38">
        <f t="shared" si="19"/>
        <v>228.69611932825106</v>
      </c>
    </row>
    <row r="42" spans="1:57" ht="15.75">
      <c r="A42" s="67">
        <v>40</v>
      </c>
      <c r="B42" s="66">
        <v>5</v>
      </c>
      <c r="C42" s="66" t="s">
        <v>425</v>
      </c>
      <c r="D42" s="66" t="s">
        <v>414</v>
      </c>
      <c r="E42" s="66" t="s">
        <v>410</v>
      </c>
      <c r="F42" s="66" t="s">
        <v>411</v>
      </c>
      <c r="G42" s="66">
        <v>5</v>
      </c>
      <c r="H42" s="66" t="s">
        <v>431</v>
      </c>
      <c r="I42" s="66">
        <v>100</v>
      </c>
      <c r="J42" s="66">
        <v>9.0299999999999994</v>
      </c>
      <c r="K42" s="66">
        <v>30</v>
      </c>
      <c r="L42" s="66" t="s">
        <v>101</v>
      </c>
      <c r="M42" s="66">
        <v>1</v>
      </c>
      <c r="N42"/>
      <c r="O42"/>
      <c r="P42"/>
      <c r="Q42" s="108">
        <v>10</v>
      </c>
      <c r="R42" s="53">
        <v>8</v>
      </c>
      <c r="S42" s="53">
        <f t="shared" si="0"/>
        <v>2</v>
      </c>
      <c r="T42" s="80">
        <v>150</v>
      </c>
      <c r="U42" s="80" t="s">
        <v>230</v>
      </c>
      <c r="V42" s="81">
        <v>0.57499068750000004</v>
      </c>
      <c r="W42" s="81">
        <v>145.94464961842473</v>
      </c>
      <c r="X42" s="81">
        <v>0.40933781250000001</v>
      </c>
      <c r="Y42" s="81">
        <v>-30.387247718947929</v>
      </c>
      <c r="Z42" s="69" t="s">
        <v>54</v>
      </c>
      <c r="AA42" s="73">
        <v>5.5661983611111108</v>
      </c>
      <c r="AB42" s="73">
        <v>3.0248816727959098</v>
      </c>
      <c r="AC42" s="73">
        <v>3.9982883888888887</v>
      </c>
      <c r="AD42" s="73">
        <v>-25.508901929003891</v>
      </c>
      <c r="AE42" s="73">
        <v>2.2461111111111109</v>
      </c>
      <c r="AF42" s="73">
        <v>2.2461111111111109</v>
      </c>
      <c r="AG42" s="32">
        <f t="shared" si="1"/>
        <v>1.1379460310984945E-2</v>
      </c>
      <c r="AH42" s="32">
        <f t="shared" si="2"/>
        <v>0.25846953038557846</v>
      </c>
      <c r="AI42" s="33">
        <f t="shared" si="3"/>
        <v>6.5430837075921983E-3</v>
      </c>
      <c r="AJ42" s="34">
        <f t="shared" si="4"/>
        <v>0.10580135216593498</v>
      </c>
      <c r="AK42" s="16">
        <f t="shared" si="5"/>
        <v>2.7808105757266845E-3</v>
      </c>
      <c r="AL42" s="16">
        <f t="shared" si="14"/>
        <v>4.4965574670522368E-2</v>
      </c>
      <c r="AM42" s="27">
        <f t="shared" si="20"/>
        <v>2.7808105757266843</v>
      </c>
      <c r="AN42" s="27">
        <f t="shared" si="20"/>
        <v>44.965574670522365</v>
      </c>
      <c r="AO42" s="29" t="e">
        <f t="shared" si="15"/>
        <v>#VALUE!</v>
      </c>
      <c r="AP42" s="29" t="e">
        <f t="shared" si="16"/>
        <v>#VALUE!</v>
      </c>
      <c r="AQ42" s="27">
        <f t="shared" si="7"/>
        <v>16.169952409927063</v>
      </c>
      <c r="AR42" s="14">
        <f t="shared" si="8"/>
        <v>144.89976794562881</v>
      </c>
      <c r="AS42" s="25">
        <v>0.36620000000000003</v>
      </c>
      <c r="AT42" s="22">
        <f t="shared" si="9"/>
        <v>0.41910130334814061</v>
      </c>
      <c r="AU42" s="22">
        <f t="shared" si="10"/>
        <v>5.2901303348140583E-2</v>
      </c>
      <c r="AV42" s="15"/>
      <c r="AW42" s="22"/>
      <c r="AX42" s="34">
        <f t="shared" si="11"/>
        <v>529.01303348140584</v>
      </c>
      <c r="AY42" s="14">
        <f t="shared" si="12"/>
        <v>-30.90834578994404</v>
      </c>
      <c r="AZ42" s="25">
        <v>1.0819000000000001</v>
      </c>
      <c r="BA42" s="22">
        <f t="shared" si="17"/>
        <v>1.0772375168495882</v>
      </c>
      <c r="BB42" s="38">
        <f t="shared" si="18"/>
        <v>-4.6624831504118447E-3</v>
      </c>
      <c r="BC42" s="15"/>
      <c r="BD42" s="38"/>
      <c r="BE42" s="38">
        <f t="shared" si="19"/>
        <v>-46.624831504118447</v>
      </c>
    </row>
    <row r="43" spans="1:57" ht="15.75">
      <c r="A43" s="67">
        <v>41</v>
      </c>
      <c r="B43" s="66">
        <v>6</v>
      </c>
      <c r="C43" s="66" t="s">
        <v>408</v>
      </c>
      <c r="D43" s="66" t="s">
        <v>422</v>
      </c>
      <c r="E43" s="66" t="s">
        <v>410</v>
      </c>
      <c r="F43" s="66" t="s">
        <v>411</v>
      </c>
      <c r="G43" s="66">
        <v>6</v>
      </c>
      <c r="H43" s="66" t="s">
        <v>432</v>
      </c>
      <c r="I43" s="66">
        <v>100</v>
      </c>
      <c r="J43" s="66">
        <v>6.04</v>
      </c>
      <c r="K43" s="66">
        <v>30</v>
      </c>
      <c r="L43" s="66" t="s">
        <v>102</v>
      </c>
      <c r="M43" s="66">
        <v>1</v>
      </c>
      <c r="N43"/>
      <c r="O43"/>
      <c r="P43"/>
      <c r="Q43" s="108">
        <v>10</v>
      </c>
      <c r="R43" s="53">
        <v>8</v>
      </c>
      <c r="S43" s="53">
        <f t="shared" si="0"/>
        <v>2</v>
      </c>
      <c r="T43" s="82">
        <v>151</v>
      </c>
      <c r="U43" s="82" t="s">
        <v>231</v>
      </c>
      <c r="V43" s="83">
        <v>9.3584420000000001</v>
      </c>
      <c r="W43" s="83">
        <v>1010.8631779827876</v>
      </c>
      <c r="X43" s="83">
        <v>8.8492639999999998</v>
      </c>
      <c r="Y43" s="83">
        <v>-10.236046165607096</v>
      </c>
      <c r="Z43" s="69" t="s">
        <v>54</v>
      </c>
      <c r="AA43" s="73">
        <v>5.5661983611111108</v>
      </c>
      <c r="AB43" s="73">
        <v>3.0248816727959098</v>
      </c>
      <c r="AC43" s="73">
        <v>3.9982883888888887</v>
      </c>
      <c r="AD43" s="73">
        <v>-25.508901929003891</v>
      </c>
      <c r="AE43" s="73">
        <v>2.2461111111111109</v>
      </c>
      <c r="AF43" s="73">
        <v>2.2461111111111109</v>
      </c>
      <c r="AG43" s="32">
        <f t="shared" si="1"/>
        <v>1.1379460310984945E-2</v>
      </c>
      <c r="AH43" s="32">
        <f t="shared" si="2"/>
        <v>0.25846953038557846</v>
      </c>
      <c r="AI43" s="33">
        <f t="shared" si="3"/>
        <v>0.10649401931165457</v>
      </c>
      <c r="AJ43" s="34">
        <f t="shared" si="4"/>
        <v>2.2872651103380055</v>
      </c>
      <c r="AK43" s="16">
        <f t="shared" si="5"/>
        <v>4.5259958207453189E-2</v>
      </c>
      <c r="AL43" s="16">
        <f t="shared" si="14"/>
        <v>0.97208767189365231</v>
      </c>
      <c r="AM43" s="27">
        <f t="shared" si="20"/>
        <v>45.259958207453188</v>
      </c>
      <c r="AN43" s="27">
        <f t="shared" si="20"/>
        <v>972.08767189365233</v>
      </c>
      <c r="AO43" s="29" t="e">
        <f t="shared" si="15"/>
        <v>#VALUE!</v>
      </c>
      <c r="AP43" s="29" t="e">
        <f t="shared" si="16"/>
        <v>#VALUE!</v>
      </c>
      <c r="AQ43" s="27">
        <f t="shared" si="7"/>
        <v>21.477873829180282</v>
      </c>
      <c r="AR43" s="14">
        <f t="shared" si="8"/>
        <v>1009.8182963099918</v>
      </c>
      <c r="AS43" s="25">
        <v>0.36620000000000003</v>
      </c>
      <c r="AT43" s="22">
        <f t="shared" si="9"/>
        <v>0.7333908466346819</v>
      </c>
      <c r="AU43" s="22">
        <f t="shared" si="10"/>
        <v>0.36719084663468188</v>
      </c>
      <c r="AV43" s="15"/>
      <c r="AW43" s="22"/>
      <c r="AX43" s="34">
        <f t="shared" si="11"/>
        <v>3671.9084663468188</v>
      </c>
      <c r="AY43" s="14">
        <f t="shared" si="12"/>
        <v>-10.757144236603207</v>
      </c>
      <c r="AZ43" s="25">
        <v>1.0819000000000001</v>
      </c>
      <c r="BA43" s="22">
        <f t="shared" si="17"/>
        <v>1.099391230015494</v>
      </c>
      <c r="BB43" s="38">
        <f t="shared" si="18"/>
        <v>1.7491230015493908E-2</v>
      </c>
      <c r="BC43" s="15"/>
      <c r="BD43" s="38"/>
      <c r="BE43" s="38">
        <f t="shared" si="19"/>
        <v>174.91230015493909</v>
      </c>
    </row>
    <row r="44" spans="1:57" ht="15.75">
      <c r="A44" s="67">
        <v>42</v>
      </c>
      <c r="B44" s="66">
        <v>6</v>
      </c>
      <c r="C44" s="66" t="s">
        <v>413</v>
      </c>
      <c r="D44" s="66" t="s">
        <v>426</v>
      </c>
      <c r="E44" s="66" t="s">
        <v>410</v>
      </c>
      <c r="F44" s="66" t="s">
        <v>411</v>
      </c>
      <c r="G44" s="66">
        <v>6</v>
      </c>
      <c r="H44" s="66" t="s">
        <v>432</v>
      </c>
      <c r="I44" s="66">
        <v>100</v>
      </c>
      <c r="J44" s="66">
        <v>5.61</v>
      </c>
      <c r="K44" s="66">
        <v>30</v>
      </c>
      <c r="L44" s="66" t="s">
        <v>103</v>
      </c>
      <c r="M44" s="66">
        <v>1</v>
      </c>
      <c r="N44"/>
      <c r="O44"/>
      <c r="P44"/>
      <c r="Q44" s="108">
        <v>10</v>
      </c>
      <c r="R44" s="53">
        <v>8</v>
      </c>
      <c r="S44" s="53">
        <f t="shared" si="0"/>
        <v>2</v>
      </c>
      <c r="T44" s="80">
        <v>152</v>
      </c>
      <c r="U44" s="80" t="s">
        <v>232</v>
      </c>
      <c r="V44" s="81">
        <v>1.8265271249999999</v>
      </c>
      <c r="W44" s="81">
        <v>98.052499382423022</v>
      </c>
      <c r="X44" s="81">
        <v>1.2374536249999999</v>
      </c>
      <c r="Y44" s="81">
        <v>-25.637604219821377</v>
      </c>
      <c r="Z44" s="69" t="s">
        <v>54</v>
      </c>
      <c r="AA44" s="73">
        <v>5.5661983611111108</v>
      </c>
      <c r="AB44" s="73">
        <v>3.0248816727959098</v>
      </c>
      <c r="AC44" s="73">
        <v>3.9982883888888887</v>
      </c>
      <c r="AD44" s="73">
        <v>-25.508901929003891</v>
      </c>
      <c r="AE44" s="73">
        <v>2.2461111111111109</v>
      </c>
      <c r="AF44" s="73">
        <v>2.2461111111111109</v>
      </c>
      <c r="AG44" s="32">
        <f t="shared" si="1"/>
        <v>1.1379460310984945E-2</v>
      </c>
      <c r="AH44" s="32">
        <f t="shared" si="2"/>
        <v>0.25846953038557846</v>
      </c>
      <c r="AI44" s="33">
        <f t="shared" si="3"/>
        <v>2.0784892925874938E-2</v>
      </c>
      <c r="AJ44" s="34">
        <f t="shared" si="4"/>
        <v>0.31984405732768167</v>
      </c>
      <c r="AK44" s="16">
        <f t="shared" si="5"/>
        <v>8.8335794934968487E-3</v>
      </c>
      <c r="AL44" s="16">
        <f t="shared" si="14"/>
        <v>0.13593372436426471</v>
      </c>
      <c r="AM44" s="27">
        <f t="shared" si="20"/>
        <v>8.833579493496849</v>
      </c>
      <c r="AN44" s="27">
        <f t="shared" si="20"/>
        <v>135.93372436426472</v>
      </c>
      <c r="AO44" s="29" t="e">
        <f t="shared" si="15"/>
        <v>#VALUE!</v>
      </c>
      <c r="AP44" s="29" t="e">
        <f t="shared" si="16"/>
        <v>#VALUE!</v>
      </c>
      <c r="AQ44" s="27">
        <f t="shared" si="7"/>
        <v>15.388294684429695</v>
      </c>
      <c r="AR44" s="14">
        <f t="shared" si="8"/>
        <v>97.007617709627112</v>
      </c>
      <c r="AS44" s="25">
        <v>0.36620000000000003</v>
      </c>
      <c r="AT44" s="22">
        <f t="shared" si="9"/>
        <v>0.4016403454120655</v>
      </c>
      <c r="AU44" s="22">
        <f t="shared" si="10"/>
        <v>3.5440345412065477E-2</v>
      </c>
      <c r="AV44" s="15"/>
      <c r="AW44" s="22"/>
      <c r="AX44" s="34">
        <f t="shared" si="11"/>
        <v>354.40345412065477</v>
      </c>
      <c r="AY44" s="14">
        <f t="shared" si="12"/>
        <v>-26.158702290817487</v>
      </c>
      <c r="AZ44" s="25">
        <v>1.0819000000000001</v>
      </c>
      <c r="BA44" s="22">
        <f t="shared" si="17"/>
        <v>1.0824600467741403</v>
      </c>
      <c r="BB44" s="38">
        <f t="shared" si="18"/>
        <v>5.6004677414023263E-4</v>
      </c>
      <c r="BC44" s="15"/>
      <c r="BD44" s="38"/>
      <c r="BE44" s="38">
        <f t="shared" si="19"/>
        <v>5.6004677414023263</v>
      </c>
    </row>
    <row r="45" spans="1:57" ht="15.75">
      <c r="A45" s="67">
        <v>43</v>
      </c>
      <c r="B45" s="66">
        <v>6</v>
      </c>
      <c r="C45" s="66" t="s">
        <v>415</v>
      </c>
      <c r="D45" s="66" t="s">
        <v>424</v>
      </c>
      <c r="E45" s="66" t="s">
        <v>410</v>
      </c>
      <c r="F45" s="66" t="s">
        <v>411</v>
      </c>
      <c r="G45" s="66">
        <v>6</v>
      </c>
      <c r="H45" s="66" t="s">
        <v>432</v>
      </c>
      <c r="I45" s="66">
        <v>100</v>
      </c>
      <c r="J45" s="66">
        <v>5.67</v>
      </c>
      <c r="K45" s="66">
        <v>30</v>
      </c>
      <c r="L45" s="66" t="s">
        <v>104</v>
      </c>
      <c r="M45" s="66">
        <v>1</v>
      </c>
      <c r="N45"/>
      <c r="O45"/>
      <c r="P45"/>
      <c r="Q45" s="108">
        <v>10</v>
      </c>
      <c r="R45" s="53">
        <v>8</v>
      </c>
      <c r="S45" s="53">
        <f t="shared" si="0"/>
        <v>2</v>
      </c>
      <c r="T45" s="82">
        <v>153</v>
      </c>
      <c r="U45" s="82" t="s">
        <v>233</v>
      </c>
      <c r="V45" s="83">
        <v>10.547076000000001</v>
      </c>
      <c r="W45" s="83">
        <v>142.98151058122454</v>
      </c>
      <c r="X45" s="83">
        <v>6.7246439999999996</v>
      </c>
      <c r="Y45" s="83">
        <v>-25.025649028134424</v>
      </c>
      <c r="Z45" s="69" t="s">
        <v>54</v>
      </c>
      <c r="AA45" s="73">
        <v>5.5661983611111108</v>
      </c>
      <c r="AB45" s="73">
        <v>3.0248816727959098</v>
      </c>
      <c r="AC45" s="73">
        <v>3.9982883888888887</v>
      </c>
      <c r="AD45" s="73">
        <v>-25.508901929003891</v>
      </c>
      <c r="AE45" s="73">
        <v>2.2461111111111109</v>
      </c>
      <c r="AF45" s="73">
        <v>2.2461111111111109</v>
      </c>
      <c r="AG45" s="32">
        <f t="shared" si="1"/>
        <v>1.1379460310984945E-2</v>
      </c>
      <c r="AH45" s="32">
        <f t="shared" si="2"/>
        <v>0.25846953038557846</v>
      </c>
      <c r="AI45" s="33">
        <f t="shared" si="3"/>
        <v>0.12002003273894186</v>
      </c>
      <c r="AJ45" s="34">
        <f t="shared" si="4"/>
        <v>1.7381155766901979</v>
      </c>
      <c r="AK45" s="16">
        <f t="shared" si="5"/>
        <v>5.1008513914050292E-2</v>
      </c>
      <c r="AL45" s="16">
        <f t="shared" si="14"/>
        <v>0.73869912009333405</v>
      </c>
      <c r="AM45" s="27">
        <f t="shared" si="20"/>
        <v>51.00851391405029</v>
      </c>
      <c r="AN45" s="27">
        <f t="shared" si="20"/>
        <v>738.69912009333405</v>
      </c>
      <c r="AO45" s="29" t="e">
        <f t="shared" si="15"/>
        <v>#VALUE!</v>
      </c>
      <c r="AP45" s="29" t="e">
        <f t="shared" si="16"/>
        <v>#VALUE!</v>
      </c>
      <c r="AQ45" s="27">
        <f t="shared" si="7"/>
        <v>14.481878874927572</v>
      </c>
      <c r="AR45" s="14">
        <f t="shared" si="8"/>
        <v>141.93662890842864</v>
      </c>
      <c r="AS45" s="25">
        <v>0.36620000000000003</v>
      </c>
      <c r="AT45" s="22">
        <f t="shared" si="9"/>
        <v>0.41802115271074686</v>
      </c>
      <c r="AU45" s="22">
        <f t="shared" si="10"/>
        <v>5.1821152710746832E-2</v>
      </c>
      <c r="AV45" s="15"/>
      <c r="AW45" s="22"/>
      <c r="AX45" s="34">
        <f t="shared" si="11"/>
        <v>518.21152710746833</v>
      </c>
      <c r="AY45" s="14">
        <f t="shared" si="12"/>
        <v>-25.546747099130535</v>
      </c>
      <c r="AZ45" s="25">
        <v>1.0819000000000001</v>
      </c>
      <c r="BA45" s="22">
        <f t="shared" si="17"/>
        <v>1.0831328896593957</v>
      </c>
      <c r="BB45" s="38">
        <f t="shared" si="18"/>
        <v>1.2328896593956085E-3</v>
      </c>
      <c r="BC45" s="15"/>
      <c r="BD45" s="38"/>
      <c r="BE45" s="38">
        <f t="shared" si="19"/>
        <v>12.328896593956085</v>
      </c>
    </row>
    <row r="46" spans="1:57" s="24" customFormat="1" ht="15.75">
      <c r="A46" s="67">
        <v>44</v>
      </c>
      <c r="B46" s="66">
        <v>6</v>
      </c>
      <c r="C46" s="66" t="s">
        <v>417</v>
      </c>
      <c r="D46" s="66" t="s">
        <v>409</v>
      </c>
      <c r="E46" s="66" t="s">
        <v>410</v>
      </c>
      <c r="F46" s="66" t="s">
        <v>411</v>
      </c>
      <c r="G46" s="66">
        <v>6</v>
      </c>
      <c r="H46" s="66" t="s">
        <v>432</v>
      </c>
      <c r="I46" s="66">
        <v>100</v>
      </c>
      <c r="J46" s="66">
        <v>6.1</v>
      </c>
      <c r="K46" s="66">
        <v>30</v>
      </c>
      <c r="L46" s="66" t="s">
        <v>105</v>
      </c>
      <c r="M46" s="66">
        <v>1</v>
      </c>
      <c r="N46"/>
      <c r="O46"/>
      <c r="P46"/>
      <c r="Q46" s="108">
        <v>10</v>
      </c>
      <c r="R46" s="53">
        <v>8</v>
      </c>
      <c r="S46" s="53">
        <f t="shared" si="0"/>
        <v>2</v>
      </c>
      <c r="T46" s="80">
        <v>154</v>
      </c>
      <c r="U46" s="80" t="s">
        <v>234</v>
      </c>
      <c r="V46" s="81">
        <v>2.7772785</v>
      </c>
      <c r="W46" s="81">
        <v>1122.5633208259637</v>
      </c>
      <c r="X46" s="81">
        <v>2.6510229999999999</v>
      </c>
      <c r="Y46" s="81">
        <v>-3.9764548558250978</v>
      </c>
      <c r="Z46" s="69" t="s">
        <v>54</v>
      </c>
      <c r="AA46" s="73">
        <v>5.5661983611111108</v>
      </c>
      <c r="AB46" s="73">
        <v>3.0248816727959098</v>
      </c>
      <c r="AC46" s="73">
        <v>3.9982883888888887</v>
      </c>
      <c r="AD46" s="73">
        <v>-25.508901929003891</v>
      </c>
      <c r="AE46" s="73">
        <v>2.2461111111111109</v>
      </c>
      <c r="AF46" s="73">
        <v>2.2461111111111109</v>
      </c>
      <c r="AG46" s="32">
        <f t="shared" si="1"/>
        <v>1.1379460310984945E-2</v>
      </c>
      <c r="AH46" s="32">
        <f t="shared" si="2"/>
        <v>0.25846953038557846</v>
      </c>
      <c r="AI46" s="33">
        <f t="shared" si="3"/>
        <v>3.1603930463301802E-2</v>
      </c>
      <c r="AJ46" s="34">
        <f t="shared" si="4"/>
        <v>0.6852086698513673</v>
      </c>
      <c r="AK46" s="16">
        <f t="shared" si="5"/>
        <v>1.3431670446903266E-2</v>
      </c>
      <c r="AL46" s="16">
        <f t="shared" si="14"/>
        <v>0.29121368468683112</v>
      </c>
      <c r="AM46" s="27">
        <f t="shared" si="20"/>
        <v>13.431670446903265</v>
      </c>
      <c r="AN46" s="27">
        <f t="shared" si="20"/>
        <v>291.21368468683113</v>
      </c>
      <c r="AO46" s="29" t="e">
        <f t="shared" si="15"/>
        <v>#VALUE!</v>
      </c>
      <c r="AP46" s="29" t="e">
        <f t="shared" si="16"/>
        <v>#VALUE!</v>
      </c>
      <c r="AQ46" s="27">
        <f t="shared" si="7"/>
        <v>21.681121930293621</v>
      </c>
      <c r="AR46" s="14">
        <f t="shared" si="8"/>
        <v>1121.5184391531677</v>
      </c>
      <c r="AS46" s="25">
        <v>0.36620000000000003</v>
      </c>
      <c r="AT46" s="22">
        <f t="shared" si="9"/>
        <v>0.77383526775086819</v>
      </c>
      <c r="AU46" s="22">
        <f t="shared" si="10"/>
        <v>0.40763526775086817</v>
      </c>
      <c r="AV46" s="15"/>
      <c r="AW46" s="22"/>
      <c r="AX46" s="34">
        <f t="shared" si="11"/>
        <v>4076.3526775086821</v>
      </c>
      <c r="AY46" s="14">
        <f t="shared" si="12"/>
        <v>-4.4975529268212089</v>
      </c>
      <c r="AZ46" s="25">
        <v>1.0819000000000001</v>
      </c>
      <c r="BA46" s="22">
        <f t="shared" si="17"/>
        <v>1.1062708441253624</v>
      </c>
      <c r="BB46" s="38">
        <f t="shared" si="18"/>
        <v>2.4370844125362279E-2</v>
      </c>
      <c r="BC46" s="15"/>
      <c r="BD46" s="38"/>
      <c r="BE46" s="38">
        <f t="shared" si="19"/>
        <v>243.70844125362279</v>
      </c>
    </row>
    <row r="47" spans="1:57" s="24" customFormat="1" ht="15.75">
      <c r="A47" s="67">
        <v>45</v>
      </c>
      <c r="B47" s="66">
        <v>6</v>
      </c>
      <c r="C47" s="66" t="s">
        <v>419</v>
      </c>
      <c r="D47" s="66" t="s">
        <v>416</v>
      </c>
      <c r="E47" s="66" t="s">
        <v>410</v>
      </c>
      <c r="F47" s="66" t="s">
        <v>411</v>
      </c>
      <c r="G47" s="66">
        <v>6</v>
      </c>
      <c r="H47" s="66" t="s">
        <v>432</v>
      </c>
      <c r="I47" s="66">
        <v>100</v>
      </c>
      <c r="J47" s="66">
        <v>8.4499999999999993</v>
      </c>
      <c r="K47" s="66">
        <v>30</v>
      </c>
      <c r="L47" s="66" t="s">
        <v>433</v>
      </c>
      <c r="M47" s="66">
        <v>1</v>
      </c>
      <c r="N47"/>
      <c r="O47"/>
      <c r="P47"/>
      <c r="Q47" s="108">
        <v>10</v>
      </c>
      <c r="R47" s="53">
        <v>8</v>
      </c>
      <c r="S47" s="53">
        <f t="shared" si="0"/>
        <v>2</v>
      </c>
      <c r="T47" s="80">
        <v>156</v>
      </c>
      <c r="U47" s="80" t="s">
        <v>236</v>
      </c>
      <c r="V47" s="81">
        <v>2.0423464999999998</v>
      </c>
      <c r="W47" s="81">
        <v>553.10537659981321</v>
      </c>
      <c r="X47" s="81">
        <v>1.3697103749999999</v>
      </c>
      <c r="Y47" s="81">
        <v>-15.713237400513844</v>
      </c>
      <c r="Z47" s="69" t="s">
        <v>54</v>
      </c>
      <c r="AA47" s="73">
        <v>5.5661983611111108</v>
      </c>
      <c r="AB47" s="73">
        <v>3.0248816727959098</v>
      </c>
      <c r="AC47" s="73">
        <v>3.9982883888888887</v>
      </c>
      <c r="AD47" s="73">
        <v>-25.508901929003891</v>
      </c>
      <c r="AE47" s="73">
        <v>2.2461111111111109</v>
      </c>
      <c r="AF47" s="73">
        <v>2.2461111111111109</v>
      </c>
      <c r="AG47" s="32">
        <f t="shared" si="1"/>
        <v>1.1379460310984945E-2</v>
      </c>
      <c r="AH47" s="32">
        <f t="shared" si="2"/>
        <v>0.25846953038557846</v>
      </c>
      <c r="AI47" s="33">
        <f t="shared" si="3"/>
        <v>2.3240800938029015E-2</v>
      </c>
      <c r="AJ47" s="34">
        <f t="shared" si="4"/>
        <v>0.35402839739050457</v>
      </c>
      <c r="AK47" s="16">
        <f t="shared" si="5"/>
        <v>9.8773403986623307E-3</v>
      </c>
      <c r="AL47" s="16">
        <f t="shared" si="14"/>
        <v>0.15046206889096445</v>
      </c>
      <c r="AM47" s="27">
        <f t="shared" si="20"/>
        <v>9.87734039866233</v>
      </c>
      <c r="AN47" s="27">
        <f t="shared" si="20"/>
        <v>150.46206889096445</v>
      </c>
      <c r="AO47" s="29" t="e">
        <f t="shared" si="15"/>
        <v>#VALUE!</v>
      </c>
      <c r="AP47" s="29" t="e">
        <f t="shared" si="16"/>
        <v>#VALUE!</v>
      </c>
      <c r="AQ47" s="27">
        <f t="shared" si="7"/>
        <v>15.233054933627804</v>
      </c>
      <c r="AR47" s="14">
        <f t="shared" si="8"/>
        <v>552.06049492701732</v>
      </c>
      <c r="AS47" s="25">
        <v>0.36620000000000003</v>
      </c>
      <c r="AT47" s="22">
        <f t="shared" si="9"/>
        <v>0.56730077463020989</v>
      </c>
      <c r="AU47" s="22">
        <f t="shared" si="10"/>
        <v>0.20110077463020987</v>
      </c>
      <c r="AV47" s="15"/>
      <c r="AW47" s="22"/>
      <c r="AX47" s="34">
        <f t="shared" si="11"/>
        <v>2011.0077463020984</v>
      </c>
      <c r="AY47" s="14">
        <f t="shared" si="12"/>
        <v>-16.234335471509954</v>
      </c>
      <c r="AZ47" s="25">
        <v>1.0819000000000001</v>
      </c>
      <c r="BA47" s="22">
        <f t="shared" si="17"/>
        <v>1.0933707287557823</v>
      </c>
      <c r="BB47" s="38">
        <f t="shared" si="18"/>
        <v>1.1470728755782256E-2</v>
      </c>
      <c r="BC47" s="15"/>
      <c r="BD47" s="38"/>
      <c r="BE47" s="38">
        <f t="shared" si="19"/>
        <v>114.70728755782255</v>
      </c>
    </row>
    <row r="48" spans="1:57" s="24" customFormat="1" ht="15.75">
      <c r="A48" s="67">
        <v>46</v>
      </c>
      <c r="B48" s="66">
        <v>6</v>
      </c>
      <c r="C48" s="66" t="s">
        <v>421</v>
      </c>
      <c r="D48" s="66" t="s">
        <v>414</v>
      </c>
      <c r="E48" s="66" t="s">
        <v>410</v>
      </c>
      <c r="F48" s="66" t="s">
        <v>411</v>
      </c>
      <c r="G48" s="66">
        <v>6</v>
      </c>
      <c r="H48" s="66" t="s">
        <v>432</v>
      </c>
      <c r="I48" s="66">
        <v>100</v>
      </c>
      <c r="J48" s="66">
        <v>3.85</v>
      </c>
      <c r="K48" s="66">
        <v>30</v>
      </c>
      <c r="L48" s="66" t="s">
        <v>434</v>
      </c>
      <c r="M48" s="66">
        <v>1</v>
      </c>
      <c r="N48"/>
      <c r="O48"/>
      <c r="P48"/>
      <c r="Q48" s="108">
        <v>10</v>
      </c>
      <c r="R48" s="53">
        <v>8</v>
      </c>
      <c r="S48" s="53">
        <f t="shared" si="0"/>
        <v>2</v>
      </c>
      <c r="T48" s="82">
        <v>157</v>
      </c>
      <c r="U48" s="82" t="s">
        <v>237</v>
      </c>
      <c r="V48" s="83">
        <v>0.8426273125</v>
      </c>
      <c r="W48" s="83">
        <v>273.72693771806121</v>
      </c>
      <c r="X48" s="83">
        <v>0.66150006250000004</v>
      </c>
      <c r="Y48" s="83">
        <v>-18.843044580995027</v>
      </c>
      <c r="Z48" s="69" t="s">
        <v>54</v>
      </c>
      <c r="AA48" s="73">
        <v>5.5661983611111108</v>
      </c>
      <c r="AB48" s="73">
        <v>3.0248816727959098</v>
      </c>
      <c r="AC48" s="73">
        <v>3.9982883888888887</v>
      </c>
      <c r="AD48" s="73">
        <v>-25.508901929003891</v>
      </c>
      <c r="AE48" s="73">
        <v>2.2461111111111109</v>
      </c>
      <c r="AF48" s="73">
        <v>2.2461111111111109</v>
      </c>
      <c r="AG48" s="32">
        <f t="shared" si="1"/>
        <v>1.1379460310984945E-2</v>
      </c>
      <c r="AH48" s="32">
        <f t="shared" si="2"/>
        <v>0.25846953038557846</v>
      </c>
      <c r="AI48" s="33">
        <f t="shared" si="3"/>
        <v>9.5886440595456587E-3</v>
      </c>
      <c r="AJ48" s="34">
        <f t="shared" si="4"/>
        <v>0.17097761050440582</v>
      </c>
      <c r="AK48" s="16">
        <f t="shared" si="5"/>
        <v>4.0751737253069053E-3</v>
      </c>
      <c r="AL48" s="16">
        <f t="shared" si="14"/>
        <v>7.2665484464372473E-2</v>
      </c>
      <c r="AM48" s="27">
        <f t="shared" si="20"/>
        <v>4.0751737253069056</v>
      </c>
      <c r="AN48" s="27">
        <f t="shared" si="20"/>
        <v>72.665484464372469</v>
      </c>
      <c r="AO48" s="29" t="e">
        <f t="shared" si="15"/>
        <v>#VALUE!</v>
      </c>
      <c r="AP48" s="29" t="e">
        <f t="shared" si="16"/>
        <v>#VALUE!</v>
      </c>
      <c r="AQ48" s="27">
        <f t="shared" si="7"/>
        <v>17.831260545561154</v>
      </c>
      <c r="AR48" s="14">
        <f t="shared" si="8"/>
        <v>272.68205604526531</v>
      </c>
      <c r="AS48" s="25">
        <v>0.36620000000000003</v>
      </c>
      <c r="AT48" s="22">
        <f t="shared" si="9"/>
        <v>0.46565939256805894</v>
      </c>
      <c r="AU48" s="22">
        <f t="shared" si="10"/>
        <v>9.9459392568058913E-2</v>
      </c>
      <c r="AV48" s="15"/>
      <c r="AW48" s="22"/>
      <c r="AX48" s="34">
        <f t="shared" si="11"/>
        <v>994.593925680589</v>
      </c>
      <c r="AY48" s="14">
        <f t="shared" si="12"/>
        <v>-19.364142651991138</v>
      </c>
      <c r="AZ48" s="25">
        <v>1.0819000000000001</v>
      </c>
      <c r="BA48" s="22">
        <f t="shared" si="17"/>
        <v>1.0899301312236787</v>
      </c>
      <c r="BB48" s="38">
        <f t="shared" si="18"/>
        <v>8.0301312236785716E-3</v>
      </c>
      <c r="BC48" s="15"/>
      <c r="BD48" s="38"/>
      <c r="BE48" s="38">
        <f t="shared" si="19"/>
        <v>80.301312236785719</v>
      </c>
    </row>
    <row r="49" spans="1:57" s="24" customFormat="1" ht="15.75">
      <c r="A49" s="67">
        <v>47</v>
      </c>
      <c r="B49" s="66">
        <v>6</v>
      </c>
      <c r="C49" s="66" t="s">
        <v>423</v>
      </c>
      <c r="D49" s="66" t="s">
        <v>420</v>
      </c>
      <c r="E49" s="66" t="s">
        <v>410</v>
      </c>
      <c r="F49" s="66" t="s">
        <v>411</v>
      </c>
      <c r="G49" s="66">
        <v>6</v>
      </c>
      <c r="H49" s="66" t="s">
        <v>432</v>
      </c>
      <c r="I49" s="66">
        <v>100</v>
      </c>
      <c r="J49" s="66">
        <v>8.7200000000000006</v>
      </c>
      <c r="K49" s="66">
        <v>30</v>
      </c>
      <c r="L49" s="66" t="s">
        <v>435</v>
      </c>
      <c r="M49" s="66">
        <v>1</v>
      </c>
      <c r="N49"/>
      <c r="O49"/>
      <c r="P49"/>
      <c r="Q49" s="108">
        <v>10</v>
      </c>
      <c r="R49" s="53">
        <v>8</v>
      </c>
      <c r="S49" s="53">
        <f t="shared" si="0"/>
        <v>2</v>
      </c>
      <c r="T49" s="80">
        <v>158</v>
      </c>
      <c r="U49" s="80" t="s">
        <v>238</v>
      </c>
      <c r="V49" s="81">
        <v>5.6066735000000003</v>
      </c>
      <c r="W49" s="81">
        <v>1707.2372603605079</v>
      </c>
      <c r="X49" s="81">
        <v>4.7268765000000004</v>
      </c>
      <c r="Y49" s="81">
        <v>8.9906775561036518</v>
      </c>
      <c r="Z49" s="69" t="s">
        <v>54</v>
      </c>
      <c r="AA49" s="73">
        <v>5.5661983611111108</v>
      </c>
      <c r="AB49" s="73">
        <v>3.0248816727959098</v>
      </c>
      <c r="AC49" s="73">
        <v>3.9982883888888887</v>
      </c>
      <c r="AD49" s="73">
        <v>-25.508901929003891</v>
      </c>
      <c r="AE49" s="73">
        <v>2.2461111111111109</v>
      </c>
      <c r="AF49" s="73">
        <v>2.2461111111111109</v>
      </c>
      <c r="AG49" s="32">
        <f t="shared" si="1"/>
        <v>1.1379460310984945E-2</v>
      </c>
      <c r="AH49" s="32">
        <f t="shared" si="2"/>
        <v>0.25846953038557846</v>
      </c>
      <c r="AI49" s="33">
        <f t="shared" si="3"/>
        <v>6.3800918569901055E-2</v>
      </c>
      <c r="AJ49" s="34">
        <f t="shared" si="4"/>
        <v>1.2217535491456268</v>
      </c>
      <c r="AK49" s="16">
        <f t="shared" si="5"/>
        <v>2.711539039220795E-2</v>
      </c>
      <c r="AL49" s="16">
        <f t="shared" si="14"/>
        <v>0.5192452583868914</v>
      </c>
      <c r="AM49" s="27">
        <f t="shared" si="20"/>
        <v>27.115390392207949</v>
      </c>
      <c r="AN49" s="27">
        <f t="shared" si="20"/>
        <v>519.24525838689135</v>
      </c>
      <c r="AO49" s="29" t="e">
        <f t="shared" si="15"/>
        <v>#VALUE!</v>
      </c>
      <c r="AP49" s="29" t="e">
        <f t="shared" si="16"/>
        <v>#VALUE!</v>
      </c>
      <c r="AQ49" s="27">
        <f t="shared" si="7"/>
        <v>19.149466442353159</v>
      </c>
      <c r="AR49" s="14">
        <f t="shared" si="8"/>
        <v>1706.1923786877119</v>
      </c>
      <c r="AS49" s="25">
        <v>0.36620000000000003</v>
      </c>
      <c r="AT49" s="22">
        <f t="shared" si="9"/>
        <v>0.98499759855875679</v>
      </c>
      <c r="AU49" s="22">
        <f t="shared" si="10"/>
        <v>0.61879759855875682</v>
      </c>
      <c r="AV49" s="15"/>
      <c r="AW49" s="22"/>
      <c r="AX49" s="34">
        <f t="shared" si="11"/>
        <v>6187.9759855875691</v>
      </c>
      <c r="AY49" s="14">
        <f t="shared" si="12"/>
        <v>8.4695794851075412</v>
      </c>
      <c r="AZ49" s="25">
        <v>1.0819000000000001</v>
      </c>
      <c r="BA49" s="22">
        <f t="shared" si="17"/>
        <v>1.1205193477446647</v>
      </c>
      <c r="BB49" s="38">
        <f t="shared" si="18"/>
        <v>3.8619347744664578E-2</v>
      </c>
      <c r="BC49" s="15"/>
      <c r="BD49" s="38"/>
      <c r="BE49" s="38">
        <f t="shared" si="19"/>
        <v>386.19347744664577</v>
      </c>
    </row>
    <row r="50" spans="1:57" s="24" customFormat="1" ht="15.75">
      <c r="A50" s="67">
        <v>48</v>
      </c>
      <c r="B50" s="66">
        <v>6</v>
      </c>
      <c r="C50" s="66" t="s">
        <v>425</v>
      </c>
      <c r="D50" s="66" t="s">
        <v>418</v>
      </c>
      <c r="E50" s="66" t="s">
        <v>410</v>
      </c>
      <c r="F50" s="66" t="s">
        <v>411</v>
      </c>
      <c r="G50" s="66">
        <v>6</v>
      </c>
      <c r="H50" s="66" t="s">
        <v>432</v>
      </c>
      <c r="I50" s="66">
        <v>100</v>
      </c>
      <c r="J50" s="66">
        <v>2.46</v>
      </c>
      <c r="K50" s="66">
        <v>30</v>
      </c>
      <c r="L50" s="66" t="s">
        <v>436</v>
      </c>
      <c r="M50" s="66">
        <v>1</v>
      </c>
      <c r="N50"/>
      <c r="O50"/>
      <c r="P50"/>
      <c r="Q50" s="108">
        <v>10</v>
      </c>
      <c r="R50" s="53">
        <v>8</v>
      </c>
      <c r="S50" s="53">
        <f t="shared" si="0"/>
        <v>2</v>
      </c>
      <c r="T50" s="82">
        <v>159</v>
      </c>
      <c r="U50" s="82" t="s">
        <v>239</v>
      </c>
      <c r="V50" s="83">
        <v>2.83105575</v>
      </c>
      <c r="W50" s="83">
        <v>63.57266960403939</v>
      </c>
      <c r="X50" s="83">
        <v>2.0572813750000001</v>
      </c>
      <c r="Y50" s="83">
        <v>-27.40047573788825</v>
      </c>
      <c r="Z50" s="69" t="s">
        <v>54</v>
      </c>
      <c r="AA50" s="73">
        <v>5.5661983611111108</v>
      </c>
      <c r="AB50" s="73">
        <v>3.0248816727959098</v>
      </c>
      <c r="AC50" s="73">
        <v>3.9982883888888887</v>
      </c>
      <c r="AD50" s="73">
        <v>-25.508901929003891</v>
      </c>
      <c r="AE50" s="73">
        <v>2.2461111111111109</v>
      </c>
      <c r="AF50" s="73">
        <v>2.2461111111111109</v>
      </c>
      <c r="AG50" s="32">
        <f t="shared" si="1"/>
        <v>1.1379460310984945E-2</v>
      </c>
      <c r="AH50" s="32">
        <f t="shared" si="2"/>
        <v>0.25846953038557846</v>
      </c>
      <c r="AI50" s="33">
        <f t="shared" si="3"/>
        <v>3.2215886545310719E-2</v>
      </c>
      <c r="AJ50" s="34">
        <f t="shared" si="4"/>
        <v>0.53174455086724715</v>
      </c>
      <c r="AK50" s="16">
        <f t="shared" si="5"/>
        <v>1.3691751781757055E-2</v>
      </c>
      <c r="AL50" s="16">
        <f t="shared" si="14"/>
        <v>0.22599143411858003</v>
      </c>
      <c r="AM50" s="27">
        <f t="shared" si="20"/>
        <v>13.691751781757056</v>
      </c>
      <c r="AN50" s="27">
        <f t="shared" si="20"/>
        <v>225.99143411858003</v>
      </c>
      <c r="AO50" s="29" t="e">
        <f t="shared" si="15"/>
        <v>#VALUE!</v>
      </c>
      <c r="AP50" s="29" t="e">
        <f t="shared" si="16"/>
        <v>#VALUE!</v>
      </c>
      <c r="AQ50" s="27">
        <f t="shared" si="7"/>
        <v>16.505662512790504</v>
      </c>
      <c r="AR50" s="14">
        <f t="shared" si="8"/>
        <v>62.527787931243481</v>
      </c>
      <c r="AS50" s="25">
        <v>0.36620000000000003</v>
      </c>
      <c r="AT50" s="22">
        <f t="shared" si="9"/>
        <v>0.38906558220339377</v>
      </c>
      <c r="AU50" s="22">
        <f t="shared" si="10"/>
        <v>2.2865582203393742E-2</v>
      </c>
      <c r="AV50" s="15"/>
      <c r="AW50" s="22"/>
      <c r="AX50" s="34">
        <f t="shared" si="11"/>
        <v>228.65582203393743</v>
      </c>
      <c r="AY50" s="14">
        <f t="shared" si="12"/>
        <v>-27.921573808884361</v>
      </c>
      <c r="AZ50" s="25">
        <v>1.0819000000000001</v>
      </c>
      <c r="BA50" s="22">
        <f t="shared" si="17"/>
        <v>1.0805217236979201</v>
      </c>
      <c r="BB50" s="38">
        <f t="shared" si="18"/>
        <v>-1.3782763020799838E-3</v>
      </c>
      <c r="BC50" s="15"/>
      <c r="BD50" s="38"/>
      <c r="BE50" s="38">
        <f t="shared" si="19"/>
        <v>-13.782763020799838</v>
      </c>
    </row>
    <row r="51" spans="1:57" ht="15.75">
      <c r="A51" s="67">
        <v>97</v>
      </c>
      <c r="B51" s="134">
        <v>1</v>
      </c>
      <c r="C51" s="66" t="s">
        <v>408</v>
      </c>
      <c r="D51" s="66" t="s">
        <v>409</v>
      </c>
      <c r="E51" s="66" t="s">
        <v>437</v>
      </c>
      <c r="F51" s="66" t="s">
        <v>411</v>
      </c>
      <c r="G51" s="66"/>
      <c r="H51" s="66" t="s">
        <v>412</v>
      </c>
      <c r="I51" s="66">
        <v>100</v>
      </c>
      <c r="J51" s="66">
        <v>20</v>
      </c>
      <c r="K51" s="66">
        <v>30</v>
      </c>
      <c r="L51" s="66" t="s">
        <v>438</v>
      </c>
      <c r="M51" s="66">
        <v>1</v>
      </c>
      <c r="N51"/>
      <c r="O51"/>
      <c r="P51"/>
      <c r="Q51" s="108">
        <v>10</v>
      </c>
      <c r="R51" s="53">
        <v>8</v>
      </c>
      <c r="S51" s="53">
        <f t="shared" si="0"/>
        <v>2</v>
      </c>
      <c r="T51" s="80">
        <v>160</v>
      </c>
      <c r="U51" s="80" t="s">
        <v>240</v>
      </c>
      <c r="V51" s="81">
        <v>3.8668165000000001</v>
      </c>
      <c r="W51" s="81">
        <v>5.1649327847169531</v>
      </c>
      <c r="X51" s="81">
        <v>1.9382018750000001</v>
      </c>
      <c r="Y51" s="81">
        <v>-25.131462752950821</v>
      </c>
      <c r="Z51" s="69" t="s">
        <v>54</v>
      </c>
      <c r="AA51" s="73">
        <v>5.5661983611111108</v>
      </c>
      <c r="AB51" s="73">
        <v>3.0248816727959098</v>
      </c>
      <c r="AC51" s="73">
        <v>3.9982883888888887</v>
      </c>
      <c r="AD51" s="73">
        <v>-25.508901929003891</v>
      </c>
      <c r="AE51" s="73">
        <v>2.2461111111111109</v>
      </c>
      <c r="AF51" s="73">
        <v>2.2461111111111109</v>
      </c>
      <c r="AG51" s="32">
        <f t="shared" si="1"/>
        <v>1.1379460310984945E-2</v>
      </c>
      <c r="AH51" s="32">
        <f t="shared" si="2"/>
        <v>0.25846953038557846</v>
      </c>
      <c r="AI51" s="33">
        <f t="shared" si="3"/>
        <v>4.4002284891611718E-2</v>
      </c>
      <c r="AJ51" s="34">
        <f t="shared" si="4"/>
        <v>0.5009661284236977</v>
      </c>
      <c r="AK51" s="16">
        <f t="shared" si="5"/>
        <v>1.870097107893498E-2</v>
      </c>
      <c r="AL51" s="16">
        <f t="shared" si="14"/>
        <v>0.21291060458007152</v>
      </c>
      <c r="AM51" s="27">
        <f t="shared" si="20"/>
        <v>18.70097107893498</v>
      </c>
      <c r="AN51" s="27">
        <f t="shared" si="20"/>
        <v>212.91060458007152</v>
      </c>
      <c r="AO51" s="29" t="e">
        <f t="shared" si="15"/>
        <v>#VALUE!</v>
      </c>
      <c r="AP51" s="29" t="e">
        <f t="shared" si="16"/>
        <v>#VALUE!</v>
      </c>
      <c r="AQ51" s="27">
        <f t="shared" si="7"/>
        <v>11.385002611971142</v>
      </c>
      <c r="AR51" s="14">
        <f t="shared" si="8"/>
        <v>4.1200511119210432</v>
      </c>
      <c r="AS51" s="25">
        <v>0.36620000000000003</v>
      </c>
      <c r="AT51" s="22">
        <f t="shared" si="9"/>
        <v>0.36775708594650841</v>
      </c>
      <c r="AU51" s="22">
        <f t="shared" si="10"/>
        <v>1.5570859465083853E-3</v>
      </c>
      <c r="AV51" s="15"/>
      <c r="AW51" s="22"/>
      <c r="AX51" s="34">
        <f t="shared" si="11"/>
        <v>15.570859465083851</v>
      </c>
      <c r="AY51" s="14">
        <f t="shared" si="12"/>
        <v>-25.652560823946931</v>
      </c>
      <c r="AZ51" s="25">
        <v>1.0819000000000001</v>
      </c>
      <c r="BA51" s="22">
        <f t="shared" si="17"/>
        <v>1.0830165484430296</v>
      </c>
      <c r="BB51" s="38">
        <f t="shared" si="18"/>
        <v>1.1165484430295525E-3</v>
      </c>
      <c r="BC51" s="15"/>
      <c r="BD51" s="38"/>
      <c r="BE51" s="38">
        <f t="shared" si="19"/>
        <v>11.165484430295525</v>
      </c>
    </row>
    <row r="52" spans="1:57" ht="15.75">
      <c r="A52" s="67">
        <v>98</v>
      </c>
      <c r="B52" s="134">
        <v>1</v>
      </c>
      <c r="C52" s="66" t="s">
        <v>413</v>
      </c>
      <c r="D52" s="66" t="s">
        <v>414</v>
      </c>
      <c r="E52" s="66" t="s">
        <v>437</v>
      </c>
      <c r="F52" s="66" t="s">
        <v>411</v>
      </c>
      <c r="G52" s="66"/>
      <c r="H52" s="66" t="s">
        <v>412</v>
      </c>
      <c r="I52" s="66">
        <v>100</v>
      </c>
      <c r="J52" s="66">
        <v>20</v>
      </c>
      <c r="K52" s="66">
        <v>30</v>
      </c>
      <c r="L52" s="66" t="s">
        <v>439</v>
      </c>
      <c r="M52" s="66">
        <v>1</v>
      </c>
      <c r="N52"/>
      <c r="O52"/>
      <c r="P52"/>
      <c r="Q52" s="108">
        <v>10</v>
      </c>
      <c r="R52" s="53">
        <v>8</v>
      </c>
      <c r="S52" s="53">
        <f t="shared" si="0"/>
        <v>2</v>
      </c>
      <c r="T52" s="82">
        <v>161</v>
      </c>
      <c r="U52" s="82" t="s">
        <v>241</v>
      </c>
      <c r="V52" s="83">
        <v>2.1102432499999999</v>
      </c>
      <c r="W52" s="83">
        <v>5.6213274122568668</v>
      </c>
      <c r="X52" s="83">
        <v>1.155590125</v>
      </c>
      <c r="Y52" s="83">
        <v>-25.054456350552226</v>
      </c>
      <c r="Z52" s="69" t="s">
        <v>54</v>
      </c>
      <c r="AA52" s="73">
        <v>5.5661983611111108</v>
      </c>
      <c r="AB52" s="73">
        <v>3.0248816727959098</v>
      </c>
      <c r="AC52" s="73">
        <v>3.9982883888888887</v>
      </c>
      <c r="AD52" s="73">
        <v>-25.508901929003891</v>
      </c>
      <c r="AE52" s="73">
        <v>2.2461111111111109</v>
      </c>
      <c r="AF52" s="73">
        <v>2.2461111111111109</v>
      </c>
      <c r="AG52" s="32">
        <f t="shared" si="1"/>
        <v>1.1379460310984945E-2</v>
      </c>
      <c r="AH52" s="32">
        <f t="shared" si="2"/>
        <v>0.25846953038557846</v>
      </c>
      <c r="AI52" s="33">
        <f t="shared" si="3"/>
        <v>2.401342930989888E-2</v>
      </c>
      <c r="AJ52" s="34">
        <f t="shared" si="4"/>
        <v>0.29868483692696191</v>
      </c>
      <c r="AK52" s="16">
        <f t="shared" si="5"/>
        <v>1.0205707456707024E-2</v>
      </c>
      <c r="AL52" s="16">
        <f t="shared" si="14"/>
        <v>0.1269410556939588</v>
      </c>
      <c r="AM52" s="27">
        <f t="shared" si="20"/>
        <v>10.205707456707025</v>
      </c>
      <c r="AN52" s="27">
        <f t="shared" si="20"/>
        <v>126.9410556939588</v>
      </c>
      <c r="AO52" s="29" t="e">
        <f t="shared" si="15"/>
        <v>#VALUE!</v>
      </c>
      <c r="AP52" s="29" t="e">
        <f t="shared" si="16"/>
        <v>#VALUE!</v>
      </c>
      <c r="AQ52" s="27">
        <f t="shared" si="7"/>
        <v>12.438241663544375</v>
      </c>
      <c r="AR52" s="14">
        <f t="shared" si="8"/>
        <v>4.576445739460957</v>
      </c>
      <c r="AS52" s="25">
        <v>0.36620000000000003</v>
      </c>
      <c r="AT52" s="22">
        <f t="shared" si="9"/>
        <v>0.36792362462521749</v>
      </c>
      <c r="AU52" s="22">
        <f t="shared" si="10"/>
        <v>1.7236246252174681E-3</v>
      </c>
      <c r="AV52" s="15"/>
      <c r="AW52" s="22"/>
      <c r="AX52" s="34">
        <f t="shared" si="11"/>
        <v>17.236246252174681</v>
      </c>
      <c r="AY52" s="14">
        <f t="shared" si="12"/>
        <v>-25.575554421548336</v>
      </c>
      <c r="AZ52" s="25">
        <v>1.0819000000000001</v>
      </c>
      <c r="BA52" s="22">
        <f t="shared" si="17"/>
        <v>1.0831012163006946</v>
      </c>
      <c r="BB52" s="38">
        <f t="shared" si="18"/>
        <v>1.2012163006944743E-3</v>
      </c>
      <c r="BC52" s="15"/>
      <c r="BD52" s="38"/>
      <c r="BE52" s="38">
        <f t="shared" si="19"/>
        <v>12.012163006944743</v>
      </c>
    </row>
    <row r="53" spans="1:57" ht="15.75">
      <c r="A53" s="67">
        <v>99</v>
      </c>
      <c r="B53" s="134">
        <v>1</v>
      </c>
      <c r="C53" s="66" t="s">
        <v>415</v>
      </c>
      <c r="D53" s="66" t="s">
        <v>416</v>
      </c>
      <c r="E53" s="66" t="s">
        <v>437</v>
      </c>
      <c r="F53" s="66" t="s">
        <v>411</v>
      </c>
      <c r="G53" s="66"/>
      <c r="H53" s="66" t="s">
        <v>412</v>
      </c>
      <c r="I53" s="66">
        <v>100</v>
      </c>
      <c r="J53" s="66">
        <v>20</v>
      </c>
      <c r="K53" s="66">
        <v>30</v>
      </c>
      <c r="L53" s="66" t="s">
        <v>440</v>
      </c>
      <c r="M53" s="66">
        <v>1</v>
      </c>
      <c r="N53"/>
      <c r="O53"/>
      <c r="P53"/>
      <c r="Q53" s="108">
        <v>10</v>
      </c>
      <c r="R53" s="53">
        <v>8</v>
      </c>
      <c r="S53" s="53">
        <f t="shared" si="0"/>
        <v>2</v>
      </c>
      <c r="T53" s="80">
        <v>162</v>
      </c>
      <c r="U53" s="80" t="s">
        <v>242</v>
      </c>
      <c r="V53" s="81">
        <v>0.78092693749999997</v>
      </c>
      <c r="W53" s="81">
        <v>12.607146717471057</v>
      </c>
      <c r="X53" s="81">
        <v>0.44268412499999998</v>
      </c>
      <c r="Y53" s="81">
        <v>-24.712317418423922</v>
      </c>
      <c r="Z53" s="69" t="s">
        <v>54</v>
      </c>
      <c r="AA53" s="73">
        <v>5.5661983611111108</v>
      </c>
      <c r="AB53" s="73">
        <v>3.0248816727959098</v>
      </c>
      <c r="AC53" s="73">
        <v>3.9982883888888887</v>
      </c>
      <c r="AD53" s="73">
        <v>-25.508901929003891</v>
      </c>
      <c r="AE53" s="73">
        <v>2.2461111111111109</v>
      </c>
      <c r="AF53" s="73">
        <v>2.2461111111111109</v>
      </c>
      <c r="AG53" s="32">
        <f t="shared" si="1"/>
        <v>1.1379460310984945E-2</v>
      </c>
      <c r="AH53" s="32">
        <f t="shared" si="2"/>
        <v>0.25846953038557846</v>
      </c>
      <c r="AI53" s="33">
        <f t="shared" si="3"/>
        <v>8.8865270910602704E-3</v>
      </c>
      <c r="AJ53" s="34">
        <f t="shared" si="4"/>
        <v>0.11442035789790071</v>
      </c>
      <c r="AK53" s="16">
        <f t="shared" si="5"/>
        <v>3.776774013700615E-3</v>
      </c>
      <c r="AL53" s="16">
        <f t="shared" si="14"/>
        <v>4.86286521066078E-2</v>
      </c>
      <c r="AM53" s="27">
        <f t="shared" si="20"/>
        <v>3.7767740137006149</v>
      </c>
      <c r="AN53" s="27">
        <f t="shared" si="20"/>
        <v>48.628652106607802</v>
      </c>
      <c r="AO53" s="29" t="e">
        <f t="shared" si="15"/>
        <v>#VALUE!</v>
      </c>
      <c r="AP53" s="29" t="e">
        <f t="shared" si="16"/>
        <v>#VALUE!</v>
      </c>
      <c r="AQ53" s="27">
        <f t="shared" si="7"/>
        <v>12.875711369068586</v>
      </c>
      <c r="AR53" s="14">
        <f t="shared" si="8"/>
        <v>11.562265044675147</v>
      </c>
      <c r="AS53" s="25">
        <v>0.36620000000000003</v>
      </c>
      <c r="AT53" s="22">
        <f t="shared" si="9"/>
        <v>0.37047268488239049</v>
      </c>
      <c r="AU53" s="22">
        <f t="shared" si="10"/>
        <v>4.2726848823904651E-3</v>
      </c>
      <c r="AV53" s="15"/>
      <c r="AW53" s="22"/>
      <c r="AX53" s="34">
        <f t="shared" si="11"/>
        <v>42.726848823904653</v>
      </c>
      <c r="AY53" s="14">
        <f t="shared" si="12"/>
        <v>-25.233415489420032</v>
      </c>
      <c r="AZ53" s="25">
        <v>1.0819000000000001</v>
      </c>
      <c r="BA53" s="22">
        <f t="shared" si="17"/>
        <v>1.0834773932748774</v>
      </c>
      <c r="BB53" s="38">
        <f t="shared" si="18"/>
        <v>1.5773932748772701E-3</v>
      </c>
      <c r="BC53" s="15"/>
      <c r="BD53" s="38"/>
      <c r="BE53" s="38">
        <f t="shared" si="19"/>
        <v>15.773932748772701</v>
      </c>
    </row>
    <row r="54" spans="1:57" ht="15.75">
      <c r="A54" s="67">
        <v>100</v>
      </c>
      <c r="B54" s="134">
        <v>1</v>
      </c>
      <c r="C54" s="66" t="s">
        <v>417</v>
      </c>
      <c r="D54" s="66" t="s">
        <v>418</v>
      </c>
      <c r="E54" s="66" t="s">
        <v>437</v>
      </c>
      <c r="F54" s="66" t="s">
        <v>411</v>
      </c>
      <c r="G54" s="66"/>
      <c r="H54" s="66" t="s">
        <v>412</v>
      </c>
      <c r="I54" s="66">
        <v>100</v>
      </c>
      <c r="J54" s="66">
        <v>20</v>
      </c>
      <c r="K54" s="66">
        <v>30</v>
      </c>
      <c r="L54" s="66" t="s">
        <v>441</v>
      </c>
      <c r="M54" s="66">
        <v>1</v>
      </c>
      <c r="N54"/>
      <c r="O54"/>
      <c r="P54"/>
      <c r="Q54" s="108">
        <v>10</v>
      </c>
      <c r="R54" s="53">
        <v>8</v>
      </c>
      <c r="S54" s="53">
        <f t="shared" si="0"/>
        <v>2</v>
      </c>
      <c r="T54" s="82">
        <v>163</v>
      </c>
      <c r="U54" s="82" t="s">
        <v>243</v>
      </c>
      <c r="V54" s="83">
        <v>2.3578134999999998</v>
      </c>
      <c r="W54" s="83">
        <v>11.611784760442129</v>
      </c>
      <c r="X54" s="83">
        <v>1.2448655</v>
      </c>
      <c r="Y54" s="83">
        <v>-25.406460464638865</v>
      </c>
      <c r="Z54" s="69" t="s">
        <v>54</v>
      </c>
      <c r="AA54" s="73">
        <v>5.5661983611111108</v>
      </c>
      <c r="AB54" s="73">
        <v>3.0248816727959098</v>
      </c>
      <c r="AC54" s="73">
        <v>3.9982883888888887</v>
      </c>
      <c r="AD54" s="73">
        <v>-25.508901929003891</v>
      </c>
      <c r="AE54" s="73">
        <v>2.2461111111111109</v>
      </c>
      <c r="AF54" s="73">
        <v>2.2461111111111109</v>
      </c>
      <c r="AG54" s="32">
        <f t="shared" si="1"/>
        <v>1.1379460310984945E-2</v>
      </c>
      <c r="AH54" s="32">
        <f t="shared" si="2"/>
        <v>0.25846953038557846</v>
      </c>
      <c r="AI54" s="33">
        <f t="shared" si="3"/>
        <v>2.6830645143954501E-2</v>
      </c>
      <c r="AJ54" s="34">
        <f t="shared" si="4"/>
        <v>0.32175980117820829</v>
      </c>
      <c r="AK54" s="16">
        <f t="shared" si="5"/>
        <v>1.1403024186180664E-2</v>
      </c>
      <c r="AL54" s="16">
        <f t="shared" si="14"/>
        <v>0.13674791550073853</v>
      </c>
      <c r="AM54" s="27">
        <f t="shared" si="20"/>
        <v>11.403024186180664</v>
      </c>
      <c r="AN54" s="27">
        <f t="shared" si="20"/>
        <v>136.74791550073854</v>
      </c>
      <c r="AO54" s="29" t="e">
        <f t="shared" si="15"/>
        <v>#VALUE!</v>
      </c>
      <c r="AP54" s="29" t="e">
        <f t="shared" si="16"/>
        <v>#VALUE!</v>
      </c>
      <c r="AQ54" s="27">
        <f t="shared" si="7"/>
        <v>11.992249886347121</v>
      </c>
      <c r="AR54" s="14">
        <f t="shared" si="8"/>
        <v>10.566903087646219</v>
      </c>
      <c r="AS54" s="25">
        <v>0.36620000000000003</v>
      </c>
      <c r="AT54" s="22">
        <f t="shared" si="9"/>
        <v>0.37010949456357572</v>
      </c>
      <c r="AU54" s="22">
        <f t="shared" si="10"/>
        <v>3.9094945635756995E-3</v>
      </c>
      <c r="AV54" s="15"/>
      <c r="AW54" s="22"/>
      <c r="AX54" s="34">
        <f t="shared" si="11"/>
        <v>39.094945635756993</v>
      </c>
      <c r="AY54" s="14">
        <f t="shared" si="12"/>
        <v>-25.927558535634976</v>
      </c>
      <c r="AZ54" s="25">
        <v>1.0819000000000001</v>
      </c>
      <c r="BA54" s="22">
        <f t="shared" si="17"/>
        <v>1.0827141897106909</v>
      </c>
      <c r="BB54" s="38">
        <f t="shared" si="18"/>
        <v>8.141897106908047E-4</v>
      </c>
      <c r="BC54" s="15"/>
      <c r="BD54" s="38"/>
      <c r="BE54" s="38">
        <f t="shared" si="19"/>
        <v>8.141897106908047</v>
      </c>
    </row>
    <row r="55" spans="1:57" ht="15.75">
      <c r="A55" s="67">
        <v>101</v>
      </c>
      <c r="B55" s="134">
        <v>1</v>
      </c>
      <c r="C55" s="66" t="s">
        <v>419</v>
      </c>
      <c r="D55" s="66" t="s">
        <v>420</v>
      </c>
      <c r="E55" s="66" t="s">
        <v>437</v>
      </c>
      <c r="F55" s="66" t="s">
        <v>411</v>
      </c>
      <c r="G55" s="66"/>
      <c r="H55" s="66" t="s">
        <v>412</v>
      </c>
      <c r="I55" s="66">
        <v>100</v>
      </c>
      <c r="J55" s="66">
        <v>20</v>
      </c>
      <c r="K55" s="66">
        <v>30</v>
      </c>
      <c r="L55" s="66" t="s">
        <v>442</v>
      </c>
      <c r="M55" s="66">
        <v>1</v>
      </c>
      <c r="N55"/>
      <c r="O55"/>
      <c r="P55"/>
      <c r="Q55" s="108">
        <v>10</v>
      </c>
      <c r="R55" s="53">
        <v>8</v>
      </c>
      <c r="S55" s="53">
        <f t="shared" si="0"/>
        <v>2</v>
      </c>
      <c r="T55" s="80">
        <v>164</v>
      </c>
      <c r="U55" s="80" t="s">
        <v>244</v>
      </c>
      <c r="V55" s="81">
        <v>0.94754812499999996</v>
      </c>
      <c r="W55" s="81">
        <v>17.91440600947702</v>
      </c>
      <c r="X55" s="81">
        <v>0.50386915624999995</v>
      </c>
      <c r="Y55" s="81">
        <v>-23.539305577291511</v>
      </c>
      <c r="Z55" s="69" t="s">
        <v>54</v>
      </c>
      <c r="AA55" s="73">
        <v>5.5661983611111108</v>
      </c>
      <c r="AB55" s="73">
        <v>3.0248816727959098</v>
      </c>
      <c r="AC55" s="73">
        <v>3.9982883888888887</v>
      </c>
      <c r="AD55" s="73">
        <v>-25.508901929003891</v>
      </c>
      <c r="AE55" s="73">
        <v>2.2461111111111109</v>
      </c>
      <c r="AF55" s="73">
        <v>2.2461111111111109</v>
      </c>
      <c r="AG55" s="32">
        <f t="shared" si="1"/>
        <v>1.1379460310984945E-2</v>
      </c>
      <c r="AH55" s="32">
        <f t="shared" si="2"/>
        <v>0.25846953038557846</v>
      </c>
      <c r="AI55" s="33">
        <f t="shared" si="3"/>
        <v>1.0782586281185702E-2</v>
      </c>
      <c r="AJ55" s="34">
        <f t="shared" si="4"/>
        <v>0.13023482419171514</v>
      </c>
      <c r="AK55" s="16">
        <f t="shared" si="5"/>
        <v>4.5825991695039236E-3</v>
      </c>
      <c r="AL55" s="16">
        <f t="shared" si="14"/>
        <v>5.5349800281478935E-2</v>
      </c>
      <c r="AM55" s="27">
        <f t="shared" si="20"/>
        <v>4.5825991695039239</v>
      </c>
      <c r="AN55" s="27">
        <f t="shared" si="20"/>
        <v>55.349800281478934</v>
      </c>
      <c r="AO55" s="29" t="e">
        <f t="shared" si="15"/>
        <v>#VALUE!</v>
      </c>
      <c r="AP55" s="29" t="e">
        <f t="shared" si="16"/>
        <v>#VALUE!</v>
      </c>
      <c r="AQ55" s="27">
        <f t="shared" si="7"/>
        <v>12.078254770746332</v>
      </c>
      <c r="AR55" s="14">
        <f t="shared" si="8"/>
        <v>16.86952433668111</v>
      </c>
      <c r="AS55" s="25">
        <v>0.36620000000000003</v>
      </c>
      <c r="AT55" s="22">
        <f t="shared" si="9"/>
        <v>0.37240916707240163</v>
      </c>
      <c r="AU55" s="22">
        <f t="shared" si="10"/>
        <v>6.2091670724016002E-3</v>
      </c>
      <c r="AV55" s="15"/>
      <c r="AW55" s="22"/>
      <c r="AX55" s="34">
        <f t="shared" si="11"/>
        <v>62.091670724015998</v>
      </c>
      <c r="AY55" s="14">
        <f t="shared" si="12"/>
        <v>-24.060403648287622</v>
      </c>
      <c r="AZ55" s="25">
        <v>1.0819000000000001</v>
      </c>
      <c r="BA55" s="22">
        <f t="shared" si="17"/>
        <v>1.0847670816802464</v>
      </c>
      <c r="BB55" s="38">
        <f t="shared" si="18"/>
        <v>2.8670816802462973E-3</v>
      </c>
      <c r="BC55" s="15"/>
      <c r="BD55" s="38"/>
      <c r="BE55" s="38">
        <f t="shared" si="19"/>
        <v>28.670816802462973</v>
      </c>
    </row>
    <row r="56" spans="1:57" ht="15.75">
      <c r="A56" s="67">
        <v>102</v>
      </c>
      <c r="B56" s="134">
        <v>1</v>
      </c>
      <c r="C56" s="66" t="s">
        <v>421</v>
      </c>
      <c r="D56" s="66" t="s">
        <v>422</v>
      </c>
      <c r="E56" s="66" t="s">
        <v>437</v>
      </c>
      <c r="F56" s="66" t="s">
        <v>411</v>
      </c>
      <c r="G56" s="66"/>
      <c r="H56" s="66" t="s">
        <v>412</v>
      </c>
      <c r="I56" s="66">
        <v>100</v>
      </c>
      <c r="J56" s="66">
        <v>20</v>
      </c>
      <c r="K56" s="66">
        <v>30</v>
      </c>
      <c r="L56" s="66" t="s">
        <v>443</v>
      </c>
      <c r="M56" s="66">
        <v>1</v>
      </c>
      <c r="N56"/>
      <c r="O56"/>
      <c r="P56"/>
      <c r="Q56" s="108">
        <v>10</v>
      </c>
      <c r="R56" s="53">
        <v>8</v>
      </c>
      <c r="S56" s="53">
        <f t="shared" si="0"/>
        <v>2</v>
      </c>
      <c r="T56" s="82">
        <v>165</v>
      </c>
      <c r="U56" s="82" t="s">
        <v>245</v>
      </c>
      <c r="V56" s="83">
        <v>1.286574375</v>
      </c>
      <c r="W56" s="83">
        <v>3.731511985599989</v>
      </c>
      <c r="X56" s="83">
        <v>0.8109849375</v>
      </c>
      <c r="Y56" s="83">
        <v>-25.217476802802114</v>
      </c>
      <c r="Z56" s="69" t="s">
        <v>54</v>
      </c>
      <c r="AA56" s="73">
        <v>5.5661983611111108</v>
      </c>
      <c r="AB56" s="73">
        <v>3.0248816727959098</v>
      </c>
      <c r="AC56" s="73">
        <v>3.9982883888888887</v>
      </c>
      <c r="AD56" s="73">
        <v>-25.508901929003891</v>
      </c>
      <c r="AE56" s="73">
        <v>2.2461111111111109</v>
      </c>
      <c r="AF56" s="73">
        <v>2.2461111111111109</v>
      </c>
      <c r="AG56" s="32">
        <f t="shared" si="1"/>
        <v>1.1379460310984945E-2</v>
      </c>
      <c r="AH56" s="32">
        <f t="shared" si="2"/>
        <v>0.25846953038557846</v>
      </c>
      <c r="AI56" s="33">
        <f t="shared" si="3"/>
        <v>1.4640522037442762E-2</v>
      </c>
      <c r="AJ56" s="34">
        <f t="shared" si="4"/>
        <v>0.2096148959454027</v>
      </c>
      <c r="AK56" s="16">
        <f t="shared" si="5"/>
        <v>6.2222218659131745E-3</v>
      </c>
      <c r="AL56" s="16">
        <f t="shared" si="14"/>
        <v>8.9086330776796147E-2</v>
      </c>
      <c r="AM56" s="27">
        <f t="shared" si="20"/>
        <v>6.2222218659131743</v>
      </c>
      <c r="AN56" s="27">
        <f t="shared" si="20"/>
        <v>89.086330776796146</v>
      </c>
      <c r="AO56" s="29" t="e">
        <f t="shared" si="15"/>
        <v>#VALUE!</v>
      </c>
      <c r="AP56" s="29" t="e">
        <f t="shared" si="16"/>
        <v>#VALUE!</v>
      </c>
      <c r="AQ56" s="27">
        <f t="shared" si="7"/>
        <v>14.317446837573</v>
      </c>
      <c r="AR56" s="14">
        <f t="shared" si="8"/>
        <v>2.6866303128040792</v>
      </c>
      <c r="AS56" s="25">
        <v>0.36620000000000003</v>
      </c>
      <c r="AT56" s="22">
        <f t="shared" si="9"/>
        <v>0.36723402619995865</v>
      </c>
      <c r="AU56" s="22">
        <f t="shared" si="10"/>
        <v>1.0340261999586264E-3</v>
      </c>
      <c r="AV56" s="15"/>
      <c r="AW56" s="22"/>
      <c r="AX56" s="34">
        <f t="shared" si="11"/>
        <v>10.340261999586264</v>
      </c>
      <c r="AY56" s="14">
        <f t="shared" si="12"/>
        <v>-25.738574873798225</v>
      </c>
      <c r="AZ56" s="25">
        <v>1.0819000000000001</v>
      </c>
      <c r="BA56" s="22">
        <f t="shared" si="17"/>
        <v>1.0829219765853735</v>
      </c>
      <c r="BB56" s="38">
        <f t="shared" si="18"/>
        <v>1.0219765853733964E-3</v>
      </c>
      <c r="BC56" s="15"/>
      <c r="BD56" s="38"/>
      <c r="BE56" s="38">
        <f t="shared" si="19"/>
        <v>10.219765853733964</v>
      </c>
    </row>
    <row r="57" spans="1:57" ht="15.75">
      <c r="A57" s="67">
        <v>103</v>
      </c>
      <c r="B57" s="134">
        <v>1</v>
      </c>
      <c r="C57" s="66" t="s">
        <v>423</v>
      </c>
      <c r="D57" s="66" t="s">
        <v>424</v>
      </c>
      <c r="E57" s="66" t="s">
        <v>437</v>
      </c>
      <c r="F57" s="66" t="s">
        <v>411</v>
      </c>
      <c r="G57" s="66"/>
      <c r="H57" s="66" t="s">
        <v>412</v>
      </c>
      <c r="I57" s="66">
        <v>100</v>
      </c>
      <c r="J57" s="66">
        <v>20</v>
      </c>
      <c r="K57" s="66">
        <v>30</v>
      </c>
      <c r="L57" s="66" t="s">
        <v>444</v>
      </c>
      <c r="M57" s="66">
        <v>1</v>
      </c>
      <c r="N57"/>
      <c r="O57"/>
      <c r="P57"/>
      <c r="Q57" s="108">
        <v>10</v>
      </c>
      <c r="R57" s="53">
        <v>8</v>
      </c>
      <c r="S57" s="53">
        <f t="shared" si="0"/>
        <v>2</v>
      </c>
      <c r="T57" s="80">
        <v>166</v>
      </c>
      <c r="U57" s="80" t="s">
        <v>246</v>
      </c>
      <c r="V57" s="81">
        <v>0.74767887499999997</v>
      </c>
      <c r="W57" s="81">
        <v>7.0795261138088765</v>
      </c>
      <c r="X57" s="81">
        <v>0.43949143750000003</v>
      </c>
      <c r="Y57" s="81">
        <v>-23.99777318711498</v>
      </c>
      <c r="Z57" s="69" t="s">
        <v>54</v>
      </c>
      <c r="AA57" s="73">
        <v>5.5661983611111108</v>
      </c>
      <c r="AB57" s="73">
        <v>3.0248816727959098</v>
      </c>
      <c r="AC57" s="73">
        <v>3.9982883888888887</v>
      </c>
      <c r="AD57" s="73">
        <v>-25.508901929003891</v>
      </c>
      <c r="AE57" s="73">
        <v>2.2461111111111109</v>
      </c>
      <c r="AF57" s="73">
        <v>2.2461111111111109</v>
      </c>
      <c r="AG57" s="32">
        <f t="shared" si="1"/>
        <v>1.1379460310984945E-2</v>
      </c>
      <c r="AH57" s="32">
        <f t="shared" si="2"/>
        <v>0.25846953038557846</v>
      </c>
      <c r="AI57" s="33">
        <f t="shared" si="3"/>
        <v>8.5081820834243729E-3</v>
      </c>
      <c r="AJ57" s="34">
        <f t="shared" si="4"/>
        <v>0.11359514545910782</v>
      </c>
      <c r="AK57" s="16">
        <f t="shared" si="5"/>
        <v>3.6159773854553589E-3</v>
      </c>
      <c r="AL57" s="16">
        <f t="shared" si="14"/>
        <v>4.8277936820120819E-2</v>
      </c>
      <c r="AM57" s="27">
        <f t="shared" si="20"/>
        <v>3.6159773854553587</v>
      </c>
      <c r="AN57" s="27">
        <f t="shared" si="20"/>
        <v>48.277936820120821</v>
      </c>
      <c r="AO57" s="29" t="e">
        <f t="shared" si="15"/>
        <v>#VALUE!</v>
      </c>
      <c r="AP57" s="29" t="e">
        <f t="shared" si="16"/>
        <v>#VALUE!</v>
      </c>
      <c r="AQ57" s="27">
        <f t="shared" si="7"/>
        <v>13.351282841068212</v>
      </c>
      <c r="AR57" s="14">
        <f t="shared" si="8"/>
        <v>6.0346444410129667</v>
      </c>
      <c r="AS57" s="25">
        <v>0.36620000000000003</v>
      </c>
      <c r="AT57" s="22">
        <f t="shared" si="9"/>
        <v>0.36845571849208403</v>
      </c>
      <c r="AU57" s="22">
        <f t="shared" si="10"/>
        <v>2.2557184920840023E-3</v>
      </c>
      <c r="AV57" s="15"/>
      <c r="AW57" s="22"/>
      <c r="AX57" s="34">
        <f t="shared" si="11"/>
        <v>22.557184920840022</v>
      </c>
      <c r="AY57" s="14">
        <f t="shared" si="12"/>
        <v>-24.518871258111091</v>
      </c>
      <c r="AZ57" s="25">
        <v>1.0819000000000001</v>
      </c>
      <c r="BA57" s="22">
        <f t="shared" si="17"/>
        <v>1.0842630154434172</v>
      </c>
      <c r="BB57" s="38">
        <f t="shared" si="18"/>
        <v>2.3630154434171047E-3</v>
      </c>
      <c r="BC57" s="15"/>
      <c r="BD57" s="38"/>
      <c r="BE57" s="38">
        <f t="shared" si="19"/>
        <v>23.630154434171047</v>
      </c>
    </row>
    <row r="58" spans="1:57" ht="15.75">
      <c r="A58" s="67">
        <v>104</v>
      </c>
      <c r="B58" s="134">
        <v>1</v>
      </c>
      <c r="C58" s="66" t="s">
        <v>425</v>
      </c>
      <c r="D58" s="66" t="s">
        <v>426</v>
      </c>
      <c r="E58" s="66" t="s">
        <v>437</v>
      </c>
      <c r="F58" s="66" t="s">
        <v>411</v>
      </c>
      <c r="G58" s="66"/>
      <c r="H58" s="66" t="s">
        <v>412</v>
      </c>
      <c r="I58" s="66">
        <v>100</v>
      </c>
      <c r="J58" s="66">
        <v>20</v>
      </c>
      <c r="K58" s="66">
        <v>30</v>
      </c>
      <c r="L58" s="66" t="s">
        <v>445</v>
      </c>
      <c r="M58" s="66">
        <v>1</v>
      </c>
      <c r="N58"/>
      <c r="O58"/>
      <c r="P58"/>
      <c r="Q58" s="108">
        <v>10</v>
      </c>
      <c r="R58" s="53">
        <v>8</v>
      </c>
      <c r="S58" s="53">
        <f t="shared" si="0"/>
        <v>2</v>
      </c>
      <c r="T58" s="80">
        <v>168</v>
      </c>
      <c r="U58" s="80" t="s">
        <v>248</v>
      </c>
      <c r="V58" s="81">
        <v>1.431502375</v>
      </c>
      <c r="W58" s="81">
        <v>6.3069616266216659</v>
      </c>
      <c r="X58" s="81">
        <v>0.89882568750000003</v>
      </c>
      <c r="Y58" s="81">
        <v>-24.651699527147521</v>
      </c>
      <c r="Z58" s="69" t="s">
        <v>54</v>
      </c>
      <c r="AA58" s="73">
        <v>5.5661983611111108</v>
      </c>
      <c r="AB58" s="73">
        <v>3.0248816727959098</v>
      </c>
      <c r="AC58" s="73">
        <v>3.9982883888888887</v>
      </c>
      <c r="AD58" s="73">
        <v>-25.508901929003891</v>
      </c>
      <c r="AE58" s="73">
        <v>2.2461111111111109</v>
      </c>
      <c r="AF58" s="73">
        <v>2.2461111111111109</v>
      </c>
      <c r="AG58" s="32">
        <f t="shared" si="1"/>
        <v>1.1379460310984945E-2</v>
      </c>
      <c r="AH58" s="32">
        <f t="shared" si="2"/>
        <v>0.25846953038557846</v>
      </c>
      <c r="AI58" s="33">
        <f t="shared" si="3"/>
        <v>1.6289724461393189E-2</v>
      </c>
      <c r="AJ58" s="34">
        <f t="shared" si="4"/>
        <v>0.2323190533466197</v>
      </c>
      <c r="AK58" s="16">
        <f t="shared" si="5"/>
        <v>6.9231328960921053E-3</v>
      </c>
      <c r="AL58" s="16">
        <f t="shared" si="14"/>
        <v>9.873559767231338E-2</v>
      </c>
      <c r="AM58" s="27">
        <f t="shared" si="20"/>
        <v>6.9231328960921052</v>
      </c>
      <c r="AN58" s="27">
        <f t="shared" si="20"/>
        <v>98.735597672313375</v>
      </c>
      <c r="AO58" s="29" t="e">
        <f t="shared" si="15"/>
        <v>#VALUE!</v>
      </c>
      <c r="AP58" s="29" t="e">
        <f t="shared" si="16"/>
        <v>#VALUE!</v>
      </c>
      <c r="AQ58" s="27">
        <f t="shared" si="7"/>
        <v>14.261693247004771</v>
      </c>
      <c r="AR58" s="14">
        <f t="shared" si="8"/>
        <v>5.2620799538257561</v>
      </c>
      <c r="AS58" s="25">
        <v>0.36620000000000003</v>
      </c>
      <c r="AT58" s="22">
        <f t="shared" si="9"/>
        <v>0.36817381192290816</v>
      </c>
      <c r="AU58" s="22">
        <f t="shared" si="10"/>
        <v>1.9738119229081308E-3</v>
      </c>
      <c r="AV58" s="15"/>
      <c r="AW58" s="22"/>
      <c r="AX58" s="34">
        <f t="shared" si="11"/>
        <v>19.738119229081306</v>
      </c>
      <c r="AY58" s="14">
        <f t="shared" si="12"/>
        <v>-25.172797598143632</v>
      </c>
      <c r="AZ58" s="25">
        <v>1.0819000000000001</v>
      </c>
      <c r="BA58" s="22">
        <f t="shared" si="17"/>
        <v>1.0835440415007795</v>
      </c>
      <c r="BB58" s="38">
        <f t="shared" si="18"/>
        <v>1.6440415007794584E-3</v>
      </c>
      <c r="BC58" s="15"/>
      <c r="BD58" s="38"/>
      <c r="BE58" s="38">
        <f t="shared" si="19"/>
        <v>16.440415007794584</v>
      </c>
    </row>
    <row r="59" spans="1:57" ht="15.75">
      <c r="A59" s="67">
        <v>105</v>
      </c>
      <c r="B59" s="134">
        <v>2</v>
      </c>
      <c r="C59" s="66" t="s">
        <v>408</v>
      </c>
      <c r="D59" s="66" t="s">
        <v>426</v>
      </c>
      <c r="E59" s="66" t="s">
        <v>437</v>
      </c>
      <c r="F59" s="66" t="s">
        <v>411</v>
      </c>
      <c r="G59" s="66"/>
      <c r="H59" s="66" t="s">
        <v>427</v>
      </c>
      <c r="I59" s="66">
        <v>100</v>
      </c>
      <c r="J59" s="66">
        <v>20</v>
      </c>
      <c r="K59" s="66">
        <v>30</v>
      </c>
      <c r="L59" s="66" t="s">
        <v>446</v>
      </c>
      <c r="M59" s="66">
        <v>1</v>
      </c>
      <c r="N59"/>
      <c r="O59"/>
      <c r="P59"/>
      <c r="Q59" s="108">
        <v>10</v>
      </c>
      <c r="R59" s="53">
        <v>8</v>
      </c>
      <c r="S59" s="53">
        <f t="shared" si="0"/>
        <v>2</v>
      </c>
      <c r="T59" s="82">
        <v>169</v>
      </c>
      <c r="U59" s="82" t="s">
        <v>249</v>
      </c>
      <c r="V59" s="83">
        <v>2.3557837500000001</v>
      </c>
      <c r="W59" s="83">
        <v>3510.206628869515</v>
      </c>
      <c r="X59" s="83">
        <v>1.248930125</v>
      </c>
      <c r="Y59" s="83">
        <v>20.280177788139294</v>
      </c>
      <c r="Z59" s="69" t="s">
        <v>54</v>
      </c>
      <c r="AA59" s="73">
        <v>5.5661983611111108</v>
      </c>
      <c r="AB59" s="73">
        <v>3.0248816727959098</v>
      </c>
      <c r="AC59" s="73">
        <v>3.9982883888888887</v>
      </c>
      <c r="AD59" s="73">
        <v>-25.508901929003891</v>
      </c>
      <c r="AE59" s="73">
        <v>2.2461111111111109</v>
      </c>
      <c r="AF59" s="73">
        <v>2.2461111111111109</v>
      </c>
      <c r="AG59" s="32">
        <f t="shared" si="1"/>
        <v>1.1379460310984945E-2</v>
      </c>
      <c r="AH59" s="32">
        <f t="shared" si="2"/>
        <v>0.25846953038557846</v>
      </c>
      <c r="AI59" s="33">
        <f t="shared" si="3"/>
        <v>2.6807547684388283E-2</v>
      </c>
      <c r="AJ59" s="34">
        <f t="shared" si="4"/>
        <v>0.32281038289315178</v>
      </c>
      <c r="AK59" s="16">
        <f t="shared" si="5"/>
        <v>1.1393207765865021E-2</v>
      </c>
      <c r="AL59" s="16">
        <f t="shared" si="14"/>
        <v>0.13719441272958952</v>
      </c>
      <c r="AM59" s="27">
        <f t="shared" si="20"/>
        <v>11.393207765865021</v>
      </c>
      <c r="AN59" s="27">
        <f t="shared" si="20"/>
        <v>137.19441272958952</v>
      </c>
      <c r="AO59" s="29" t="e">
        <f t="shared" si="15"/>
        <v>#VALUE!</v>
      </c>
      <c r="AP59" s="29" t="e">
        <f t="shared" si="16"/>
        <v>#VALUE!</v>
      </c>
      <c r="AQ59" s="27">
        <f t="shared" si="7"/>
        <v>12.041772216305505</v>
      </c>
      <c r="AR59" s="14">
        <f t="shared" si="8"/>
        <v>3509.1617471967193</v>
      </c>
      <c r="AS59" s="25">
        <v>0.36620000000000003</v>
      </c>
      <c r="AT59" s="22">
        <f t="shared" si="9"/>
        <v>1.6305405423238994</v>
      </c>
      <c r="AU59" s="22">
        <f t="shared" si="10"/>
        <v>1.2643405423238994</v>
      </c>
      <c r="AV59" s="15"/>
      <c r="AW59" s="22"/>
      <c r="AX59" s="34">
        <f t="shared" si="11"/>
        <v>12643.405423238994</v>
      </c>
      <c r="AY59" s="14">
        <f t="shared" si="12"/>
        <v>19.759079717143184</v>
      </c>
      <c r="AZ59" s="25">
        <v>1.0819000000000001</v>
      </c>
      <c r="BA59" s="22">
        <f t="shared" si="17"/>
        <v>1.1329210978817537</v>
      </c>
      <c r="BB59" s="38">
        <f t="shared" si="18"/>
        <v>5.1021097881753574E-2</v>
      </c>
      <c r="BC59" s="15"/>
      <c r="BD59" s="38"/>
      <c r="BE59" s="38">
        <f t="shared" si="19"/>
        <v>510.21097881753576</v>
      </c>
    </row>
    <row r="60" spans="1:57" ht="15.75">
      <c r="A60" s="67">
        <v>106</v>
      </c>
      <c r="B60" s="134">
        <v>2</v>
      </c>
      <c r="C60" s="66" t="s">
        <v>413</v>
      </c>
      <c r="D60" s="66" t="s">
        <v>418</v>
      </c>
      <c r="E60" s="66" t="s">
        <v>437</v>
      </c>
      <c r="F60" s="66" t="s">
        <v>411</v>
      </c>
      <c r="G60" s="66"/>
      <c r="H60" s="66" t="s">
        <v>427</v>
      </c>
      <c r="I60" s="66">
        <v>100</v>
      </c>
      <c r="J60" s="66">
        <v>20</v>
      </c>
      <c r="K60" s="66">
        <v>30</v>
      </c>
      <c r="L60" s="66" t="s">
        <v>447</v>
      </c>
      <c r="M60" s="66">
        <v>1</v>
      </c>
      <c r="N60"/>
      <c r="O60"/>
      <c r="P60"/>
      <c r="Q60" s="108">
        <v>10</v>
      </c>
      <c r="R60" s="53">
        <v>8</v>
      </c>
      <c r="S60" s="53">
        <f t="shared" si="0"/>
        <v>2</v>
      </c>
      <c r="T60" s="80">
        <v>170</v>
      </c>
      <c r="U60" s="80" t="s">
        <v>250</v>
      </c>
      <c r="V60" s="81">
        <v>1.0420119999999999</v>
      </c>
      <c r="W60" s="81">
        <v>1437.845490324408</v>
      </c>
      <c r="X60" s="81">
        <v>0.54496693750000003</v>
      </c>
      <c r="Y60" s="81">
        <v>-17.311182180600088</v>
      </c>
      <c r="Z60" s="69" t="s">
        <v>54</v>
      </c>
      <c r="AA60" s="73">
        <v>5.5661983611111108</v>
      </c>
      <c r="AB60" s="73">
        <v>3.0248816727959098</v>
      </c>
      <c r="AC60" s="73">
        <v>3.9982883888888887</v>
      </c>
      <c r="AD60" s="73">
        <v>-25.508901929003891</v>
      </c>
      <c r="AE60" s="73">
        <v>2.2461111111111109</v>
      </c>
      <c r="AF60" s="73">
        <v>2.2461111111111109</v>
      </c>
      <c r="AG60" s="32">
        <f t="shared" si="1"/>
        <v>1.1379460310984945E-2</v>
      </c>
      <c r="AH60" s="32">
        <f t="shared" si="2"/>
        <v>0.25846953038557846</v>
      </c>
      <c r="AI60" s="33">
        <f t="shared" si="3"/>
        <v>1.1857534197570045E-2</v>
      </c>
      <c r="AJ60" s="34">
        <f t="shared" si="4"/>
        <v>0.14085734841129188</v>
      </c>
      <c r="AK60" s="16">
        <f t="shared" si="5"/>
        <v>5.0394520339672689E-3</v>
      </c>
      <c r="AL60" s="16">
        <f t="shared" si="14"/>
        <v>5.9864373074799047E-2</v>
      </c>
      <c r="AM60" s="27">
        <f t="shared" si="20"/>
        <v>5.0394520339672688</v>
      </c>
      <c r="AN60" s="27">
        <f t="shared" si="20"/>
        <v>59.864373074799047</v>
      </c>
      <c r="AO60" s="29" t="e">
        <f t="shared" si="15"/>
        <v>#VALUE!</v>
      </c>
      <c r="AP60" s="29" t="e">
        <f t="shared" si="16"/>
        <v>#VALUE!</v>
      </c>
      <c r="AQ60" s="27">
        <f t="shared" si="7"/>
        <v>11.879143341636549</v>
      </c>
      <c r="AR60" s="14">
        <f t="shared" si="8"/>
        <v>1436.800608651612</v>
      </c>
      <c r="AS60" s="25">
        <v>0.36620000000000003</v>
      </c>
      <c r="AT60" s="22">
        <f t="shared" si="9"/>
        <v>0.88781514066570211</v>
      </c>
      <c r="AU60" s="22">
        <f t="shared" si="10"/>
        <v>0.52161514066570214</v>
      </c>
      <c r="AV60" s="15"/>
      <c r="AW60" s="22"/>
      <c r="AX60" s="34">
        <f t="shared" si="11"/>
        <v>5216.1514066570207</v>
      </c>
      <c r="AY60" s="14">
        <f t="shared" si="12"/>
        <v>-17.832280251596199</v>
      </c>
      <c r="AZ60" s="25">
        <v>1.0819000000000001</v>
      </c>
      <c r="BA60" s="22">
        <f t="shared" si="17"/>
        <v>1.0916141377120518</v>
      </c>
      <c r="BB60" s="38">
        <f t="shared" si="18"/>
        <v>9.7141377120517625E-3</v>
      </c>
      <c r="BC60" s="15"/>
      <c r="BD60" s="38"/>
      <c r="BE60" s="38">
        <f t="shared" si="19"/>
        <v>97.141377120517632</v>
      </c>
    </row>
    <row r="61" spans="1:57" s="24" customFormat="1" ht="15.75">
      <c r="A61" s="67">
        <v>107</v>
      </c>
      <c r="B61" s="134">
        <v>2</v>
      </c>
      <c r="C61" s="66" t="s">
        <v>415</v>
      </c>
      <c r="D61" s="66" t="s">
        <v>416</v>
      </c>
      <c r="E61" s="66" t="s">
        <v>437</v>
      </c>
      <c r="F61" s="66" t="s">
        <v>411</v>
      </c>
      <c r="G61" s="66"/>
      <c r="H61" s="66" t="s">
        <v>427</v>
      </c>
      <c r="I61" s="66">
        <v>100</v>
      </c>
      <c r="J61" s="66">
        <v>20</v>
      </c>
      <c r="K61" s="66">
        <v>30</v>
      </c>
      <c r="L61" s="66" t="s">
        <v>448</v>
      </c>
      <c r="M61" s="66">
        <v>1</v>
      </c>
      <c r="N61"/>
      <c r="O61"/>
      <c r="P61"/>
      <c r="Q61" s="108">
        <v>10</v>
      </c>
      <c r="R61" s="53">
        <v>8</v>
      </c>
      <c r="S61" s="53">
        <f t="shared" si="0"/>
        <v>2</v>
      </c>
      <c r="T61" s="82">
        <v>171</v>
      </c>
      <c r="U61" s="82" t="s">
        <v>251</v>
      </c>
      <c r="V61" s="83">
        <v>1.1229715</v>
      </c>
      <c r="W61" s="83">
        <v>2014.7532935884929</v>
      </c>
      <c r="X61" s="83">
        <v>0.62310906249999998</v>
      </c>
      <c r="Y61" s="83">
        <v>-19.806612009833096</v>
      </c>
      <c r="Z61" s="69" t="s">
        <v>54</v>
      </c>
      <c r="AA61" s="73">
        <v>5.5661983611111108</v>
      </c>
      <c r="AB61" s="73">
        <v>3.0248816727959098</v>
      </c>
      <c r="AC61" s="73">
        <v>3.9982883888888887</v>
      </c>
      <c r="AD61" s="73">
        <v>-25.508901929003891</v>
      </c>
      <c r="AE61" s="73">
        <v>2.2461111111111109</v>
      </c>
      <c r="AF61" s="73">
        <v>2.2461111111111109</v>
      </c>
      <c r="AG61" s="32">
        <f t="shared" si="1"/>
        <v>1.1379460310984945E-2</v>
      </c>
      <c r="AH61" s="32">
        <f t="shared" si="2"/>
        <v>0.25846953038557846</v>
      </c>
      <c r="AI61" s="33">
        <f t="shared" si="3"/>
        <v>1.2778809614617231E-2</v>
      </c>
      <c r="AJ61" s="34">
        <f t="shared" si="4"/>
        <v>0.16105470676337305</v>
      </c>
      <c r="AK61" s="16">
        <f t="shared" si="5"/>
        <v>5.4309940862123235E-3</v>
      </c>
      <c r="AL61" s="16">
        <f t="shared" si="14"/>
        <v>6.8448250374433542E-2</v>
      </c>
      <c r="AM61" s="27">
        <f t="shared" si="20"/>
        <v>5.4309940862123236</v>
      </c>
      <c r="AN61" s="27">
        <f t="shared" si="20"/>
        <v>68.448250374433542</v>
      </c>
      <c r="AO61" s="29" t="e">
        <f t="shared" si="15"/>
        <v>#VALUE!</v>
      </c>
      <c r="AP61" s="29" t="e">
        <f t="shared" si="16"/>
        <v>#VALUE!</v>
      </c>
      <c r="AQ61" s="27">
        <f t="shared" si="7"/>
        <v>12.60326365447594</v>
      </c>
      <c r="AR61" s="14">
        <f t="shared" si="8"/>
        <v>2013.7084119156968</v>
      </c>
      <c r="AS61" s="25">
        <v>0.36620000000000003</v>
      </c>
      <c r="AT61" s="22">
        <f t="shared" si="9"/>
        <v>1.0957006112007912</v>
      </c>
      <c r="AU61" s="22">
        <f t="shared" si="10"/>
        <v>0.72950061120079113</v>
      </c>
      <c r="AV61" s="15"/>
      <c r="AW61" s="22"/>
      <c r="AX61" s="34">
        <f t="shared" si="11"/>
        <v>7295.0061120079117</v>
      </c>
      <c r="AY61" s="14">
        <f t="shared" si="12"/>
        <v>-20.327710080829206</v>
      </c>
      <c r="AZ61" s="25">
        <v>1.0819000000000001</v>
      </c>
      <c r="BA61" s="22">
        <f t="shared" si="17"/>
        <v>1.0888708332035997</v>
      </c>
      <c r="BB61" s="38">
        <f t="shared" si="18"/>
        <v>6.9708332035995912E-3</v>
      </c>
      <c r="BC61" s="15"/>
      <c r="BD61" s="38"/>
      <c r="BE61" s="38">
        <f t="shared" si="19"/>
        <v>69.708332035995909</v>
      </c>
    </row>
    <row r="62" spans="1:57" ht="15.75">
      <c r="A62" s="67">
        <v>108</v>
      </c>
      <c r="B62" s="134">
        <v>2</v>
      </c>
      <c r="C62" s="66" t="s">
        <v>417</v>
      </c>
      <c r="D62" s="66" t="s">
        <v>422</v>
      </c>
      <c r="E62" s="66" t="s">
        <v>437</v>
      </c>
      <c r="F62" s="66" t="s">
        <v>411</v>
      </c>
      <c r="G62" s="66"/>
      <c r="H62" s="66" t="s">
        <v>427</v>
      </c>
      <c r="I62" s="66">
        <v>100</v>
      </c>
      <c r="J62" s="66">
        <v>20</v>
      </c>
      <c r="K62" s="66">
        <v>30</v>
      </c>
      <c r="L62" s="66" t="s">
        <v>449</v>
      </c>
      <c r="M62" s="66">
        <v>1</v>
      </c>
      <c r="N62"/>
      <c r="O62"/>
      <c r="P62"/>
      <c r="Q62" s="108">
        <v>10</v>
      </c>
      <c r="R62" s="53">
        <v>8</v>
      </c>
      <c r="S62" s="53">
        <f t="shared" ref="S62:S120" si="21">Q62-R62</f>
        <v>2</v>
      </c>
      <c r="T62" s="80">
        <v>172</v>
      </c>
      <c r="U62" s="80" t="s">
        <v>252</v>
      </c>
      <c r="V62" s="81">
        <v>3.8691585000000002</v>
      </c>
      <c r="W62" s="81">
        <v>740.23676128865327</v>
      </c>
      <c r="X62" s="81">
        <v>1.839968125</v>
      </c>
      <c r="Y62" s="81">
        <v>-12.793048746235691</v>
      </c>
      <c r="Z62" s="69" t="s">
        <v>54</v>
      </c>
      <c r="AA62" s="73">
        <v>5.5661983611111108</v>
      </c>
      <c r="AB62" s="73">
        <v>3.0248816727959098</v>
      </c>
      <c r="AC62" s="73">
        <v>3.9982883888888887</v>
      </c>
      <c r="AD62" s="73">
        <v>-25.508901929003891</v>
      </c>
      <c r="AE62" s="73">
        <v>2.2461111111111109</v>
      </c>
      <c r="AF62" s="73">
        <v>2.2461111111111109</v>
      </c>
      <c r="AG62" s="32">
        <f t="shared" ref="AG62:AG120" si="22">((2.82/100)*AE62)/AA62</f>
        <v>1.1379460310984945E-2</v>
      </c>
      <c r="AH62" s="32">
        <f t="shared" ref="AH62:AH120" si="23">((46.01/100)*AF62)/AC62</f>
        <v>0.25846953038557846</v>
      </c>
      <c r="AI62" s="33">
        <f t="shared" ref="AI62:AI120" si="24">V62*AG62</f>
        <v>4.4028935587660044E-2</v>
      </c>
      <c r="AJ62" s="34">
        <f t="shared" ref="AJ62:AJ120" si="25">X62*AH62</f>
        <v>0.47557569719318332</v>
      </c>
      <c r="AK62" s="16">
        <f t="shared" ref="AK62:AK120" si="26">((AI62/K62)*(100+S62))/(R62)</f>
        <v>1.8712297624755517E-2</v>
      </c>
      <c r="AL62" s="16">
        <f t="shared" si="14"/>
        <v>0.20211967130710293</v>
      </c>
      <c r="AM62" s="27">
        <f t="shared" si="20"/>
        <v>18.712297624755518</v>
      </c>
      <c r="AN62" s="27">
        <f t="shared" si="20"/>
        <v>202.11967130710292</v>
      </c>
      <c r="AO62" s="29" t="e">
        <f t="shared" si="15"/>
        <v>#VALUE!</v>
      </c>
      <c r="AP62" s="29" t="e">
        <f t="shared" si="16"/>
        <v>#VALUE!</v>
      </c>
      <c r="AQ62" s="27">
        <f t="shared" ref="AQ62:AQ120" si="27">AJ62/AI62</f>
        <v>10.801435257191923</v>
      </c>
      <c r="AR62" s="14">
        <f t="shared" ref="AR62:AR120" si="28">W62+(1.98-AB62)</f>
        <v>739.19187961585737</v>
      </c>
      <c r="AS62" s="25">
        <v>0.36620000000000003</v>
      </c>
      <c r="AT62" s="22">
        <f t="shared" ref="AT62:AT120" si="29">100*0.003676*(AR62/1000+1)/(1+0.003676*(AR62/1000+1))</f>
        <v>0.63526551142382914</v>
      </c>
      <c r="AU62" s="22">
        <f t="shared" ref="AU62:AU120" si="30">AT62-AS62</f>
        <v>0.26906551142382912</v>
      </c>
      <c r="AV62" s="15"/>
      <c r="AW62" s="22"/>
      <c r="AX62" s="34">
        <f t="shared" ref="AX62:AX120" si="31">(((AI62*(AU62%))/AI62)*1000)*1000</f>
        <v>2690.6551142382914</v>
      </c>
      <c r="AY62" s="14">
        <f t="shared" ref="AY62:AY120" si="32">Y62+(-26.03-AD62)</f>
        <v>-13.314146817231801</v>
      </c>
      <c r="AZ62" s="25">
        <v>1.0819000000000001</v>
      </c>
      <c r="BA62" s="22">
        <f t="shared" si="17"/>
        <v>1.096580676762658</v>
      </c>
      <c r="BB62" s="38">
        <f t="shared" si="18"/>
        <v>1.468067676265794E-2</v>
      </c>
      <c r="BC62" s="15"/>
      <c r="BD62" s="38"/>
      <c r="BE62" s="38">
        <f t="shared" si="19"/>
        <v>146.80676762657941</v>
      </c>
    </row>
    <row r="63" spans="1:57" ht="15.75">
      <c r="A63" s="67">
        <v>109</v>
      </c>
      <c r="B63" s="134">
        <v>2</v>
      </c>
      <c r="C63" s="66" t="s">
        <v>419</v>
      </c>
      <c r="D63" s="66" t="s">
        <v>409</v>
      </c>
      <c r="E63" s="66" t="s">
        <v>437</v>
      </c>
      <c r="F63" s="66" t="s">
        <v>411</v>
      </c>
      <c r="G63" s="66"/>
      <c r="H63" s="66" t="s">
        <v>427</v>
      </c>
      <c r="I63" s="66">
        <v>100</v>
      </c>
      <c r="J63" s="66">
        <v>20</v>
      </c>
      <c r="K63" s="66">
        <v>30</v>
      </c>
      <c r="L63" s="66" t="s">
        <v>450</v>
      </c>
      <c r="M63" s="66">
        <v>1</v>
      </c>
      <c r="N63"/>
      <c r="O63"/>
      <c r="P63"/>
      <c r="Q63" s="108">
        <v>10</v>
      </c>
      <c r="R63" s="53">
        <v>8</v>
      </c>
      <c r="S63" s="53">
        <f t="shared" si="21"/>
        <v>2</v>
      </c>
      <c r="T63" s="82">
        <v>173</v>
      </c>
      <c r="U63" s="82" t="s">
        <v>253</v>
      </c>
      <c r="V63" s="83">
        <v>1.5074961250000001</v>
      </c>
      <c r="W63" s="83">
        <v>567.99364881775671</v>
      </c>
      <c r="X63" s="83">
        <v>0.85477674999999997</v>
      </c>
      <c r="Y63" s="83">
        <v>-17.994503568906016</v>
      </c>
      <c r="Z63" s="69" t="s">
        <v>54</v>
      </c>
      <c r="AA63" s="73">
        <v>5.5661983611111108</v>
      </c>
      <c r="AB63" s="73">
        <v>3.0248816727959098</v>
      </c>
      <c r="AC63" s="73">
        <v>3.9982883888888887</v>
      </c>
      <c r="AD63" s="73">
        <v>-25.508901929003891</v>
      </c>
      <c r="AE63" s="73">
        <v>2.2461111111111109</v>
      </c>
      <c r="AF63" s="73">
        <v>2.2461111111111109</v>
      </c>
      <c r="AG63" s="32">
        <f t="shared" si="22"/>
        <v>1.1379460310984945E-2</v>
      </c>
      <c r="AH63" s="32">
        <f t="shared" si="23"/>
        <v>0.25846953038557846</v>
      </c>
      <c r="AI63" s="33">
        <f t="shared" si="24"/>
        <v>1.7154492323401101E-2</v>
      </c>
      <c r="AJ63" s="34">
        <f t="shared" si="25"/>
        <v>0.220933745157011</v>
      </c>
      <c r="AK63" s="16">
        <f t="shared" si="26"/>
        <v>7.2906592374454675E-3</v>
      </c>
      <c r="AL63" s="16">
        <f t="shared" ref="AL63:AL120" si="33">((AJ63/K63)*(100+S63))/(R63)</f>
        <v>9.3896841691729682E-2</v>
      </c>
      <c r="AM63" s="27">
        <f t="shared" si="20"/>
        <v>7.2906592374454675</v>
      </c>
      <c r="AN63" s="27">
        <f t="shared" si="20"/>
        <v>93.896841691729676</v>
      </c>
      <c r="AO63" s="29" t="e">
        <f t="shared" ref="AO63:AO120" si="34">AI63*100/Z63</f>
        <v>#VALUE!</v>
      </c>
      <c r="AP63" s="29" t="e">
        <f t="shared" ref="AP63:AP120" si="35">AJ63*100/Z63</f>
        <v>#VALUE!</v>
      </c>
      <c r="AQ63" s="27">
        <f t="shared" si="27"/>
        <v>12.879060539473198</v>
      </c>
      <c r="AR63" s="14">
        <f t="shared" si="28"/>
        <v>566.94876714496081</v>
      </c>
      <c r="AS63" s="25">
        <v>0.36620000000000003</v>
      </c>
      <c r="AT63" s="22">
        <f t="shared" si="29"/>
        <v>0.57271148925252424</v>
      </c>
      <c r="AU63" s="22">
        <f t="shared" si="30"/>
        <v>0.20651148925252422</v>
      </c>
      <c r="AV63" s="15"/>
      <c r="AW63" s="22"/>
      <c r="AX63" s="34">
        <f t="shared" si="31"/>
        <v>2065.1148925252423</v>
      </c>
      <c r="AY63" s="14">
        <f t="shared" si="32"/>
        <v>-18.515601639902126</v>
      </c>
      <c r="AZ63" s="25">
        <v>1.0819000000000001</v>
      </c>
      <c r="BA63" s="22">
        <f t="shared" ref="BA63:BA120" si="36">100*0.011237*(AY63/1000+1)/(1+0.011237*(AY63/1000+1))</f>
        <v>1.0908629561445757</v>
      </c>
      <c r="BB63" s="38">
        <f t="shared" ref="BB63:BB120" si="37">BA63-AZ63</f>
        <v>8.9629561445756512E-3</v>
      </c>
      <c r="BC63" s="15"/>
      <c r="BD63" s="38"/>
      <c r="BE63" s="38">
        <f t="shared" ref="BE63:BE120" si="38">(((AJ63*(BB63%))/AJ63)*1000)*1000</f>
        <v>89.629561445756508</v>
      </c>
    </row>
    <row r="64" spans="1:57" s="24" customFormat="1" ht="15.75">
      <c r="A64" s="67">
        <v>110</v>
      </c>
      <c r="B64" s="134">
        <v>2</v>
      </c>
      <c r="C64" s="66" t="s">
        <v>421</v>
      </c>
      <c r="D64" s="66" t="s">
        <v>424</v>
      </c>
      <c r="E64" s="66" t="s">
        <v>437</v>
      </c>
      <c r="F64" s="66" t="s">
        <v>411</v>
      </c>
      <c r="G64" s="66"/>
      <c r="H64" s="66" t="s">
        <v>427</v>
      </c>
      <c r="I64" s="66">
        <v>100</v>
      </c>
      <c r="J64" s="66">
        <v>20</v>
      </c>
      <c r="K64" s="66">
        <v>30</v>
      </c>
      <c r="L64" s="66" t="s">
        <v>451</v>
      </c>
      <c r="M64" s="66">
        <v>1</v>
      </c>
      <c r="N64"/>
      <c r="O64"/>
      <c r="P64"/>
      <c r="Q64" s="108">
        <v>10</v>
      </c>
      <c r="R64" s="53">
        <v>8</v>
      </c>
      <c r="S64" s="53">
        <f t="shared" si="21"/>
        <v>2</v>
      </c>
      <c r="T64" s="80">
        <v>174</v>
      </c>
      <c r="U64" s="80" t="s">
        <v>254</v>
      </c>
      <c r="V64" s="81">
        <v>0.98080362499999996</v>
      </c>
      <c r="W64" s="81">
        <v>163.12507968216181</v>
      </c>
      <c r="X64" s="81">
        <v>0.60276331250000004</v>
      </c>
      <c r="Y64" s="81">
        <v>-19.898006289740042</v>
      </c>
      <c r="Z64" s="69" t="s">
        <v>54</v>
      </c>
      <c r="AA64" s="73">
        <v>5.5661983611111108</v>
      </c>
      <c r="AB64" s="73">
        <v>3.0248816727959098</v>
      </c>
      <c r="AC64" s="73">
        <v>3.9982883888888887</v>
      </c>
      <c r="AD64" s="73">
        <v>-25.508901929003891</v>
      </c>
      <c r="AE64" s="73">
        <v>2.2461111111111109</v>
      </c>
      <c r="AF64" s="73">
        <v>2.2461111111111109</v>
      </c>
      <c r="AG64" s="32">
        <f t="shared" si="22"/>
        <v>1.1379460310984945E-2</v>
      </c>
      <c r="AH64" s="32">
        <f t="shared" si="23"/>
        <v>0.25846953038557846</v>
      </c>
      <c r="AI64" s="33">
        <f t="shared" si="24"/>
        <v>1.1161015923557661E-2</v>
      </c>
      <c r="AJ64" s="34">
        <f t="shared" si="25"/>
        <v>0.15579595031553067</v>
      </c>
      <c r="AK64" s="16">
        <f t="shared" si="26"/>
        <v>4.7434317675120064E-3</v>
      </c>
      <c r="AL64" s="16">
        <f t="shared" si="33"/>
        <v>6.6213278884100543E-2</v>
      </c>
      <c r="AM64" s="27">
        <f t="shared" si="20"/>
        <v>4.7434317675120061</v>
      </c>
      <c r="AN64" s="27">
        <f t="shared" si="20"/>
        <v>66.213278884100546</v>
      </c>
      <c r="AO64" s="29" t="e">
        <f t="shared" si="34"/>
        <v>#VALUE!</v>
      </c>
      <c r="AP64" s="29" t="e">
        <f t="shared" si="35"/>
        <v>#VALUE!</v>
      </c>
      <c r="AQ64" s="27">
        <f t="shared" si="27"/>
        <v>13.958939883482355</v>
      </c>
      <c r="AR64" s="14">
        <f t="shared" si="28"/>
        <v>162.08019800936592</v>
      </c>
      <c r="AS64" s="25">
        <v>0.36620000000000003</v>
      </c>
      <c r="AT64" s="22">
        <f t="shared" si="29"/>
        <v>0.42536360962482206</v>
      </c>
      <c r="AU64" s="22">
        <f t="shared" si="30"/>
        <v>5.9163609624822033E-2</v>
      </c>
      <c r="AV64" s="15"/>
      <c r="AW64" s="22"/>
      <c r="AX64" s="34">
        <f t="shared" si="31"/>
        <v>591.63609624822038</v>
      </c>
      <c r="AY64" s="14">
        <f t="shared" si="32"/>
        <v>-20.419104360736153</v>
      </c>
      <c r="AZ64" s="25">
        <v>1.0819000000000001</v>
      </c>
      <c r="BA64" s="22">
        <f t="shared" si="36"/>
        <v>1.0887703577080114</v>
      </c>
      <c r="BB64" s="38">
        <f t="shared" si="37"/>
        <v>6.8703577080113654E-3</v>
      </c>
      <c r="BC64" s="15"/>
      <c r="BD64" s="38"/>
      <c r="BE64" s="38">
        <f t="shared" si="38"/>
        <v>68.703577080113661</v>
      </c>
    </row>
    <row r="65" spans="1:57" ht="15.75">
      <c r="A65" s="67">
        <v>111</v>
      </c>
      <c r="B65" s="134">
        <v>2</v>
      </c>
      <c r="C65" s="66" t="s">
        <v>423</v>
      </c>
      <c r="D65" s="66" t="s">
        <v>414</v>
      </c>
      <c r="E65" s="66" t="s">
        <v>437</v>
      </c>
      <c r="F65" s="66" t="s">
        <v>411</v>
      </c>
      <c r="G65" s="66"/>
      <c r="H65" s="66" t="s">
        <v>427</v>
      </c>
      <c r="I65" s="66">
        <v>100</v>
      </c>
      <c r="J65" s="66">
        <v>20</v>
      </c>
      <c r="K65" s="66">
        <v>30</v>
      </c>
      <c r="L65" s="66" t="s">
        <v>452</v>
      </c>
      <c r="M65" s="66">
        <v>1</v>
      </c>
      <c r="N65"/>
      <c r="O65"/>
      <c r="P65"/>
      <c r="Q65" s="108">
        <v>10</v>
      </c>
      <c r="R65" s="53">
        <v>8</v>
      </c>
      <c r="S65" s="53">
        <f t="shared" si="21"/>
        <v>2</v>
      </c>
      <c r="T65" s="82">
        <v>175</v>
      </c>
      <c r="U65" s="82" t="s">
        <v>255</v>
      </c>
      <c r="V65" s="83">
        <v>0.79729881250000001</v>
      </c>
      <c r="W65" s="83">
        <v>659.82085113769995</v>
      </c>
      <c r="X65" s="83">
        <v>0.41005306250000001</v>
      </c>
      <c r="Y65" s="83">
        <v>-13.80115443038679</v>
      </c>
      <c r="Z65" s="69" t="s">
        <v>54</v>
      </c>
      <c r="AA65" s="73">
        <v>5.5661983611111108</v>
      </c>
      <c r="AB65" s="73">
        <v>3.0248816727959098</v>
      </c>
      <c r="AC65" s="73">
        <v>3.9982883888888887</v>
      </c>
      <c r="AD65" s="73">
        <v>-25.508901929003891</v>
      </c>
      <c r="AE65" s="73">
        <v>2.2461111111111109</v>
      </c>
      <c r="AF65" s="73">
        <v>2.2461111111111109</v>
      </c>
      <c r="AG65" s="32">
        <f t="shared" si="22"/>
        <v>1.1379460310984945E-2</v>
      </c>
      <c r="AH65" s="32">
        <f t="shared" si="23"/>
        <v>0.25846953038557846</v>
      </c>
      <c r="AI65" s="33">
        <f t="shared" si="24"/>
        <v>9.0728301928391774E-3</v>
      </c>
      <c r="AJ65" s="34">
        <f t="shared" si="25"/>
        <v>0.10598622249754326</v>
      </c>
      <c r="AK65" s="16">
        <f t="shared" si="26"/>
        <v>3.8559528319566504E-3</v>
      </c>
      <c r="AL65" s="16">
        <f t="shared" si="33"/>
        <v>4.5044144561455883E-2</v>
      </c>
      <c r="AM65" s="27">
        <f t="shared" si="20"/>
        <v>3.8559528319566505</v>
      </c>
      <c r="AN65" s="27">
        <f t="shared" si="20"/>
        <v>45.04414456145588</v>
      </c>
      <c r="AO65" s="29" t="e">
        <f t="shared" si="34"/>
        <v>#VALUE!</v>
      </c>
      <c r="AP65" s="29" t="e">
        <f t="shared" si="35"/>
        <v>#VALUE!</v>
      </c>
      <c r="AQ65" s="27">
        <f t="shared" si="27"/>
        <v>11.681715654856404</v>
      </c>
      <c r="AR65" s="14">
        <f t="shared" si="28"/>
        <v>658.77596946490405</v>
      </c>
      <c r="AS65" s="25">
        <v>0.36620000000000003</v>
      </c>
      <c r="AT65" s="22">
        <f t="shared" si="29"/>
        <v>0.60607043464769783</v>
      </c>
      <c r="AU65" s="22">
        <f t="shared" si="30"/>
        <v>0.23987043464769781</v>
      </c>
      <c r="AV65" s="15"/>
      <c r="AW65" s="22"/>
      <c r="AX65" s="34">
        <f t="shared" si="31"/>
        <v>2398.7043464769781</v>
      </c>
      <c r="AY65" s="14">
        <f t="shared" si="32"/>
        <v>-14.3222525013829</v>
      </c>
      <c r="AZ65" s="25">
        <v>1.0819000000000001</v>
      </c>
      <c r="BA65" s="22">
        <f t="shared" si="36"/>
        <v>1.0954725640863578</v>
      </c>
      <c r="BB65" s="38">
        <f t="shared" si="37"/>
        <v>1.3572564086357763E-2</v>
      </c>
      <c r="BC65" s="15"/>
      <c r="BD65" s="38"/>
      <c r="BE65" s="38">
        <f t="shared" si="38"/>
        <v>135.72564086357764</v>
      </c>
    </row>
    <row r="66" spans="1:57" ht="15.75">
      <c r="A66" s="67">
        <v>112</v>
      </c>
      <c r="B66" s="134">
        <v>2</v>
      </c>
      <c r="C66" s="66" t="s">
        <v>425</v>
      </c>
      <c r="D66" s="66" t="s">
        <v>420</v>
      </c>
      <c r="E66" s="66" t="s">
        <v>437</v>
      </c>
      <c r="F66" s="66" t="s">
        <v>411</v>
      </c>
      <c r="G66" s="66"/>
      <c r="H66" s="66" t="s">
        <v>427</v>
      </c>
      <c r="I66" s="66">
        <v>100</v>
      </c>
      <c r="J66" s="66">
        <v>20</v>
      </c>
      <c r="K66" s="66">
        <v>30</v>
      </c>
      <c r="L66" s="66" t="s">
        <v>453</v>
      </c>
      <c r="M66" s="66">
        <v>1</v>
      </c>
      <c r="N66"/>
      <c r="O66"/>
      <c r="P66"/>
      <c r="Q66" s="108">
        <v>10</v>
      </c>
      <c r="R66" s="53">
        <v>8</v>
      </c>
      <c r="S66" s="53">
        <f t="shared" si="21"/>
        <v>2</v>
      </c>
      <c r="T66" s="80">
        <v>176</v>
      </c>
      <c r="U66" s="80" t="s">
        <v>256</v>
      </c>
      <c r="V66" s="81">
        <v>1.9030588749999999</v>
      </c>
      <c r="W66" s="81">
        <v>209.34704667735562</v>
      </c>
      <c r="X66" s="81">
        <v>1.173202125</v>
      </c>
      <c r="Y66" s="81">
        <v>-19.415957379511152</v>
      </c>
      <c r="Z66" s="70" t="s">
        <v>106</v>
      </c>
      <c r="AA66" s="73">
        <v>5.5661983611111108</v>
      </c>
      <c r="AB66" s="73">
        <v>3.0248816727959098</v>
      </c>
      <c r="AC66" s="73">
        <v>3.9982883888888887</v>
      </c>
      <c r="AD66" s="73">
        <v>-25.508901929003891</v>
      </c>
      <c r="AE66" s="73">
        <v>2.2461111111111109</v>
      </c>
      <c r="AF66" s="73">
        <v>2.2461111111111109</v>
      </c>
      <c r="AG66" s="32">
        <f t="shared" si="22"/>
        <v>1.1379460310984945E-2</v>
      </c>
      <c r="AH66" s="32">
        <f t="shared" si="23"/>
        <v>0.25846953038557846</v>
      </c>
      <c r="AI66" s="33">
        <f t="shared" si="24"/>
        <v>2.165578293753016E-2</v>
      </c>
      <c r="AJ66" s="34">
        <f t="shared" si="25"/>
        <v>0.30323700229611272</v>
      </c>
      <c r="AK66" s="16">
        <f t="shared" si="26"/>
        <v>9.2037077484503176E-3</v>
      </c>
      <c r="AL66" s="16">
        <f t="shared" si="33"/>
        <v>0.1288757259758479</v>
      </c>
      <c r="AM66" s="27">
        <f t="shared" si="20"/>
        <v>9.2037077484503182</v>
      </c>
      <c r="AN66" s="27">
        <f t="shared" si="20"/>
        <v>128.8757259758479</v>
      </c>
      <c r="AO66" s="29" t="e">
        <f t="shared" si="34"/>
        <v>#VALUE!</v>
      </c>
      <c r="AP66" s="29" t="e">
        <f t="shared" si="35"/>
        <v>#VALUE!</v>
      </c>
      <c r="AQ66" s="27">
        <f t="shared" si="27"/>
        <v>14.002587815497234</v>
      </c>
      <c r="AR66" s="14">
        <f t="shared" si="28"/>
        <v>208.3021650045597</v>
      </c>
      <c r="AS66" s="25">
        <v>0.36620000000000003</v>
      </c>
      <c r="AT66" s="22">
        <f t="shared" si="29"/>
        <v>0.44220771355918181</v>
      </c>
      <c r="AU66" s="22">
        <f t="shared" si="30"/>
        <v>7.6007713559181789E-2</v>
      </c>
      <c r="AV66" s="15"/>
      <c r="AW66" s="22"/>
      <c r="AX66" s="34">
        <f t="shared" si="31"/>
        <v>760.07713559181786</v>
      </c>
      <c r="AY66" s="14">
        <f t="shared" si="32"/>
        <v>-19.937055450507263</v>
      </c>
      <c r="AZ66" s="25">
        <v>1.0819000000000001</v>
      </c>
      <c r="BA66" s="22">
        <f t="shared" si="36"/>
        <v>1.0893003021739349</v>
      </c>
      <c r="BB66" s="38">
        <f t="shared" si="37"/>
        <v>7.4003021739348362E-3</v>
      </c>
      <c r="BC66" s="15"/>
      <c r="BD66" s="38"/>
      <c r="BE66" s="38">
        <f t="shared" si="38"/>
        <v>74.003021739348355</v>
      </c>
    </row>
    <row r="67" spans="1:57" ht="15.75">
      <c r="A67" s="67">
        <v>113</v>
      </c>
      <c r="B67" s="134">
        <v>3</v>
      </c>
      <c r="C67" s="66" t="s">
        <v>408</v>
      </c>
      <c r="D67" s="66" t="s">
        <v>418</v>
      </c>
      <c r="E67" s="66" t="s">
        <v>437</v>
      </c>
      <c r="F67" s="66" t="s">
        <v>411</v>
      </c>
      <c r="G67" s="66"/>
      <c r="H67" s="66" t="s">
        <v>429</v>
      </c>
      <c r="I67" s="66">
        <v>100</v>
      </c>
      <c r="J67" s="66">
        <v>20</v>
      </c>
      <c r="K67" s="66">
        <v>30</v>
      </c>
      <c r="L67" s="66" t="s">
        <v>454</v>
      </c>
      <c r="M67" s="66">
        <v>1</v>
      </c>
      <c r="N67"/>
      <c r="O67"/>
      <c r="P67"/>
      <c r="Q67" s="108">
        <v>10</v>
      </c>
      <c r="R67" s="53">
        <v>8</v>
      </c>
      <c r="S67" s="53">
        <f t="shared" si="21"/>
        <v>2</v>
      </c>
      <c r="T67" s="82">
        <v>177</v>
      </c>
      <c r="U67" s="82" t="s">
        <v>257</v>
      </c>
      <c r="V67" s="83">
        <v>1.06129875</v>
      </c>
      <c r="W67" s="83">
        <v>428.62197375393362</v>
      </c>
      <c r="X67" s="83">
        <v>0.53748724999999997</v>
      </c>
      <c r="Y67" s="83">
        <v>-23.491166179203244</v>
      </c>
      <c r="Z67" s="71" t="s">
        <v>106</v>
      </c>
      <c r="AA67" s="73">
        <v>5.5661983611111108</v>
      </c>
      <c r="AB67" s="73">
        <v>3.0248816727959098</v>
      </c>
      <c r="AC67" s="73">
        <v>3.9982883888888887</v>
      </c>
      <c r="AD67" s="73">
        <v>-25.508901929003891</v>
      </c>
      <c r="AE67" s="73">
        <v>2.2461111111111109</v>
      </c>
      <c r="AF67" s="73">
        <v>2.2461111111111109</v>
      </c>
      <c r="AG67" s="32">
        <f t="shared" si="22"/>
        <v>1.1379460310984945E-2</v>
      </c>
      <c r="AH67" s="32">
        <f t="shared" si="23"/>
        <v>0.25846953038557846</v>
      </c>
      <c r="AI67" s="33">
        <f t="shared" si="24"/>
        <v>1.2077007003722934E-2</v>
      </c>
      <c r="AJ67" s="34">
        <f t="shared" si="25"/>
        <v>0.13892407709573601</v>
      </c>
      <c r="AK67" s="16">
        <f t="shared" si="26"/>
        <v>5.1327279765822466E-3</v>
      </c>
      <c r="AL67" s="16">
        <f t="shared" si="33"/>
        <v>5.9042732765687805E-2</v>
      </c>
      <c r="AM67" s="27">
        <f t="shared" ref="AM67:AN99" si="39">AK67*1000</f>
        <v>5.1327279765822462</v>
      </c>
      <c r="AN67" s="27">
        <f t="shared" si="39"/>
        <v>59.042732765687802</v>
      </c>
      <c r="AO67" s="29" t="e">
        <f t="shared" si="34"/>
        <v>#VALUE!</v>
      </c>
      <c r="AP67" s="29" t="e">
        <f t="shared" si="35"/>
        <v>#VALUE!</v>
      </c>
      <c r="AQ67" s="27">
        <f t="shared" si="27"/>
        <v>11.503187590510661</v>
      </c>
      <c r="AR67" s="14">
        <f t="shared" si="28"/>
        <v>427.57709208113772</v>
      </c>
      <c r="AS67" s="25">
        <v>0.36620000000000003</v>
      </c>
      <c r="AT67" s="22">
        <f t="shared" si="29"/>
        <v>0.52203780295783409</v>
      </c>
      <c r="AU67" s="22">
        <f t="shared" si="30"/>
        <v>0.15583780295783406</v>
      </c>
      <c r="AV67" s="15"/>
      <c r="AW67" s="22"/>
      <c r="AX67" s="34">
        <f t="shared" si="31"/>
        <v>1558.3780295783406</v>
      </c>
      <c r="AY67" s="14">
        <f t="shared" si="32"/>
        <v>-24.012264250199355</v>
      </c>
      <c r="AZ67" s="25">
        <v>1.0819000000000001</v>
      </c>
      <c r="BA67" s="22">
        <f t="shared" si="36"/>
        <v>1.0848200086658815</v>
      </c>
      <c r="BB67" s="38">
        <f t="shared" si="37"/>
        <v>2.9200086658813795E-3</v>
      </c>
      <c r="BC67" s="15"/>
      <c r="BD67" s="38"/>
      <c r="BE67" s="38">
        <f t="shared" si="38"/>
        <v>29.200086658813795</v>
      </c>
    </row>
    <row r="68" spans="1:57" ht="15.75">
      <c r="A68" s="67">
        <v>114</v>
      </c>
      <c r="B68" s="134">
        <v>3</v>
      </c>
      <c r="C68" s="66" t="s">
        <v>413</v>
      </c>
      <c r="D68" s="66" t="s">
        <v>416</v>
      </c>
      <c r="E68" s="66" t="s">
        <v>437</v>
      </c>
      <c r="F68" s="66" t="s">
        <v>411</v>
      </c>
      <c r="G68" s="66"/>
      <c r="H68" s="66" t="s">
        <v>429</v>
      </c>
      <c r="I68" s="66">
        <v>100</v>
      </c>
      <c r="J68" s="66">
        <v>20</v>
      </c>
      <c r="K68" s="66">
        <v>30</v>
      </c>
      <c r="L68" s="66" t="s">
        <v>455</v>
      </c>
      <c r="M68" s="66">
        <v>1</v>
      </c>
      <c r="N68"/>
      <c r="O68"/>
      <c r="P68"/>
      <c r="Q68" s="108">
        <v>10</v>
      </c>
      <c r="R68" s="53">
        <v>8</v>
      </c>
      <c r="S68" s="53">
        <f t="shared" si="21"/>
        <v>2</v>
      </c>
      <c r="T68" s="80">
        <v>178</v>
      </c>
      <c r="U68" s="80" t="s">
        <v>258</v>
      </c>
      <c r="V68" s="81">
        <v>0.61532443749999999</v>
      </c>
      <c r="W68" s="81">
        <v>632.50043832185349</v>
      </c>
      <c r="X68" s="81">
        <v>0.33419996875000002</v>
      </c>
      <c r="Y68" s="81">
        <v>-19.95075446983536</v>
      </c>
      <c r="Z68" s="71" t="s">
        <v>106</v>
      </c>
      <c r="AA68" s="73">
        <v>5.5661983611111108</v>
      </c>
      <c r="AB68" s="73">
        <v>3.0248816727959098</v>
      </c>
      <c r="AC68" s="73">
        <v>3.9982883888888887</v>
      </c>
      <c r="AD68" s="73">
        <v>-25.508901929003891</v>
      </c>
      <c r="AE68" s="73">
        <v>2.2461111111111109</v>
      </c>
      <c r="AF68" s="73">
        <v>2.2461111111111109</v>
      </c>
      <c r="AG68" s="32">
        <f t="shared" si="22"/>
        <v>1.1379460310984945E-2</v>
      </c>
      <c r="AH68" s="32">
        <f t="shared" si="23"/>
        <v>0.25846953038557846</v>
      </c>
      <c r="AI68" s="33">
        <f t="shared" si="24"/>
        <v>7.0020600149103863E-3</v>
      </c>
      <c r="AJ68" s="34">
        <f t="shared" si="25"/>
        <v>8.6380508977687509E-2</v>
      </c>
      <c r="AK68" s="16">
        <f t="shared" si="26"/>
        <v>2.975875506336914E-3</v>
      </c>
      <c r="AL68" s="16">
        <f t="shared" si="33"/>
        <v>3.6711716315517187E-2</v>
      </c>
      <c r="AM68" s="27">
        <f t="shared" si="39"/>
        <v>2.975875506336914</v>
      </c>
      <c r="AN68" s="27">
        <f t="shared" si="39"/>
        <v>36.711716315517187</v>
      </c>
      <c r="AO68" s="29" t="e">
        <f t="shared" si="34"/>
        <v>#VALUE!</v>
      </c>
      <c r="AP68" s="29" t="e">
        <f t="shared" si="35"/>
        <v>#VALUE!</v>
      </c>
      <c r="AQ68" s="27">
        <f t="shared" si="27"/>
        <v>12.336442246102774</v>
      </c>
      <c r="AR68" s="14">
        <f t="shared" si="28"/>
        <v>631.4555566490576</v>
      </c>
      <c r="AS68" s="25">
        <v>0.36620000000000003</v>
      </c>
      <c r="AT68" s="22">
        <f t="shared" si="29"/>
        <v>0.59614782662061683</v>
      </c>
      <c r="AU68" s="22">
        <f t="shared" si="30"/>
        <v>0.2299478266206168</v>
      </c>
      <c r="AV68" s="15"/>
      <c r="AW68" s="22"/>
      <c r="AX68" s="34">
        <f t="shared" si="31"/>
        <v>2299.478266206168</v>
      </c>
      <c r="AY68" s="14">
        <f t="shared" si="32"/>
        <v>-20.47185254083147</v>
      </c>
      <c r="AZ68" s="25">
        <v>1.0819000000000001</v>
      </c>
      <c r="BA68" s="22">
        <f t="shared" si="36"/>
        <v>1.0887123682142181</v>
      </c>
      <c r="BB68" s="38">
        <f t="shared" si="37"/>
        <v>6.8123682142180453E-3</v>
      </c>
      <c r="BC68" s="15"/>
      <c r="BD68" s="38"/>
      <c r="BE68" s="38">
        <f t="shared" si="38"/>
        <v>68.123682142180456</v>
      </c>
    </row>
    <row r="69" spans="1:57" ht="15.75">
      <c r="A69" s="67">
        <v>115</v>
      </c>
      <c r="B69" s="134">
        <v>3</v>
      </c>
      <c r="C69" s="66" t="s">
        <v>415</v>
      </c>
      <c r="D69" s="66" t="s">
        <v>426</v>
      </c>
      <c r="E69" s="66" t="s">
        <v>437</v>
      </c>
      <c r="F69" s="66" t="s">
        <v>411</v>
      </c>
      <c r="G69" s="66"/>
      <c r="H69" s="66" t="s">
        <v>429</v>
      </c>
      <c r="I69" s="66">
        <v>100</v>
      </c>
      <c r="J69" s="66">
        <v>20</v>
      </c>
      <c r="K69" s="66">
        <v>30</v>
      </c>
      <c r="L69" s="66" t="s">
        <v>456</v>
      </c>
      <c r="M69" s="66">
        <v>1</v>
      </c>
      <c r="N69"/>
      <c r="O69"/>
      <c r="P69"/>
      <c r="Q69" s="108">
        <v>10</v>
      </c>
      <c r="R69" s="53">
        <v>8</v>
      </c>
      <c r="S69" s="53">
        <f t="shared" si="21"/>
        <v>2</v>
      </c>
      <c r="T69" s="80">
        <v>180</v>
      </c>
      <c r="U69" s="80" t="s">
        <v>260</v>
      </c>
      <c r="V69" s="81">
        <v>1.078176</v>
      </c>
      <c r="W69" s="81">
        <v>190.98903274405049</v>
      </c>
      <c r="X69" s="81">
        <v>0.56705537500000003</v>
      </c>
      <c r="Y69" s="81">
        <v>-21.317332574097755</v>
      </c>
      <c r="Z69" s="71" t="s">
        <v>106</v>
      </c>
      <c r="AA69" s="73">
        <v>5.5661983611111108</v>
      </c>
      <c r="AB69" s="73">
        <v>3.0248816727959098</v>
      </c>
      <c r="AC69" s="73">
        <v>3.9982883888888887</v>
      </c>
      <c r="AD69" s="73">
        <v>-25.508901929003891</v>
      </c>
      <c r="AE69" s="73">
        <v>2.2461111111111109</v>
      </c>
      <c r="AF69" s="73">
        <v>2.2461111111111109</v>
      </c>
      <c r="AG69" s="32">
        <f t="shared" si="22"/>
        <v>1.1379460310984945E-2</v>
      </c>
      <c r="AH69" s="32">
        <f t="shared" si="23"/>
        <v>0.25846953038557846</v>
      </c>
      <c r="AI69" s="33">
        <f t="shared" si="24"/>
        <v>1.2269061000256504E-2</v>
      </c>
      <c r="AJ69" s="34">
        <f t="shared" si="25"/>
        <v>0.14656653647886811</v>
      </c>
      <c r="AK69" s="16">
        <f t="shared" si="26"/>
        <v>5.2143509251090141E-3</v>
      </c>
      <c r="AL69" s="16">
        <f t="shared" si="33"/>
        <v>6.229077800351894E-2</v>
      </c>
      <c r="AM69" s="27">
        <f t="shared" si="39"/>
        <v>5.2143509251090139</v>
      </c>
      <c r="AN69" s="27">
        <f t="shared" si="39"/>
        <v>62.290778003518938</v>
      </c>
      <c r="AO69" s="29" t="e">
        <f t="shared" si="34"/>
        <v>#VALUE!</v>
      </c>
      <c r="AP69" s="29" t="e">
        <f t="shared" si="35"/>
        <v>#VALUE!</v>
      </c>
      <c r="AQ69" s="27">
        <f t="shared" si="27"/>
        <v>11.946027204184892</v>
      </c>
      <c r="AR69" s="14">
        <f t="shared" si="28"/>
        <v>189.94415107125457</v>
      </c>
      <c r="AS69" s="25">
        <v>0.36620000000000003</v>
      </c>
      <c r="AT69" s="22">
        <f t="shared" si="29"/>
        <v>0.43551841019173204</v>
      </c>
      <c r="AU69" s="22">
        <f t="shared" si="30"/>
        <v>6.9318410191732016E-2</v>
      </c>
      <c r="AV69" s="15"/>
      <c r="AW69" s="22"/>
      <c r="AX69" s="34">
        <f t="shared" si="31"/>
        <v>693.18410191732016</v>
      </c>
      <c r="AY69" s="14">
        <f t="shared" si="32"/>
        <v>-21.838430645093865</v>
      </c>
      <c r="AZ69" s="25">
        <v>1.0819000000000001</v>
      </c>
      <c r="BA69" s="22">
        <f t="shared" si="36"/>
        <v>1.0872099766147112</v>
      </c>
      <c r="BB69" s="38">
        <f t="shared" si="37"/>
        <v>5.3099766147111094E-3</v>
      </c>
      <c r="BC69" s="15"/>
      <c r="BD69" s="38"/>
      <c r="BE69" s="38">
        <f t="shared" si="38"/>
        <v>53.099766147111097</v>
      </c>
    </row>
    <row r="70" spans="1:57" ht="15.75">
      <c r="A70" s="67">
        <v>116</v>
      </c>
      <c r="B70" s="134">
        <v>3</v>
      </c>
      <c r="C70" s="66" t="s">
        <v>417</v>
      </c>
      <c r="D70" s="66" t="s">
        <v>420</v>
      </c>
      <c r="E70" s="66" t="s">
        <v>437</v>
      </c>
      <c r="F70" s="66" t="s">
        <v>411</v>
      </c>
      <c r="G70" s="66"/>
      <c r="H70" s="66" t="s">
        <v>429</v>
      </c>
      <c r="I70" s="66">
        <v>100</v>
      </c>
      <c r="J70" s="66">
        <v>20</v>
      </c>
      <c r="K70" s="66">
        <v>30</v>
      </c>
      <c r="L70" s="66" t="s">
        <v>457</v>
      </c>
      <c r="M70" s="66">
        <v>1</v>
      </c>
      <c r="N70"/>
      <c r="O70"/>
      <c r="P70"/>
      <c r="Q70" s="108">
        <v>10</v>
      </c>
      <c r="R70" s="53">
        <v>8</v>
      </c>
      <c r="S70" s="53">
        <f t="shared" si="21"/>
        <v>2</v>
      </c>
      <c r="T70" s="82">
        <v>181</v>
      </c>
      <c r="U70" s="82" t="s">
        <v>261</v>
      </c>
      <c r="V70" s="83">
        <v>3.8778772500000001</v>
      </c>
      <c r="W70" s="83">
        <v>108.16302696545671</v>
      </c>
      <c r="X70" s="83">
        <v>1.922932125</v>
      </c>
      <c r="Y70" s="83">
        <v>-23.768999665282752</v>
      </c>
      <c r="Z70" s="71" t="s">
        <v>106</v>
      </c>
      <c r="AA70" s="73">
        <v>5.5661983611111108</v>
      </c>
      <c r="AB70" s="73">
        <v>3.0248816727959098</v>
      </c>
      <c r="AC70" s="73">
        <v>3.9982883888888887</v>
      </c>
      <c r="AD70" s="73">
        <v>-25.508901929003891</v>
      </c>
      <c r="AE70" s="73">
        <v>2.2461111111111109</v>
      </c>
      <c r="AF70" s="73">
        <v>2.2461111111111109</v>
      </c>
      <c r="AG70" s="32">
        <f t="shared" si="22"/>
        <v>1.1379460310984945E-2</v>
      </c>
      <c r="AH70" s="32">
        <f t="shared" si="23"/>
        <v>0.25846953038557846</v>
      </c>
      <c r="AI70" s="33">
        <f t="shared" si="24"/>
        <v>4.4128150257246444E-2</v>
      </c>
      <c r="AJ70" s="34">
        <f t="shared" si="25"/>
        <v>0.49701936331209245</v>
      </c>
      <c r="AK70" s="16">
        <f t="shared" si="26"/>
        <v>1.8754463859329738E-2</v>
      </c>
      <c r="AL70" s="16">
        <f t="shared" si="33"/>
        <v>0.21123322940763931</v>
      </c>
      <c r="AM70" s="27">
        <f t="shared" si="39"/>
        <v>18.754463859329739</v>
      </c>
      <c r="AN70" s="27">
        <f t="shared" si="39"/>
        <v>211.2332294076393</v>
      </c>
      <c r="AO70" s="29" t="e">
        <f t="shared" si="34"/>
        <v>#VALUE!</v>
      </c>
      <c r="AP70" s="29" t="e">
        <f t="shared" si="35"/>
        <v>#VALUE!</v>
      </c>
      <c r="AQ70" s="27">
        <f t="shared" si="27"/>
        <v>11.263090802916107</v>
      </c>
      <c r="AR70" s="14">
        <f t="shared" si="28"/>
        <v>107.1181452926608</v>
      </c>
      <c r="AS70" s="25">
        <v>0.36620000000000003</v>
      </c>
      <c r="AT70" s="22">
        <f t="shared" si="29"/>
        <v>0.40532704386513163</v>
      </c>
      <c r="AU70" s="22">
        <f t="shared" si="30"/>
        <v>3.9127043865131605E-2</v>
      </c>
      <c r="AV70" s="15"/>
      <c r="AW70" s="22"/>
      <c r="AX70" s="34">
        <f t="shared" si="31"/>
        <v>391.27043865131606</v>
      </c>
      <c r="AY70" s="14">
        <f t="shared" si="32"/>
        <v>-24.290097736278863</v>
      </c>
      <c r="AZ70" s="25">
        <v>1.0819000000000001</v>
      </c>
      <c r="BA70" s="22">
        <f t="shared" si="36"/>
        <v>1.0845145431417298</v>
      </c>
      <c r="BB70" s="38">
        <f t="shared" si="37"/>
        <v>2.6145431417297083E-3</v>
      </c>
      <c r="BC70" s="15"/>
      <c r="BD70" s="38"/>
      <c r="BE70" s="38">
        <f t="shared" si="38"/>
        <v>26.145431417297083</v>
      </c>
    </row>
    <row r="71" spans="1:57" ht="15.75">
      <c r="A71" s="67">
        <v>117</v>
      </c>
      <c r="B71" s="134">
        <v>3</v>
      </c>
      <c r="C71" s="66" t="s">
        <v>419</v>
      </c>
      <c r="D71" s="66" t="s">
        <v>422</v>
      </c>
      <c r="E71" s="66" t="s">
        <v>437</v>
      </c>
      <c r="F71" s="66" t="s">
        <v>411</v>
      </c>
      <c r="G71" s="66"/>
      <c r="H71" s="66" t="s">
        <v>429</v>
      </c>
      <c r="I71" s="66">
        <v>100</v>
      </c>
      <c r="J71" s="66">
        <v>20</v>
      </c>
      <c r="K71" s="66">
        <v>30</v>
      </c>
      <c r="L71" s="66" t="s">
        <v>458</v>
      </c>
      <c r="M71" s="66">
        <v>1</v>
      </c>
      <c r="N71"/>
      <c r="O71"/>
      <c r="P71"/>
      <c r="Q71" s="108">
        <v>10</v>
      </c>
      <c r="R71" s="53">
        <v>8</v>
      </c>
      <c r="S71" s="53">
        <f t="shared" si="21"/>
        <v>2</v>
      </c>
      <c r="T71" s="80">
        <v>182</v>
      </c>
      <c r="U71" s="80" t="s">
        <v>262</v>
      </c>
      <c r="V71" s="81">
        <v>1.2636810000000001</v>
      </c>
      <c r="W71" s="81">
        <v>133.43934990504115</v>
      </c>
      <c r="X71" s="81">
        <v>0.79336068749999999</v>
      </c>
      <c r="Y71" s="81">
        <v>-20.960908559916579</v>
      </c>
      <c r="Z71" s="71" t="s">
        <v>106</v>
      </c>
      <c r="AA71" s="73">
        <v>5.5661983611111108</v>
      </c>
      <c r="AB71" s="73">
        <v>3.0248816727959098</v>
      </c>
      <c r="AC71" s="73">
        <v>3.9982883888888887</v>
      </c>
      <c r="AD71" s="73">
        <v>-25.508901929003891</v>
      </c>
      <c r="AE71" s="73">
        <v>2.2461111111111109</v>
      </c>
      <c r="AF71" s="73">
        <v>2.2461111111111109</v>
      </c>
      <c r="AG71" s="32">
        <f t="shared" si="22"/>
        <v>1.1379460310984945E-2</v>
      </c>
      <c r="AH71" s="32">
        <f t="shared" si="23"/>
        <v>0.25846953038557846</v>
      </c>
      <c r="AI71" s="33">
        <f t="shared" si="24"/>
        <v>1.4380007785245768E-2</v>
      </c>
      <c r="AJ71" s="34">
        <f t="shared" si="25"/>
        <v>0.20505956432450467</v>
      </c>
      <c r="AK71" s="16">
        <f t="shared" si="26"/>
        <v>6.1115033087294508E-3</v>
      </c>
      <c r="AL71" s="16">
        <f t="shared" si="33"/>
        <v>8.715031483791448E-2</v>
      </c>
      <c r="AM71" s="27">
        <f t="shared" si="39"/>
        <v>6.1115033087294508</v>
      </c>
      <c r="AN71" s="27">
        <f t="shared" si="39"/>
        <v>87.150314837914479</v>
      </c>
      <c r="AO71" s="29" t="e">
        <f t="shared" si="34"/>
        <v>#VALUE!</v>
      </c>
      <c r="AP71" s="29" t="e">
        <f t="shared" si="35"/>
        <v>#VALUE!</v>
      </c>
      <c r="AQ71" s="27">
        <f t="shared" si="27"/>
        <v>14.260045431609619</v>
      </c>
      <c r="AR71" s="14">
        <f t="shared" si="28"/>
        <v>132.39446823224523</v>
      </c>
      <c r="AS71" s="25">
        <v>0.36620000000000003</v>
      </c>
      <c r="AT71" s="22">
        <f t="shared" si="29"/>
        <v>0.41454259748634653</v>
      </c>
      <c r="AU71" s="22">
        <f t="shared" si="30"/>
        <v>4.8342597486346506E-2</v>
      </c>
      <c r="AV71" s="15"/>
      <c r="AW71" s="22"/>
      <c r="AX71" s="34">
        <f t="shared" si="31"/>
        <v>483.42597486346506</v>
      </c>
      <c r="AY71" s="14">
        <f t="shared" si="32"/>
        <v>-21.482006630912689</v>
      </c>
      <c r="AZ71" s="25">
        <v>1.0819000000000001</v>
      </c>
      <c r="BA71" s="22">
        <f t="shared" si="36"/>
        <v>1.0876018272197905</v>
      </c>
      <c r="BB71" s="38">
        <f t="shared" si="37"/>
        <v>5.7018272197904007E-3</v>
      </c>
      <c r="BC71" s="15"/>
      <c r="BD71" s="38"/>
      <c r="BE71" s="38">
        <f t="shared" si="38"/>
        <v>57.018272197904011</v>
      </c>
    </row>
    <row r="72" spans="1:57" ht="15.75">
      <c r="A72" s="67">
        <v>118</v>
      </c>
      <c r="B72" s="134">
        <v>3</v>
      </c>
      <c r="C72" s="66" t="s">
        <v>421</v>
      </c>
      <c r="D72" s="66" t="s">
        <v>424</v>
      </c>
      <c r="E72" s="66" t="s">
        <v>437</v>
      </c>
      <c r="F72" s="66" t="s">
        <v>411</v>
      </c>
      <c r="G72" s="66"/>
      <c r="H72" s="66" t="s">
        <v>429</v>
      </c>
      <c r="I72" s="66">
        <v>100</v>
      </c>
      <c r="J72" s="66">
        <v>20</v>
      </c>
      <c r="K72" s="66">
        <v>30</v>
      </c>
      <c r="L72" s="66" t="s">
        <v>459</v>
      </c>
      <c r="M72" s="66">
        <v>1</v>
      </c>
      <c r="N72"/>
      <c r="O72"/>
      <c r="P72"/>
      <c r="Q72" s="108">
        <v>10</v>
      </c>
      <c r="R72" s="53">
        <v>8</v>
      </c>
      <c r="S72" s="53">
        <f t="shared" si="21"/>
        <v>2</v>
      </c>
      <c r="T72" s="82">
        <v>183</v>
      </c>
      <c r="U72" s="82" t="s">
        <v>263</v>
      </c>
      <c r="V72" s="83">
        <v>0.95738449999999997</v>
      </c>
      <c r="W72" s="83">
        <v>352.95992099036192</v>
      </c>
      <c r="X72" s="83">
        <v>0.57105131249999996</v>
      </c>
      <c r="Y72" s="83">
        <v>-16.057729069449401</v>
      </c>
      <c r="Z72" s="71" t="s">
        <v>106</v>
      </c>
      <c r="AA72" s="73">
        <v>5.5661983611111108</v>
      </c>
      <c r="AB72" s="73">
        <v>3.0248816727959098</v>
      </c>
      <c r="AC72" s="73">
        <v>3.9982883888888887</v>
      </c>
      <c r="AD72" s="73">
        <v>-25.508901929003891</v>
      </c>
      <c r="AE72" s="73">
        <v>2.2461111111111109</v>
      </c>
      <c r="AF72" s="73">
        <v>2.2461111111111109</v>
      </c>
      <c r="AG72" s="32">
        <f t="shared" si="22"/>
        <v>1.1379460310984945E-2</v>
      </c>
      <c r="AH72" s="32">
        <f t="shared" si="23"/>
        <v>0.25846953038557846</v>
      </c>
      <c r="AI72" s="33">
        <f t="shared" si="24"/>
        <v>1.0894518920102167E-2</v>
      </c>
      <c r="AJ72" s="34">
        <f t="shared" si="25"/>
        <v>0.1475993645679432</v>
      </c>
      <c r="AK72" s="16">
        <f t="shared" si="26"/>
        <v>4.6301705410434213E-3</v>
      </c>
      <c r="AL72" s="16">
        <f t="shared" si="33"/>
        <v>6.2729729941375864E-2</v>
      </c>
      <c r="AM72" s="27">
        <f t="shared" si="39"/>
        <v>4.6301705410434213</v>
      </c>
      <c r="AN72" s="27">
        <f t="shared" si="39"/>
        <v>62.729729941375865</v>
      </c>
      <c r="AO72" s="29" t="e">
        <f t="shared" si="34"/>
        <v>#VALUE!</v>
      </c>
      <c r="AP72" s="29" t="e">
        <f t="shared" si="35"/>
        <v>#VALUE!</v>
      </c>
      <c r="AQ72" s="27">
        <f t="shared" si="27"/>
        <v>13.548038756956791</v>
      </c>
      <c r="AR72" s="14">
        <f t="shared" si="28"/>
        <v>351.91503931756603</v>
      </c>
      <c r="AS72" s="25">
        <v>0.36620000000000003</v>
      </c>
      <c r="AT72" s="22">
        <f t="shared" si="29"/>
        <v>0.49450644957706241</v>
      </c>
      <c r="AU72" s="22">
        <f t="shared" si="30"/>
        <v>0.12830644957706239</v>
      </c>
      <c r="AV72" s="15"/>
      <c r="AW72" s="22"/>
      <c r="AX72" s="34">
        <f t="shared" si="31"/>
        <v>1283.0644957706238</v>
      </c>
      <c r="AY72" s="14">
        <f t="shared" si="32"/>
        <v>-16.578827140445512</v>
      </c>
      <c r="AZ72" s="25">
        <v>1.0819000000000001</v>
      </c>
      <c r="BA72" s="22">
        <f t="shared" si="36"/>
        <v>1.0929920407324598</v>
      </c>
      <c r="BB72" s="38">
        <f t="shared" si="37"/>
        <v>1.1092040732459729E-2</v>
      </c>
      <c r="BC72" s="15"/>
      <c r="BD72" s="38"/>
      <c r="BE72" s="38">
        <f t="shared" si="38"/>
        <v>110.92040732459731</v>
      </c>
    </row>
    <row r="73" spans="1:57" ht="15.75">
      <c r="A73" s="67">
        <v>119</v>
      </c>
      <c r="B73" s="134">
        <v>3</v>
      </c>
      <c r="C73" s="66" t="s">
        <v>423</v>
      </c>
      <c r="D73" s="66" t="s">
        <v>414</v>
      </c>
      <c r="E73" s="66" t="s">
        <v>437</v>
      </c>
      <c r="F73" s="66" t="s">
        <v>411</v>
      </c>
      <c r="G73" s="66"/>
      <c r="H73" s="66" t="s">
        <v>429</v>
      </c>
      <c r="I73" s="66">
        <v>100</v>
      </c>
      <c r="J73" s="66">
        <v>20</v>
      </c>
      <c r="K73" s="66">
        <v>30</v>
      </c>
      <c r="L73" s="66" t="s">
        <v>460</v>
      </c>
      <c r="M73" s="66">
        <v>1</v>
      </c>
      <c r="N73"/>
      <c r="O73"/>
      <c r="P73"/>
      <c r="Q73" s="108">
        <v>10</v>
      </c>
      <c r="R73" s="53">
        <v>8</v>
      </c>
      <c r="S73" s="53">
        <f t="shared" si="21"/>
        <v>2</v>
      </c>
      <c r="T73" s="80">
        <v>184</v>
      </c>
      <c r="U73" s="80" t="s">
        <v>264</v>
      </c>
      <c r="V73" s="81">
        <v>1.5689911249999999</v>
      </c>
      <c r="W73" s="81">
        <v>1914.2941775921681</v>
      </c>
      <c r="X73" s="81">
        <v>0.81720199999999998</v>
      </c>
      <c r="Y73" s="81">
        <v>1.4981039274559367</v>
      </c>
      <c r="Z73" s="71" t="s">
        <v>106</v>
      </c>
      <c r="AA73" s="73">
        <v>5.5661983611111108</v>
      </c>
      <c r="AB73" s="73">
        <v>3.0248816727959098</v>
      </c>
      <c r="AC73" s="73">
        <v>3.9982883888888887</v>
      </c>
      <c r="AD73" s="73">
        <v>-25.508901929003891</v>
      </c>
      <c r="AE73" s="73">
        <v>2.2461111111111109</v>
      </c>
      <c r="AF73" s="73">
        <v>2.2461111111111109</v>
      </c>
      <c r="AG73" s="32">
        <f t="shared" si="22"/>
        <v>1.1379460310984945E-2</v>
      </c>
      <c r="AH73" s="32">
        <f t="shared" si="23"/>
        <v>0.25846953038557846</v>
      </c>
      <c r="AI73" s="33">
        <f t="shared" si="24"/>
        <v>1.7854272235225118E-2</v>
      </c>
      <c r="AJ73" s="34">
        <f t="shared" si="25"/>
        <v>0.21122181717015548</v>
      </c>
      <c r="AK73" s="16">
        <f t="shared" si="26"/>
        <v>7.5880656999706749E-3</v>
      </c>
      <c r="AL73" s="16">
        <f t="shared" si="33"/>
        <v>8.9769272297316086E-2</v>
      </c>
      <c r="AM73" s="27">
        <f t="shared" si="39"/>
        <v>7.5880656999706746</v>
      </c>
      <c r="AN73" s="27">
        <f t="shared" si="39"/>
        <v>89.769272297316093</v>
      </c>
      <c r="AO73" s="29" t="e">
        <f t="shared" si="34"/>
        <v>#VALUE!</v>
      </c>
      <c r="AP73" s="29" t="e">
        <f t="shared" si="35"/>
        <v>#VALUE!</v>
      </c>
      <c r="AQ73" s="27">
        <f t="shared" si="27"/>
        <v>11.830323543147893</v>
      </c>
      <c r="AR73" s="14">
        <f t="shared" si="28"/>
        <v>1913.2492959193721</v>
      </c>
      <c r="AS73" s="25">
        <v>0.36620000000000003</v>
      </c>
      <c r="AT73" s="22">
        <f t="shared" si="29"/>
        <v>1.0595634653980848</v>
      </c>
      <c r="AU73" s="22">
        <f t="shared" si="30"/>
        <v>0.69336346539808469</v>
      </c>
      <c r="AV73" s="15"/>
      <c r="AW73" s="22"/>
      <c r="AX73" s="34">
        <f t="shared" si="31"/>
        <v>6933.6346539808465</v>
      </c>
      <c r="AY73" s="14">
        <f t="shared" si="32"/>
        <v>0.97700585645982607</v>
      </c>
      <c r="AZ73" s="25">
        <v>1.0819000000000001</v>
      </c>
      <c r="BA73" s="22">
        <f t="shared" si="36"/>
        <v>1.1122868824139791</v>
      </c>
      <c r="BB73" s="38">
        <f t="shared" si="37"/>
        <v>3.0386882413979022E-2</v>
      </c>
      <c r="BC73" s="15"/>
      <c r="BD73" s="38"/>
      <c r="BE73" s="38">
        <f t="shared" si="38"/>
        <v>303.86882413979021</v>
      </c>
    </row>
    <row r="74" spans="1:57" ht="15.75">
      <c r="A74" s="67">
        <v>120</v>
      </c>
      <c r="B74" s="134">
        <v>3</v>
      </c>
      <c r="C74" s="66" t="s">
        <v>425</v>
      </c>
      <c r="D74" s="66" t="s">
        <v>409</v>
      </c>
      <c r="E74" s="66" t="s">
        <v>437</v>
      </c>
      <c r="F74" s="66" t="s">
        <v>411</v>
      </c>
      <c r="G74" s="66"/>
      <c r="H74" s="66" t="s">
        <v>429</v>
      </c>
      <c r="I74" s="66">
        <v>100</v>
      </c>
      <c r="J74" s="66">
        <v>20</v>
      </c>
      <c r="K74" s="66">
        <v>30</v>
      </c>
      <c r="L74" s="66" t="s">
        <v>461</v>
      </c>
      <c r="M74" s="66">
        <v>1</v>
      </c>
      <c r="N74"/>
      <c r="O74"/>
      <c r="P74"/>
      <c r="Q74" s="108">
        <v>10</v>
      </c>
      <c r="R74" s="53">
        <v>8</v>
      </c>
      <c r="S74" s="53">
        <f t="shared" si="21"/>
        <v>2</v>
      </c>
      <c r="T74" s="82">
        <v>185</v>
      </c>
      <c r="U74" s="82" t="s">
        <v>265</v>
      </c>
      <c r="V74" s="83">
        <v>1.6754102500000001</v>
      </c>
      <c r="W74" s="83">
        <v>344.67095933210004</v>
      </c>
      <c r="X74" s="83">
        <v>0.93553350000000002</v>
      </c>
      <c r="Y74" s="83">
        <v>-14.582677812656749</v>
      </c>
      <c r="Z74" s="71" t="s">
        <v>106</v>
      </c>
      <c r="AA74" s="73">
        <v>5.5661983611111108</v>
      </c>
      <c r="AB74" s="73">
        <v>3.0248816727959098</v>
      </c>
      <c r="AC74" s="73">
        <v>3.9982883888888887</v>
      </c>
      <c r="AD74" s="73">
        <v>-25.508901929003891</v>
      </c>
      <c r="AE74" s="73">
        <v>2.2461111111111109</v>
      </c>
      <c r="AF74" s="73">
        <v>2.2461111111111109</v>
      </c>
      <c r="AG74" s="32">
        <f t="shared" si="22"/>
        <v>1.1379460310984945E-2</v>
      </c>
      <c r="AH74" s="32">
        <f t="shared" si="23"/>
        <v>0.25846953038557846</v>
      </c>
      <c r="AI74" s="33">
        <f t="shared" si="24"/>
        <v>1.9065264444492365E-2</v>
      </c>
      <c r="AJ74" s="34">
        <f t="shared" si="25"/>
        <v>0.24180690440497657</v>
      </c>
      <c r="AK74" s="16">
        <f t="shared" si="26"/>
        <v>8.1027373889092542E-3</v>
      </c>
      <c r="AL74" s="16">
        <f t="shared" si="33"/>
        <v>0.10276793437211505</v>
      </c>
      <c r="AM74" s="27">
        <f t="shared" si="39"/>
        <v>8.1027373889092544</v>
      </c>
      <c r="AN74" s="27">
        <f t="shared" si="39"/>
        <v>102.76793437211505</v>
      </c>
      <c r="AO74" s="29" t="e">
        <f t="shared" si="34"/>
        <v>#VALUE!</v>
      </c>
      <c r="AP74" s="29" t="e">
        <f t="shared" si="35"/>
        <v>#VALUE!</v>
      </c>
      <c r="AQ74" s="27">
        <f t="shared" si="27"/>
        <v>12.683113056678872</v>
      </c>
      <c r="AR74" s="14">
        <f t="shared" si="28"/>
        <v>343.62607765930414</v>
      </c>
      <c r="AS74" s="25">
        <v>0.36620000000000003</v>
      </c>
      <c r="AT74" s="22">
        <f t="shared" si="29"/>
        <v>0.4914893967285992</v>
      </c>
      <c r="AU74" s="22">
        <f t="shared" si="30"/>
        <v>0.12528939672859918</v>
      </c>
      <c r="AV74" s="15"/>
      <c r="AW74" s="22"/>
      <c r="AX74" s="34">
        <f t="shared" si="31"/>
        <v>1252.8939672859917</v>
      </c>
      <c r="AY74" s="14">
        <f t="shared" si="32"/>
        <v>-15.10377588365286</v>
      </c>
      <c r="AZ74" s="25">
        <v>1.0819000000000001</v>
      </c>
      <c r="BA74" s="22">
        <f t="shared" si="36"/>
        <v>1.0946134942434491</v>
      </c>
      <c r="BB74" s="38">
        <f t="shared" si="37"/>
        <v>1.2713494243449031E-2</v>
      </c>
      <c r="BC74" s="15"/>
      <c r="BD74" s="38"/>
      <c r="BE74" s="38">
        <f t="shared" si="38"/>
        <v>127.13494243449031</v>
      </c>
    </row>
    <row r="75" spans="1:57" ht="15.75">
      <c r="A75" s="67">
        <v>121</v>
      </c>
      <c r="B75" s="134">
        <v>4</v>
      </c>
      <c r="C75" s="66" t="s">
        <v>408</v>
      </c>
      <c r="D75" s="66" t="s">
        <v>416</v>
      </c>
      <c r="E75" s="66" t="s">
        <v>437</v>
      </c>
      <c r="F75" s="66" t="s">
        <v>411</v>
      </c>
      <c r="G75" s="66"/>
      <c r="H75" s="66" t="s">
        <v>430</v>
      </c>
      <c r="I75" s="66">
        <v>100</v>
      </c>
      <c r="J75" s="66">
        <v>20</v>
      </c>
      <c r="K75" s="66">
        <v>30</v>
      </c>
      <c r="L75" s="66" t="s">
        <v>462</v>
      </c>
      <c r="M75" s="66">
        <v>1</v>
      </c>
      <c r="N75"/>
      <c r="O75"/>
      <c r="P75"/>
      <c r="Q75" s="108">
        <v>10</v>
      </c>
      <c r="R75" s="53">
        <v>8</v>
      </c>
      <c r="S75" s="53">
        <f t="shared" si="21"/>
        <v>2</v>
      </c>
      <c r="T75" s="80">
        <v>186</v>
      </c>
      <c r="U75" s="80" t="s">
        <v>266</v>
      </c>
      <c r="V75" s="81">
        <v>2.22115975</v>
      </c>
      <c r="W75" s="81">
        <v>2515.1273439899387</v>
      </c>
      <c r="X75" s="81">
        <v>1.2072130000000001</v>
      </c>
      <c r="Y75" s="81">
        <v>-19.747439956361998</v>
      </c>
      <c r="Z75" s="71" t="s">
        <v>54</v>
      </c>
      <c r="AA75" s="73">
        <v>5.5661983611111108</v>
      </c>
      <c r="AB75" s="73">
        <v>3.0248816727959098</v>
      </c>
      <c r="AC75" s="73">
        <v>3.9982883888888887</v>
      </c>
      <c r="AD75" s="73">
        <v>-25.508901929003891</v>
      </c>
      <c r="AE75" s="73">
        <v>2.2461111111111109</v>
      </c>
      <c r="AF75" s="73">
        <v>2.2461111111111109</v>
      </c>
      <c r="AG75" s="32">
        <f t="shared" si="22"/>
        <v>1.1379460310984945E-2</v>
      </c>
      <c r="AH75" s="32">
        <f t="shared" si="23"/>
        <v>0.25846953038557846</v>
      </c>
      <c r="AI75" s="33">
        <f t="shared" si="24"/>
        <v>2.5275599219482244E-2</v>
      </c>
      <c r="AJ75" s="34">
        <f t="shared" si="25"/>
        <v>0.31202777718536534</v>
      </c>
      <c r="AK75" s="16">
        <f t="shared" si="26"/>
        <v>1.0742129668279954E-2</v>
      </c>
      <c r="AL75" s="16">
        <f t="shared" si="33"/>
        <v>0.13261180530378025</v>
      </c>
      <c r="AM75" s="27">
        <f t="shared" si="39"/>
        <v>10.742129668279954</v>
      </c>
      <c r="AN75" s="27">
        <f t="shared" si="39"/>
        <v>132.61180530378024</v>
      </c>
      <c r="AO75" s="29" t="e">
        <f t="shared" si="34"/>
        <v>#VALUE!</v>
      </c>
      <c r="AP75" s="29" t="e">
        <f t="shared" si="35"/>
        <v>#VALUE!</v>
      </c>
      <c r="AQ75" s="27">
        <f t="shared" si="27"/>
        <v>12.345019972656342</v>
      </c>
      <c r="AR75" s="14">
        <f t="shared" si="28"/>
        <v>2514.0824623171429</v>
      </c>
      <c r="AS75" s="25">
        <v>0.36620000000000003</v>
      </c>
      <c r="AT75" s="22">
        <f t="shared" si="29"/>
        <v>1.2753026504866389</v>
      </c>
      <c r="AU75" s="22">
        <f t="shared" si="30"/>
        <v>0.90910265048663885</v>
      </c>
      <c r="AV75" s="15"/>
      <c r="AW75" s="22"/>
      <c r="AX75" s="34">
        <f t="shared" si="31"/>
        <v>9091.0265048663878</v>
      </c>
      <c r="AY75" s="14">
        <f t="shared" si="32"/>
        <v>-20.268538027358108</v>
      </c>
      <c r="AZ75" s="25">
        <v>1.0819000000000001</v>
      </c>
      <c r="BA75" s="22">
        <f t="shared" si="36"/>
        <v>1.0889358846647426</v>
      </c>
      <c r="BB75" s="38">
        <f t="shared" si="37"/>
        <v>7.0358846647424755E-3</v>
      </c>
      <c r="BC75" s="15"/>
      <c r="BD75" s="38"/>
      <c r="BE75" s="38">
        <f t="shared" si="38"/>
        <v>70.358846647424755</v>
      </c>
    </row>
    <row r="76" spans="1:57" ht="15.75">
      <c r="A76" s="67">
        <v>122</v>
      </c>
      <c r="B76" s="134">
        <v>4</v>
      </c>
      <c r="C76" s="66" t="s">
        <v>413</v>
      </c>
      <c r="D76" s="66" t="s">
        <v>409</v>
      </c>
      <c r="E76" s="66" t="s">
        <v>437</v>
      </c>
      <c r="F76" s="66" t="s">
        <v>411</v>
      </c>
      <c r="G76" s="66"/>
      <c r="H76" s="66" t="s">
        <v>430</v>
      </c>
      <c r="I76" s="66">
        <v>100</v>
      </c>
      <c r="J76" s="66">
        <v>20</v>
      </c>
      <c r="K76" s="66">
        <v>30</v>
      </c>
      <c r="L76" s="66" t="s">
        <v>463</v>
      </c>
      <c r="M76" s="66">
        <v>1</v>
      </c>
      <c r="N76"/>
      <c r="O76"/>
      <c r="P76"/>
      <c r="Q76" s="108">
        <v>10</v>
      </c>
      <c r="R76" s="53">
        <v>8</v>
      </c>
      <c r="S76" s="53">
        <f t="shared" si="21"/>
        <v>2</v>
      </c>
      <c r="T76" s="82">
        <v>187</v>
      </c>
      <c r="U76" s="82" t="s">
        <v>267</v>
      </c>
      <c r="V76" s="83">
        <v>5.2232554999999996</v>
      </c>
      <c r="W76" s="83">
        <v>1086.4698484739015</v>
      </c>
      <c r="X76" s="83">
        <v>2.8112322500000002</v>
      </c>
      <c r="Y76" s="83">
        <v>-1.8403625748692252</v>
      </c>
      <c r="Z76" s="71" t="s">
        <v>106</v>
      </c>
      <c r="AA76" s="73">
        <v>5.5661983611111108</v>
      </c>
      <c r="AB76" s="73">
        <v>3.0248816727959098</v>
      </c>
      <c r="AC76" s="73">
        <v>3.9982883888888887</v>
      </c>
      <c r="AD76" s="73">
        <v>-25.508901929003891</v>
      </c>
      <c r="AE76" s="73">
        <v>2.2461111111111109</v>
      </c>
      <c r="AF76" s="73">
        <v>2.2461111111111109</v>
      </c>
      <c r="AG76" s="32">
        <f t="shared" si="22"/>
        <v>1.1379460310984945E-2</v>
      </c>
      <c r="AH76" s="32">
        <f t="shared" si="23"/>
        <v>0.25846953038557846</v>
      </c>
      <c r="AI76" s="33">
        <f t="shared" si="24"/>
        <v>5.943782865638382E-2</v>
      </c>
      <c r="AJ76" s="34">
        <f t="shared" si="25"/>
        <v>0.72661787946229317</v>
      </c>
      <c r="AK76" s="16">
        <f t="shared" si="26"/>
        <v>2.5261077178963125E-2</v>
      </c>
      <c r="AL76" s="16">
        <f t="shared" si="33"/>
        <v>0.3088125987714746</v>
      </c>
      <c r="AM76" s="27">
        <f t="shared" si="39"/>
        <v>25.261077178963124</v>
      </c>
      <c r="AN76" s="27">
        <f t="shared" si="39"/>
        <v>308.8125987714746</v>
      </c>
      <c r="AO76" s="29" t="e">
        <f t="shared" si="34"/>
        <v>#VALUE!</v>
      </c>
      <c r="AP76" s="29" t="e">
        <f t="shared" si="35"/>
        <v>#VALUE!</v>
      </c>
      <c r="AQ76" s="27">
        <f t="shared" si="27"/>
        <v>12.224838892802522</v>
      </c>
      <c r="AR76" s="14">
        <f t="shared" si="28"/>
        <v>1085.4249668011055</v>
      </c>
      <c r="AS76" s="25">
        <v>0.36620000000000003</v>
      </c>
      <c r="AT76" s="22">
        <f t="shared" si="29"/>
        <v>0.76077013705310692</v>
      </c>
      <c r="AU76" s="22">
        <f t="shared" si="30"/>
        <v>0.3945701370531069</v>
      </c>
      <c r="AV76" s="15"/>
      <c r="AW76" s="22"/>
      <c r="AX76" s="34">
        <f t="shared" si="31"/>
        <v>3945.7013705310687</v>
      </c>
      <c r="AY76" s="14">
        <f t="shared" si="32"/>
        <v>-2.3614606458653356</v>
      </c>
      <c r="AZ76" s="25">
        <v>1.0819000000000001</v>
      </c>
      <c r="BA76" s="22">
        <f t="shared" si="36"/>
        <v>1.1086183008254036</v>
      </c>
      <c r="BB76" s="38">
        <f t="shared" si="37"/>
        <v>2.6718300825403496E-2</v>
      </c>
      <c r="BC76" s="15"/>
      <c r="BD76" s="38"/>
      <c r="BE76" s="38">
        <f t="shared" si="38"/>
        <v>267.18300825403497</v>
      </c>
    </row>
    <row r="77" spans="1:57" ht="15.75">
      <c r="A77" s="67">
        <v>123</v>
      </c>
      <c r="B77" s="134">
        <v>4</v>
      </c>
      <c r="C77" s="66" t="s">
        <v>415</v>
      </c>
      <c r="D77" s="66" t="s">
        <v>418</v>
      </c>
      <c r="E77" s="66" t="s">
        <v>437</v>
      </c>
      <c r="F77" s="66" t="s">
        <v>411</v>
      </c>
      <c r="G77" s="66"/>
      <c r="H77" s="66" t="s">
        <v>430</v>
      </c>
      <c r="I77" s="66">
        <v>100</v>
      </c>
      <c r="J77" s="66">
        <v>20</v>
      </c>
      <c r="K77" s="66">
        <v>30</v>
      </c>
      <c r="L77" s="66" t="s">
        <v>464</v>
      </c>
      <c r="M77" s="66">
        <v>1</v>
      </c>
      <c r="N77"/>
      <c r="O77"/>
      <c r="P77"/>
      <c r="Q77" s="108">
        <v>10</v>
      </c>
      <c r="R77" s="53">
        <v>8</v>
      </c>
      <c r="S77" s="53">
        <f t="shared" si="21"/>
        <v>2</v>
      </c>
      <c r="T77" s="80">
        <v>188</v>
      </c>
      <c r="U77" s="80" t="s">
        <v>268</v>
      </c>
      <c r="V77" s="81">
        <v>1.762911125</v>
      </c>
      <c r="W77" s="81">
        <v>718.24340397005983</v>
      </c>
      <c r="X77" s="81">
        <v>1.094245125</v>
      </c>
      <c r="Y77" s="81">
        <v>-21.905925934588943</v>
      </c>
      <c r="Z77" s="71" t="s">
        <v>106</v>
      </c>
      <c r="AA77" s="73">
        <v>5.5661983611111108</v>
      </c>
      <c r="AB77" s="73">
        <v>3.0248816727959098</v>
      </c>
      <c r="AC77" s="73">
        <v>3.9982883888888887</v>
      </c>
      <c r="AD77" s="73">
        <v>-25.508901929003891</v>
      </c>
      <c r="AE77" s="73">
        <v>2.2461111111111109</v>
      </c>
      <c r="AF77" s="73">
        <v>2.2461111111111109</v>
      </c>
      <c r="AG77" s="32">
        <f t="shared" si="22"/>
        <v>1.1379460310984945E-2</v>
      </c>
      <c r="AH77" s="32">
        <f t="shared" si="23"/>
        <v>0.25846953038557846</v>
      </c>
      <c r="AI77" s="33">
        <f t="shared" si="24"/>
        <v>2.0060977178731319E-2</v>
      </c>
      <c r="AJ77" s="34">
        <f t="shared" si="25"/>
        <v>0.28282902358545864</v>
      </c>
      <c r="AK77" s="16">
        <f t="shared" si="26"/>
        <v>8.5259153009608103E-3</v>
      </c>
      <c r="AL77" s="16">
        <f t="shared" si="33"/>
        <v>0.12020233502381991</v>
      </c>
      <c r="AM77" s="27">
        <f t="shared" si="39"/>
        <v>8.5259153009608095</v>
      </c>
      <c r="AN77" s="27">
        <f t="shared" si="39"/>
        <v>120.20233502381991</v>
      </c>
      <c r="AO77" s="29" t="e">
        <f t="shared" si="34"/>
        <v>#VALUE!</v>
      </c>
      <c r="AP77" s="29" t="e">
        <f t="shared" si="35"/>
        <v>#VALUE!</v>
      </c>
      <c r="AQ77" s="27">
        <f t="shared" si="27"/>
        <v>14.098466942343887</v>
      </c>
      <c r="AR77" s="14">
        <f t="shared" si="28"/>
        <v>717.19852229726393</v>
      </c>
      <c r="AS77" s="25">
        <v>0.36620000000000003</v>
      </c>
      <c r="AT77" s="22">
        <f t="shared" si="29"/>
        <v>0.62728250505688965</v>
      </c>
      <c r="AU77" s="22">
        <f t="shared" si="30"/>
        <v>0.26108250505688962</v>
      </c>
      <c r="AV77" s="15"/>
      <c r="AW77" s="22"/>
      <c r="AX77" s="34">
        <f t="shared" si="31"/>
        <v>2610.8250505688961</v>
      </c>
      <c r="AY77" s="14">
        <f t="shared" si="32"/>
        <v>-22.427024005585054</v>
      </c>
      <c r="AZ77" s="25">
        <v>1.0819000000000001</v>
      </c>
      <c r="BA77" s="22">
        <f t="shared" si="36"/>
        <v>1.0865628735075257</v>
      </c>
      <c r="BB77" s="38">
        <f t="shared" si="37"/>
        <v>4.6628735075255889E-3</v>
      </c>
      <c r="BC77" s="15"/>
      <c r="BD77" s="38"/>
      <c r="BE77" s="38">
        <f t="shared" si="38"/>
        <v>46.628735075255889</v>
      </c>
    </row>
    <row r="78" spans="1:57" ht="15.75">
      <c r="A78" s="67">
        <v>124</v>
      </c>
      <c r="B78" s="134">
        <v>4</v>
      </c>
      <c r="C78" s="66" t="s">
        <v>417</v>
      </c>
      <c r="D78" s="66" t="s">
        <v>424</v>
      </c>
      <c r="E78" s="66" t="s">
        <v>437</v>
      </c>
      <c r="F78" s="66" t="s">
        <v>411</v>
      </c>
      <c r="G78" s="66"/>
      <c r="H78" s="66" t="s">
        <v>430</v>
      </c>
      <c r="I78" s="66">
        <v>100</v>
      </c>
      <c r="J78" s="66">
        <v>20</v>
      </c>
      <c r="K78" s="66">
        <v>30</v>
      </c>
      <c r="L78" s="66" t="s">
        <v>465</v>
      </c>
      <c r="M78" s="66">
        <v>1</v>
      </c>
      <c r="N78"/>
      <c r="O78"/>
      <c r="P78"/>
      <c r="Q78" s="108">
        <v>10</v>
      </c>
      <c r="R78" s="53">
        <v>8</v>
      </c>
      <c r="S78" s="53">
        <f t="shared" si="21"/>
        <v>2</v>
      </c>
      <c r="T78" s="82">
        <v>189</v>
      </c>
      <c r="U78" s="82" t="s">
        <v>269</v>
      </c>
      <c r="V78" s="83">
        <v>0.88288262500000003</v>
      </c>
      <c r="W78" s="83">
        <v>1186.8595419935791</v>
      </c>
      <c r="X78" s="83">
        <v>0.54209843749999997</v>
      </c>
      <c r="Y78" s="83">
        <v>0.55129624080753536</v>
      </c>
      <c r="Z78" s="71" t="s">
        <v>106</v>
      </c>
      <c r="AA78" s="73">
        <v>5.5661983611111108</v>
      </c>
      <c r="AB78" s="73">
        <v>3.0248816727959098</v>
      </c>
      <c r="AC78" s="73">
        <v>3.9982883888888887</v>
      </c>
      <c r="AD78" s="73">
        <v>-25.508901929003891</v>
      </c>
      <c r="AE78" s="73">
        <v>2.2461111111111109</v>
      </c>
      <c r="AF78" s="73">
        <v>2.2461111111111109</v>
      </c>
      <c r="AG78" s="32">
        <f t="shared" si="22"/>
        <v>1.1379460310984945E-2</v>
      </c>
      <c r="AH78" s="32">
        <f t="shared" si="23"/>
        <v>0.25846953038557846</v>
      </c>
      <c r="AI78" s="33">
        <f t="shared" si="24"/>
        <v>1.0046727790445706E-2</v>
      </c>
      <c r="AJ78" s="34">
        <f t="shared" si="25"/>
        <v>0.14011592856338084</v>
      </c>
      <c r="AK78" s="16">
        <f t="shared" si="26"/>
        <v>4.2698593109394244E-3</v>
      </c>
      <c r="AL78" s="16">
        <f t="shared" si="33"/>
        <v>5.954926963943686E-2</v>
      </c>
      <c r="AM78" s="27">
        <f t="shared" si="39"/>
        <v>4.2698593109394247</v>
      </c>
      <c r="AN78" s="27">
        <f t="shared" si="39"/>
        <v>59.549269639436858</v>
      </c>
      <c r="AO78" s="29" t="e">
        <f t="shared" si="34"/>
        <v>#VALUE!</v>
      </c>
      <c r="AP78" s="29" t="e">
        <f t="shared" si="35"/>
        <v>#VALUE!</v>
      </c>
      <c r="AQ78" s="27">
        <f t="shared" si="27"/>
        <v>13.946424297135739</v>
      </c>
      <c r="AR78" s="14">
        <f t="shared" si="28"/>
        <v>1185.8146603207831</v>
      </c>
      <c r="AS78" s="25">
        <v>0.36620000000000003</v>
      </c>
      <c r="AT78" s="22">
        <f t="shared" si="29"/>
        <v>0.7971007212442166</v>
      </c>
      <c r="AU78" s="22">
        <f t="shared" si="30"/>
        <v>0.43090072124421658</v>
      </c>
      <c r="AV78" s="15"/>
      <c r="AW78" s="22"/>
      <c r="AX78" s="34">
        <f t="shared" si="31"/>
        <v>4309.0072124421658</v>
      </c>
      <c r="AY78" s="14">
        <f t="shared" si="32"/>
        <v>3.0198169811424758E-2</v>
      </c>
      <c r="AZ78" s="25">
        <v>1.0819000000000001</v>
      </c>
      <c r="BA78" s="22">
        <f t="shared" si="36"/>
        <v>1.1112464799018973</v>
      </c>
      <c r="BB78" s="38">
        <f t="shared" si="37"/>
        <v>2.9346479901897204E-2</v>
      </c>
      <c r="BC78" s="15"/>
      <c r="BD78" s="38"/>
      <c r="BE78" s="38">
        <f t="shared" si="38"/>
        <v>293.46479901897203</v>
      </c>
    </row>
    <row r="79" spans="1:57" ht="15.75">
      <c r="A79" s="67">
        <v>125</v>
      </c>
      <c r="B79" s="134">
        <v>4</v>
      </c>
      <c r="C79" s="66" t="s">
        <v>419</v>
      </c>
      <c r="D79" s="66" t="s">
        <v>414</v>
      </c>
      <c r="E79" s="66" t="s">
        <v>437</v>
      </c>
      <c r="F79" s="66" t="s">
        <v>411</v>
      </c>
      <c r="G79" s="66"/>
      <c r="H79" s="66" t="s">
        <v>430</v>
      </c>
      <c r="I79" s="66">
        <v>100</v>
      </c>
      <c r="J79" s="66">
        <v>20</v>
      </c>
      <c r="K79" s="66">
        <v>30</v>
      </c>
      <c r="L79" s="66" t="s">
        <v>466</v>
      </c>
      <c r="M79" s="66">
        <v>1</v>
      </c>
      <c r="N79"/>
      <c r="O79"/>
      <c r="P79"/>
      <c r="Q79" s="108">
        <v>10</v>
      </c>
      <c r="R79" s="53">
        <v>8</v>
      </c>
      <c r="S79" s="53">
        <f t="shared" si="21"/>
        <v>2</v>
      </c>
      <c r="T79" s="80">
        <v>190</v>
      </c>
      <c r="U79" s="80" t="s">
        <v>270</v>
      </c>
      <c r="V79" s="81">
        <v>0.66680474999999995</v>
      </c>
      <c r="W79" s="81">
        <v>411.30814190167888</v>
      </c>
      <c r="X79" s="81">
        <v>0.33748965624999999</v>
      </c>
      <c r="Y79" s="81">
        <v>-18.253570370407349</v>
      </c>
      <c r="Z79" s="71" t="s">
        <v>106</v>
      </c>
      <c r="AA79" s="73">
        <v>5.5661983611111108</v>
      </c>
      <c r="AB79" s="73">
        <v>3.0248816727959098</v>
      </c>
      <c r="AC79" s="73">
        <v>3.9982883888888887</v>
      </c>
      <c r="AD79" s="73">
        <v>-25.508901929003891</v>
      </c>
      <c r="AE79" s="73">
        <v>2.2461111111111109</v>
      </c>
      <c r="AF79" s="73">
        <v>2.2461111111111109</v>
      </c>
      <c r="AG79" s="32">
        <f t="shared" si="22"/>
        <v>1.1379460310984945E-2</v>
      </c>
      <c r="AH79" s="32">
        <f t="shared" si="23"/>
        <v>0.25846953038557846</v>
      </c>
      <c r="AI79" s="33">
        <f t="shared" si="24"/>
        <v>7.5878781878012383E-3</v>
      </c>
      <c r="AJ79" s="34">
        <f t="shared" si="25"/>
        <v>8.7230792960927797E-2</v>
      </c>
      <c r="AK79" s="16">
        <f t="shared" si="26"/>
        <v>3.2248482298155258E-3</v>
      </c>
      <c r="AL79" s="16">
        <f t="shared" si="33"/>
        <v>3.7073087008394318E-2</v>
      </c>
      <c r="AM79" s="27">
        <f t="shared" si="39"/>
        <v>3.2248482298155259</v>
      </c>
      <c r="AN79" s="27">
        <f t="shared" si="39"/>
        <v>37.073087008394317</v>
      </c>
      <c r="AO79" s="29" t="e">
        <f t="shared" si="34"/>
        <v>#VALUE!</v>
      </c>
      <c r="AP79" s="29" t="e">
        <f t="shared" si="35"/>
        <v>#VALUE!</v>
      </c>
      <c r="AQ79" s="27">
        <f t="shared" si="27"/>
        <v>11.496071866462701</v>
      </c>
      <c r="AR79" s="14">
        <f t="shared" si="28"/>
        <v>410.26326022888298</v>
      </c>
      <c r="AS79" s="25">
        <v>0.36620000000000003</v>
      </c>
      <c r="AT79" s="22">
        <f t="shared" si="29"/>
        <v>0.51573911699474861</v>
      </c>
      <c r="AU79" s="22">
        <f t="shared" si="30"/>
        <v>0.14953911699474859</v>
      </c>
      <c r="AV79" s="15"/>
      <c r="AW79" s="22"/>
      <c r="AX79" s="34">
        <f t="shared" si="31"/>
        <v>1495.3911699474861</v>
      </c>
      <c r="AY79" s="14">
        <f t="shared" si="32"/>
        <v>-18.77466844140346</v>
      </c>
      <c r="AZ79" s="25">
        <v>1.0819000000000001</v>
      </c>
      <c r="BA79" s="22">
        <f t="shared" si="36"/>
        <v>1.0905781586134382</v>
      </c>
      <c r="BB79" s="38">
        <f t="shared" si="37"/>
        <v>8.678158613438125E-3</v>
      </c>
      <c r="BC79" s="15"/>
      <c r="BD79" s="38"/>
      <c r="BE79" s="38">
        <f t="shared" si="38"/>
        <v>86.781586134381257</v>
      </c>
    </row>
    <row r="80" spans="1:57" ht="15.75">
      <c r="A80" s="67">
        <v>126</v>
      </c>
      <c r="B80" s="134">
        <v>4</v>
      </c>
      <c r="C80" s="66" t="s">
        <v>421</v>
      </c>
      <c r="D80" s="66" t="s">
        <v>420</v>
      </c>
      <c r="E80" s="66" t="s">
        <v>437</v>
      </c>
      <c r="F80" s="66" t="s">
        <v>411</v>
      </c>
      <c r="G80" s="66"/>
      <c r="H80" s="66" t="s">
        <v>430</v>
      </c>
      <c r="I80" s="66">
        <v>100</v>
      </c>
      <c r="J80" s="66">
        <v>20</v>
      </c>
      <c r="K80" s="66">
        <v>30</v>
      </c>
      <c r="L80" s="66" t="s">
        <v>468</v>
      </c>
      <c r="M80" s="66">
        <v>1</v>
      </c>
      <c r="N80"/>
      <c r="O80"/>
      <c r="P80"/>
      <c r="Q80" s="108">
        <v>10</v>
      </c>
      <c r="R80" s="53">
        <v>8</v>
      </c>
      <c r="S80" s="53">
        <f t="shared" si="21"/>
        <v>2</v>
      </c>
      <c r="T80" s="80">
        <v>192</v>
      </c>
      <c r="U80" s="80" t="s">
        <v>272</v>
      </c>
      <c r="V80" s="81">
        <v>1.8249303750000001</v>
      </c>
      <c r="W80" s="81">
        <v>173.49745283467186</v>
      </c>
      <c r="X80" s="81">
        <v>0.93776956249999999</v>
      </c>
      <c r="Y80" s="81">
        <v>-19.673466696359441</v>
      </c>
      <c r="Z80" s="71" t="s">
        <v>106</v>
      </c>
      <c r="AA80" s="73">
        <v>5.5661983611111108</v>
      </c>
      <c r="AB80" s="73">
        <v>3.0248816727959098</v>
      </c>
      <c r="AC80" s="73">
        <v>3.9982883888888887</v>
      </c>
      <c r="AD80" s="73">
        <v>-25.508901929003891</v>
      </c>
      <c r="AE80" s="73">
        <v>2.2461111111111109</v>
      </c>
      <c r="AF80" s="73">
        <v>2.2461111111111109</v>
      </c>
      <c r="AG80" s="32">
        <f t="shared" si="22"/>
        <v>1.1379460310984945E-2</v>
      </c>
      <c r="AH80" s="32">
        <f t="shared" si="23"/>
        <v>0.25846953038557846</v>
      </c>
      <c r="AI80" s="33">
        <f t="shared" si="24"/>
        <v>2.0766722772623373E-2</v>
      </c>
      <c r="AJ80" s="34">
        <f t="shared" si="25"/>
        <v>0.24238485842926435</v>
      </c>
      <c r="AK80" s="16">
        <f t="shared" si="26"/>
        <v>8.8258571783649334E-3</v>
      </c>
      <c r="AL80" s="16">
        <f t="shared" si="33"/>
        <v>0.10301356483243734</v>
      </c>
      <c r="AM80" s="27">
        <f t="shared" si="39"/>
        <v>8.8258571783649327</v>
      </c>
      <c r="AN80" s="27">
        <f t="shared" si="39"/>
        <v>103.01356483243734</v>
      </c>
      <c r="AO80" s="29" t="e">
        <f t="shared" si="34"/>
        <v>#VALUE!</v>
      </c>
      <c r="AP80" s="29" t="e">
        <f t="shared" si="35"/>
        <v>#VALUE!</v>
      </c>
      <c r="AQ80" s="27">
        <f t="shared" si="27"/>
        <v>11.671791504281005</v>
      </c>
      <c r="AR80" s="14">
        <f t="shared" si="28"/>
        <v>172.45257116187594</v>
      </c>
      <c r="AS80" s="25">
        <v>0.36620000000000003</v>
      </c>
      <c r="AT80" s="22">
        <f t="shared" si="29"/>
        <v>0.4291439822105107</v>
      </c>
      <c r="AU80" s="22">
        <f t="shared" si="30"/>
        <v>6.2943982210510674E-2</v>
      </c>
      <c r="AV80" s="15"/>
      <c r="AW80" s="22"/>
      <c r="AX80" s="34">
        <f t="shared" si="31"/>
        <v>629.43982210510671</v>
      </c>
      <c r="AY80" s="14">
        <f t="shared" si="32"/>
        <v>-20.194564767355551</v>
      </c>
      <c r="AZ80" s="25">
        <v>1.0819000000000001</v>
      </c>
      <c r="BA80" s="22">
        <f t="shared" si="36"/>
        <v>1.08901720787807</v>
      </c>
      <c r="BB80" s="38">
        <f t="shared" si="37"/>
        <v>7.1172078780699088E-3</v>
      </c>
      <c r="BC80" s="15"/>
      <c r="BD80" s="38"/>
      <c r="BE80" s="38">
        <f t="shared" si="38"/>
        <v>71.172078780699081</v>
      </c>
    </row>
    <row r="81" spans="1:57" ht="15.75">
      <c r="A81" s="67">
        <v>127</v>
      </c>
      <c r="B81" s="134">
        <v>4</v>
      </c>
      <c r="C81" s="66" t="s">
        <v>423</v>
      </c>
      <c r="D81" s="66" t="s">
        <v>426</v>
      </c>
      <c r="E81" s="66" t="s">
        <v>437</v>
      </c>
      <c r="F81" s="66" t="s">
        <v>411</v>
      </c>
      <c r="G81" s="66"/>
      <c r="H81" s="66" t="s">
        <v>430</v>
      </c>
      <c r="I81" s="66">
        <v>100</v>
      </c>
      <c r="J81" s="66">
        <v>20</v>
      </c>
      <c r="K81" s="66">
        <v>30</v>
      </c>
      <c r="L81" s="66" t="s">
        <v>469</v>
      </c>
      <c r="M81" s="66">
        <v>1</v>
      </c>
      <c r="N81"/>
      <c r="O81"/>
      <c r="P81"/>
      <c r="Q81" s="108">
        <v>10</v>
      </c>
      <c r="R81" s="53">
        <v>8</v>
      </c>
      <c r="S81" s="53">
        <f t="shared" si="21"/>
        <v>2</v>
      </c>
      <c r="T81" s="82">
        <v>193</v>
      </c>
      <c r="U81" s="82" t="s">
        <v>273</v>
      </c>
      <c r="V81" s="83">
        <v>1.189630875</v>
      </c>
      <c r="W81" s="83">
        <v>894.34639921325197</v>
      </c>
      <c r="X81" s="83">
        <v>0.64424756250000004</v>
      </c>
      <c r="Y81" s="83">
        <v>-11.299652053865396</v>
      </c>
      <c r="Z81" s="71" t="s">
        <v>106</v>
      </c>
      <c r="AA81" s="73">
        <v>5.5661983611111108</v>
      </c>
      <c r="AB81" s="73">
        <v>3.0248816727959098</v>
      </c>
      <c r="AC81" s="73">
        <v>3.9982883888888887</v>
      </c>
      <c r="AD81" s="73">
        <v>-25.508901929003891</v>
      </c>
      <c r="AE81" s="73">
        <v>2.2461111111111109</v>
      </c>
      <c r="AF81" s="73">
        <v>2.2461111111111109</v>
      </c>
      <c r="AG81" s="32">
        <f t="shared" si="22"/>
        <v>1.1379460310984945E-2</v>
      </c>
      <c r="AH81" s="32">
        <f t="shared" si="23"/>
        <v>0.25846953038557846</v>
      </c>
      <c r="AI81" s="33">
        <f t="shared" si="24"/>
        <v>1.3537357326784792E-2</v>
      </c>
      <c r="AJ81" s="34">
        <f t="shared" si="25"/>
        <v>0.16651836493142863</v>
      </c>
      <c r="AK81" s="16">
        <f t="shared" si="26"/>
        <v>5.753376863883536E-3</v>
      </c>
      <c r="AL81" s="16">
        <f t="shared" si="33"/>
        <v>7.0770305095857161E-2</v>
      </c>
      <c r="AM81" s="27">
        <f t="shared" si="39"/>
        <v>5.7533768638835356</v>
      </c>
      <c r="AN81" s="27">
        <f t="shared" si="39"/>
        <v>70.770305095857168</v>
      </c>
      <c r="AO81" s="29" t="e">
        <f t="shared" si="34"/>
        <v>#VALUE!</v>
      </c>
      <c r="AP81" s="29" t="e">
        <f t="shared" si="35"/>
        <v>#VALUE!</v>
      </c>
      <c r="AQ81" s="27">
        <f t="shared" si="27"/>
        <v>12.300655210006028</v>
      </c>
      <c r="AR81" s="14">
        <f t="shared" si="28"/>
        <v>893.30151754045608</v>
      </c>
      <c r="AS81" s="25">
        <v>0.36620000000000003</v>
      </c>
      <c r="AT81" s="22">
        <f t="shared" si="29"/>
        <v>0.69116726822092989</v>
      </c>
      <c r="AU81" s="22">
        <f t="shared" si="30"/>
        <v>0.32496726822092986</v>
      </c>
      <c r="AV81" s="15"/>
      <c r="AW81" s="22"/>
      <c r="AX81" s="34">
        <f t="shared" si="31"/>
        <v>3249.6726822092983</v>
      </c>
      <c r="AY81" s="14">
        <f t="shared" si="32"/>
        <v>-11.820750124861506</v>
      </c>
      <c r="AZ81" s="25">
        <v>1.0819000000000001</v>
      </c>
      <c r="BA81" s="22">
        <f t="shared" si="36"/>
        <v>1.0982221770791154</v>
      </c>
      <c r="BB81" s="38">
        <f t="shared" si="37"/>
        <v>1.6322177079115319E-2</v>
      </c>
      <c r="BC81" s="15"/>
      <c r="BD81" s="38"/>
      <c r="BE81" s="38">
        <f t="shared" si="38"/>
        <v>163.22177079115318</v>
      </c>
    </row>
    <row r="82" spans="1:57" ht="15.75">
      <c r="A82" s="67">
        <v>128</v>
      </c>
      <c r="B82" s="134">
        <v>4</v>
      </c>
      <c r="C82" s="66" t="s">
        <v>425</v>
      </c>
      <c r="D82" s="66" t="s">
        <v>422</v>
      </c>
      <c r="E82" s="66" t="s">
        <v>437</v>
      </c>
      <c r="F82" s="66" t="s">
        <v>411</v>
      </c>
      <c r="G82" s="66"/>
      <c r="H82" s="66" t="s">
        <v>430</v>
      </c>
      <c r="I82" s="66">
        <v>100</v>
      </c>
      <c r="J82" s="66">
        <v>20</v>
      </c>
      <c r="K82" s="66">
        <v>30</v>
      </c>
      <c r="L82" s="66" t="s">
        <v>470</v>
      </c>
      <c r="M82" s="66">
        <v>1</v>
      </c>
      <c r="N82"/>
      <c r="O82"/>
      <c r="P82"/>
      <c r="Q82" s="108">
        <v>10</v>
      </c>
      <c r="R82" s="53">
        <v>8</v>
      </c>
      <c r="S82" s="53">
        <f t="shared" si="21"/>
        <v>2</v>
      </c>
      <c r="T82" s="80">
        <v>194</v>
      </c>
      <c r="U82" s="80" t="s">
        <v>274</v>
      </c>
      <c r="V82" s="81">
        <v>2.6142694999999998</v>
      </c>
      <c r="W82" s="81">
        <v>403.44539955746245</v>
      </c>
      <c r="X82" s="81">
        <v>1.5093825000000001</v>
      </c>
      <c r="Y82" s="81">
        <v>-16.534574624273354</v>
      </c>
      <c r="Z82" s="71" t="s">
        <v>106</v>
      </c>
      <c r="AA82" s="73">
        <v>5.5661983611111108</v>
      </c>
      <c r="AB82" s="73">
        <v>3.0248816727959098</v>
      </c>
      <c r="AC82" s="73">
        <v>3.9982883888888887</v>
      </c>
      <c r="AD82" s="73">
        <v>-25.508901929003891</v>
      </c>
      <c r="AE82" s="73">
        <v>2.2461111111111109</v>
      </c>
      <c r="AF82" s="73">
        <v>2.2461111111111109</v>
      </c>
      <c r="AG82" s="32">
        <f t="shared" si="22"/>
        <v>1.1379460310984945E-2</v>
      </c>
      <c r="AH82" s="32">
        <f t="shared" si="23"/>
        <v>0.25846953038557846</v>
      </c>
      <c r="AI82" s="33">
        <f t="shared" si="24"/>
        <v>2.9748976017468454E-2</v>
      </c>
      <c r="AJ82" s="34">
        <f t="shared" si="25"/>
        <v>0.39012938594721042</v>
      </c>
      <c r="AK82" s="16">
        <f t="shared" si="26"/>
        <v>1.2643314807424094E-2</v>
      </c>
      <c r="AL82" s="16">
        <f t="shared" si="33"/>
        <v>0.16580498902756444</v>
      </c>
      <c r="AM82" s="27">
        <f t="shared" si="39"/>
        <v>12.643314807424094</v>
      </c>
      <c r="AN82" s="27">
        <f t="shared" si="39"/>
        <v>165.80498902756443</v>
      </c>
      <c r="AO82" s="29" t="e">
        <f t="shared" si="34"/>
        <v>#VALUE!</v>
      </c>
      <c r="AP82" s="29" t="e">
        <f t="shared" si="35"/>
        <v>#VALUE!</v>
      </c>
      <c r="AQ82" s="27">
        <f t="shared" si="27"/>
        <v>13.114044184852895</v>
      </c>
      <c r="AR82" s="14">
        <f t="shared" si="28"/>
        <v>402.40051788466656</v>
      </c>
      <c r="AS82" s="25">
        <v>0.36620000000000003</v>
      </c>
      <c r="AT82" s="22">
        <f t="shared" si="29"/>
        <v>0.51287842704244813</v>
      </c>
      <c r="AU82" s="22">
        <f t="shared" si="30"/>
        <v>0.1466784270424481</v>
      </c>
      <c r="AV82" s="15"/>
      <c r="AW82" s="22"/>
      <c r="AX82" s="34">
        <f t="shared" si="31"/>
        <v>1466.7842704244811</v>
      </c>
      <c r="AY82" s="14">
        <f t="shared" si="32"/>
        <v>-17.055672695269465</v>
      </c>
      <c r="AZ82" s="25">
        <v>1.0819000000000001</v>
      </c>
      <c r="BA82" s="22">
        <f t="shared" si="36"/>
        <v>1.0924678557803635</v>
      </c>
      <c r="BB82" s="38">
        <f t="shared" si="37"/>
        <v>1.0567855780363455E-2</v>
      </c>
      <c r="BC82" s="15"/>
      <c r="BD82" s="38"/>
      <c r="BE82" s="38">
        <f t="shared" si="38"/>
        <v>105.67855780363456</v>
      </c>
    </row>
    <row r="83" spans="1:57" ht="15.75">
      <c r="A83" s="67">
        <v>129</v>
      </c>
      <c r="B83" s="66">
        <v>5</v>
      </c>
      <c r="C83" s="66" t="s">
        <v>408</v>
      </c>
      <c r="D83" s="66" t="s">
        <v>420</v>
      </c>
      <c r="E83" s="66" t="s">
        <v>437</v>
      </c>
      <c r="F83" s="66" t="s">
        <v>411</v>
      </c>
      <c r="G83" s="66"/>
      <c r="H83" s="66" t="s">
        <v>431</v>
      </c>
      <c r="I83" s="66">
        <v>100</v>
      </c>
      <c r="J83" s="66">
        <v>20</v>
      </c>
      <c r="K83" s="66">
        <v>30</v>
      </c>
      <c r="L83" s="66" t="s">
        <v>471</v>
      </c>
      <c r="M83" s="66">
        <v>1</v>
      </c>
      <c r="N83"/>
      <c r="O83"/>
      <c r="P83"/>
      <c r="Q83" s="108">
        <v>10</v>
      </c>
      <c r="R83" s="53">
        <v>8</v>
      </c>
      <c r="S83" s="53">
        <f t="shared" si="21"/>
        <v>2</v>
      </c>
      <c r="T83" s="82">
        <v>195</v>
      </c>
      <c r="U83" s="82" t="s">
        <v>275</v>
      </c>
      <c r="V83" s="83">
        <v>2.1347367500000001</v>
      </c>
      <c r="W83" s="83">
        <v>416.10530629670029</v>
      </c>
      <c r="X83" s="83">
        <v>1.3332326249999999</v>
      </c>
      <c r="Y83" s="83">
        <v>-14.524521861257988</v>
      </c>
      <c r="Z83" s="71" t="s">
        <v>106</v>
      </c>
      <c r="AA83" s="73">
        <v>5.5661983611111108</v>
      </c>
      <c r="AB83" s="73">
        <v>3.0248816727959098</v>
      </c>
      <c r="AC83" s="73">
        <v>3.9982883888888887</v>
      </c>
      <c r="AD83" s="73">
        <v>-25.508901929003891</v>
      </c>
      <c r="AE83" s="73">
        <v>2.2461111111111109</v>
      </c>
      <c r="AF83" s="73">
        <v>2.2461111111111109</v>
      </c>
      <c r="AG83" s="32">
        <f t="shared" si="22"/>
        <v>1.1379460310984945E-2</v>
      </c>
      <c r="AH83" s="32">
        <f t="shared" si="23"/>
        <v>0.25846953038557846</v>
      </c>
      <c r="AI83" s="33">
        <f t="shared" si="24"/>
        <v>2.4292152121025992E-2</v>
      </c>
      <c r="AJ83" s="34">
        <f t="shared" si="25"/>
        <v>0.34460001047848204</v>
      </c>
      <c r="AK83" s="16">
        <f t="shared" si="26"/>
        <v>1.0324164651436046E-2</v>
      </c>
      <c r="AL83" s="16">
        <f t="shared" si="33"/>
        <v>0.14645500445335488</v>
      </c>
      <c r="AM83" s="27">
        <f t="shared" si="39"/>
        <v>10.324164651436046</v>
      </c>
      <c r="AN83" s="27">
        <f t="shared" si="39"/>
        <v>146.45500445335489</v>
      </c>
      <c r="AO83" s="29" t="e">
        <f t="shared" si="34"/>
        <v>#VALUE!</v>
      </c>
      <c r="AP83" s="29" t="e">
        <f t="shared" si="35"/>
        <v>#VALUE!</v>
      </c>
      <c r="AQ83" s="27">
        <f t="shared" si="27"/>
        <v>14.185651759533263</v>
      </c>
      <c r="AR83" s="14">
        <f t="shared" si="28"/>
        <v>415.0604246239044</v>
      </c>
      <c r="AS83" s="25">
        <v>0.36620000000000003</v>
      </c>
      <c r="AT83" s="22">
        <f t="shared" si="29"/>
        <v>0.51748438143821551</v>
      </c>
      <c r="AU83" s="22">
        <f t="shared" si="30"/>
        <v>0.15128438143821549</v>
      </c>
      <c r="AV83" s="15"/>
      <c r="AW83" s="22"/>
      <c r="AX83" s="34">
        <f t="shared" si="31"/>
        <v>1512.843814382155</v>
      </c>
      <c r="AY83" s="14">
        <f t="shared" si="32"/>
        <v>-15.045619932254098</v>
      </c>
      <c r="AZ83" s="25">
        <v>1.0819000000000001</v>
      </c>
      <c r="BA83" s="22">
        <f t="shared" si="36"/>
        <v>1.0946774212184054</v>
      </c>
      <c r="BB83" s="38">
        <f t="shared" si="37"/>
        <v>1.2777421218405305E-2</v>
      </c>
      <c r="BC83" s="15"/>
      <c r="BD83" s="38"/>
      <c r="BE83" s="38">
        <f t="shared" si="38"/>
        <v>127.77421218405306</v>
      </c>
    </row>
    <row r="84" spans="1:57" ht="15.75">
      <c r="A84" s="67">
        <v>130</v>
      </c>
      <c r="B84" s="66">
        <v>5</v>
      </c>
      <c r="C84" s="66" t="s">
        <v>413</v>
      </c>
      <c r="D84" s="66" t="s">
        <v>424</v>
      </c>
      <c r="E84" s="66" t="s">
        <v>437</v>
      </c>
      <c r="F84" s="66" t="s">
        <v>411</v>
      </c>
      <c r="G84" s="66"/>
      <c r="H84" s="66" t="s">
        <v>431</v>
      </c>
      <c r="I84" s="66">
        <v>100</v>
      </c>
      <c r="J84" s="66">
        <v>20</v>
      </c>
      <c r="K84" s="66">
        <v>30</v>
      </c>
      <c r="L84" s="66" t="s">
        <v>472</v>
      </c>
      <c r="M84" s="66">
        <v>1</v>
      </c>
      <c r="N84"/>
      <c r="O84"/>
      <c r="P84"/>
      <c r="Q84" s="108">
        <v>10</v>
      </c>
      <c r="R84" s="53">
        <v>8</v>
      </c>
      <c r="S84" s="53">
        <f t="shared" si="21"/>
        <v>2</v>
      </c>
      <c r="T84" s="80">
        <v>196</v>
      </c>
      <c r="U84" s="80" t="s">
        <v>276</v>
      </c>
      <c r="V84" s="81">
        <v>1.800786875</v>
      </c>
      <c r="W84" s="81">
        <v>127.62545585696034</v>
      </c>
      <c r="X84" s="81">
        <v>1.1357326249999999</v>
      </c>
      <c r="Y84" s="81">
        <v>-21.102977305520323</v>
      </c>
      <c r="Z84" s="71" t="s">
        <v>106</v>
      </c>
      <c r="AA84" s="73">
        <v>5.5661983611111108</v>
      </c>
      <c r="AB84" s="73">
        <v>3.0248816727959098</v>
      </c>
      <c r="AC84" s="73">
        <v>3.9982883888888887</v>
      </c>
      <c r="AD84" s="73">
        <v>-25.508901929003891</v>
      </c>
      <c r="AE84" s="73">
        <v>2.2461111111111109</v>
      </c>
      <c r="AF84" s="73">
        <v>2.2461111111111109</v>
      </c>
      <c r="AG84" s="32">
        <f t="shared" si="22"/>
        <v>1.1379460310984945E-2</v>
      </c>
      <c r="AH84" s="32">
        <f t="shared" si="23"/>
        <v>0.25846953038557846</v>
      </c>
      <c r="AI84" s="33">
        <f t="shared" si="24"/>
        <v>2.0491982772605107E-2</v>
      </c>
      <c r="AJ84" s="34">
        <f t="shared" si="25"/>
        <v>0.29355227822733027</v>
      </c>
      <c r="AK84" s="16">
        <f t="shared" si="26"/>
        <v>8.7090926783571707E-3</v>
      </c>
      <c r="AL84" s="16">
        <f t="shared" si="33"/>
        <v>0.12475971824661537</v>
      </c>
      <c r="AM84" s="27">
        <f t="shared" si="39"/>
        <v>8.7090926783571714</v>
      </c>
      <c r="AN84" s="27">
        <f t="shared" si="39"/>
        <v>124.75971824661538</v>
      </c>
      <c r="AO84" s="29" t="e">
        <f t="shared" si="34"/>
        <v>#VALUE!</v>
      </c>
      <c r="AP84" s="29" t="e">
        <f t="shared" si="35"/>
        <v>#VALUE!</v>
      </c>
      <c r="AQ84" s="27">
        <f t="shared" si="27"/>
        <v>14.325225698499429</v>
      </c>
      <c r="AR84" s="14">
        <f t="shared" si="28"/>
        <v>126.58057418416443</v>
      </c>
      <c r="AS84" s="25">
        <v>0.36620000000000003</v>
      </c>
      <c r="AT84" s="22">
        <f t="shared" si="29"/>
        <v>0.41242304730142942</v>
      </c>
      <c r="AU84" s="22">
        <f t="shared" si="30"/>
        <v>4.6223047301429399E-2</v>
      </c>
      <c r="AV84" s="15"/>
      <c r="AW84" s="22"/>
      <c r="AX84" s="34">
        <f t="shared" si="31"/>
        <v>462.23047301429398</v>
      </c>
      <c r="AY84" s="14">
        <f t="shared" si="32"/>
        <v>-21.624075376516434</v>
      </c>
      <c r="AZ84" s="25">
        <v>1.0819000000000001</v>
      </c>
      <c r="BA84" s="22">
        <f t="shared" si="36"/>
        <v>1.0874456379926938</v>
      </c>
      <c r="BB84" s="38">
        <f t="shared" si="37"/>
        <v>5.5456379926936972E-3</v>
      </c>
      <c r="BC84" s="15"/>
      <c r="BD84" s="38"/>
      <c r="BE84" s="38">
        <f t="shared" si="38"/>
        <v>55.456379926936975</v>
      </c>
    </row>
    <row r="85" spans="1:57" ht="15.75">
      <c r="A85" s="67">
        <v>131</v>
      </c>
      <c r="B85" s="66">
        <v>5</v>
      </c>
      <c r="C85" s="66" t="s">
        <v>415</v>
      </c>
      <c r="D85" s="66" t="s">
        <v>409</v>
      </c>
      <c r="E85" s="66" t="s">
        <v>437</v>
      </c>
      <c r="F85" s="66" t="s">
        <v>411</v>
      </c>
      <c r="G85" s="66"/>
      <c r="H85" s="66" t="s">
        <v>431</v>
      </c>
      <c r="I85" s="66">
        <v>100</v>
      </c>
      <c r="J85" s="66">
        <v>20</v>
      </c>
      <c r="K85" s="66">
        <v>30</v>
      </c>
      <c r="L85" s="66" t="s">
        <v>473</v>
      </c>
      <c r="M85" s="66">
        <v>1</v>
      </c>
      <c r="N85"/>
      <c r="O85"/>
      <c r="P85"/>
      <c r="Q85" s="108">
        <v>10</v>
      </c>
      <c r="R85" s="53">
        <v>8</v>
      </c>
      <c r="S85" s="53">
        <f t="shared" si="21"/>
        <v>2</v>
      </c>
      <c r="T85" s="82">
        <v>197</v>
      </c>
      <c r="U85" s="82" t="s">
        <v>277</v>
      </c>
      <c r="V85" s="83">
        <v>1.5198905</v>
      </c>
      <c r="W85" s="83">
        <v>316.57596651156825</v>
      </c>
      <c r="X85" s="83">
        <v>0.96864193750000005</v>
      </c>
      <c r="Y85" s="83">
        <v>-15.271659952923121</v>
      </c>
      <c r="Z85" s="71" t="s">
        <v>106</v>
      </c>
      <c r="AA85" s="73">
        <v>5.5661983611111108</v>
      </c>
      <c r="AB85" s="73">
        <v>3.0248816727959098</v>
      </c>
      <c r="AC85" s="73">
        <v>3.9982883888888887</v>
      </c>
      <c r="AD85" s="73">
        <v>-25.508901929003891</v>
      </c>
      <c r="AE85" s="73">
        <v>2.2461111111111109</v>
      </c>
      <c r="AF85" s="73">
        <v>2.2461111111111109</v>
      </c>
      <c r="AG85" s="32">
        <f t="shared" si="22"/>
        <v>1.1379460310984945E-2</v>
      </c>
      <c r="AH85" s="32">
        <f t="shared" si="23"/>
        <v>0.25846953038557846</v>
      </c>
      <c r="AI85" s="33">
        <f t="shared" si="24"/>
        <v>1.7295533621793063E-2</v>
      </c>
      <c r="AJ85" s="34">
        <f t="shared" si="25"/>
        <v>0.25036442669740183</v>
      </c>
      <c r="AK85" s="16">
        <f t="shared" si="26"/>
        <v>7.3506017892620524E-3</v>
      </c>
      <c r="AL85" s="16">
        <f t="shared" si="33"/>
        <v>0.10640488134639577</v>
      </c>
      <c r="AM85" s="27">
        <f t="shared" si="39"/>
        <v>7.3506017892620523</v>
      </c>
      <c r="AN85" s="27">
        <f t="shared" si="39"/>
        <v>106.40488134639577</v>
      </c>
      <c r="AO85" s="29" t="e">
        <f t="shared" si="34"/>
        <v>#VALUE!</v>
      </c>
      <c r="AP85" s="29" t="e">
        <f t="shared" si="35"/>
        <v>#VALUE!</v>
      </c>
      <c r="AQ85" s="27">
        <f t="shared" si="27"/>
        <v>14.475669393740628</v>
      </c>
      <c r="AR85" s="14">
        <f t="shared" si="28"/>
        <v>315.53108483877236</v>
      </c>
      <c r="AS85" s="25">
        <v>0.36620000000000003</v>
      </c>
      <c r="AT85" s="22">
        <f t="shared" si="29"/>
        <v>0.48126189610454162</v>
      </c>
      <c r="AU85" s="22">
        <f t="shared" si="30"/>
        <v>0.11506189610454159</v>
      </c>
      <c r="AV85" s="15"/>
      <c r="AW85" s="22"/>
      <c r="AX85" s="34">
        <f t="shared" si="31"/>
        <v>1150.6189610454157</v>
      </c>
      <c r="AY85" s="14">
        <f t="shared" si="32"/>
        <v>-15.792758023919232</v>
      </c>
      <c r="AZ85" s="25">
        <v>1.0819000000000001</v>
      </c>
      <c r="BA85" s="22">
        <f t="shared" si="36"/>
        <v>1.0938561356464065</v>
      </c>
      <c r="BB85" s="38">
        <f t="shared" si="37"/>
        <v>1.1956135646406407E-2</v>
      </c>
      <c r="BC85" s="15"/>
      <c r="BD85" s="38"/>
      <c r="BE85" s="38">
        <f t="shared" si="38"/>
        <v>119.56135646406408</v>
      </c>
    </row>
    <row r="86" spans="1:57" ht="15.75">
      <c r="A86" s="67">
        <v>132</v>
      </c>
      <c r="B86" s="66">
        <v>5</v>
      </c>
      <c r="C86" s="66" t="s">
        <v>417</v>
      </c>
      <c r="D86" s="66" t="s">
        <v>426</v>
      </c>
      <c r="E86" s="66" t="s">
        <v>437</v>
      </c>
      <c r="F86" s="66" t="s">
        <v>411</v>
      </c>
      <c r="G86" s="66"/>
      <c r="H86" s="66" t="s">
        <v>431</v>
      </c>
      <c r="I86" s="66">
        <v>100</v>
      </c>
      <c r="J86" s="66">
        <v>20</v>
      </c>
      <c r="K86" s="66">
        <v>30</v>
      </c>
      <c r="L86" s="66" t="s">
        <v>474</v>
      </c>
      <c r="M86" s="66">
        <v>1</v>
      </c>
      <c r="N86"/>
      <c r="O86"/>
      <c r="P86"/>
      <c r="Q86" s="108">
        <v>10</v>
      </c>
      <c r="R86" s="53">
        <v>8</v>
      </c>
      <c r="S86" s="53">
        <f t="shared" si="21"/>
        <v>2</v>
      </c>
      <c r="T86" s="80">
        <v>198</v>
      </c>
      <c r="U86" s="80" t="s">
        <v>278</v>
      </c>
      <c r="V86" s="81">
        <v>0.57831025000000003</v>
      </c>
      <c r="W86" s="81">
        <v>918.99483200276165</v>
      </c>
      <c r="X86" s="81">
        <v>0.34945674999999998</v>
      </c>
      <c r="Y86" s="81">
        <v>-10.115489720315953</v>
      </c>
      <c r="Z86" s="71" t="s">
        <v>54</v>
      </c>
      <c r="AA86" s="73">
        <v>5.5661983611111108</v>
      </c>
      <c r="AB86" s="73">
        <v>3.0248816727959098</v>
      </c>
      <c r="AC86" s="73">
        <v>3.9982883888888887</v>
      </c>
      <c r="AD86" s="73">
        <v>-25.508901929003891</v>
      </c>
      <c r="AE86" s="73">
        <v>2.2461111111111109</v>
      </c>
      <c r="AF86" s="73">
        <v>2.2461111111111109</v>
      </c>
      <c r="AG86" s="32">
        <f t="shared" si="22"/>
        <v>1.1379460310984945E-2</v>
      </c>
      <c r="AH86" s="32">
        <f t="shared" si="23"/>
        <v>0.25846953038557846</v>
      </c>
      <c r="AI86" s="33">
        <f t="shared" si="24"/>
        <v>6.580858537310782E-3</v>
      </c>
      <c r="AJ86" s="34">
        <f t="shared" si="25"/>
        <v>9.0323922062570491E-2</v>
      </c>
      <c r="AK86" s="16">
        <f t="shared" si="26"/>
        <v>2.7968648783570824E-3</v>
      </c>
      <c r="AL86" s="16">
        <f t="shared" si="33"/>
        <v>3.8387666876592459E-2</v>
      </c>
      <c r="AM86" s="27">
        <f t="shared" si="39"/>
        <v>2.7968648783570824</v>
      </c>
      <c r="AN86" s="27">
        <f t="shared" si="39"/>
        <v>38.387666876592462</v>
      </c>
      <c r="AO86" s="29" t="e">
        <f t="shared" si="34"/>
        <v>#VALUE!</v>
      </c>
      <c r="AP86" s="29" t="e">
        <f t="shared" si="35"/>
        <v>#VALUE!</v>
      </c>
      <c r="AQ86" s="27">
        <f t="shared" si="27"/>
        <v>13.725249000638856</v>
      </c>
      <c r="AR86" s="14">
        <f t="shared" si="28"/>
        <v>917.94995032996576</v>
      </c>
      <c r="AS86" s="25">
        <v>0.36620000000000003</v>
      </c>
      <c r="AT86" s="22">
        <f t="shared" si="29"/>
        <v>0.7001024108929832</v>
      </c>
      <c r="AU86" s="22">
        <f t="shared" si="30"/>
        <v>0.33390241089298317</v>
      </c>
      <c r="AV86" s="15"/>
      <c r="AW86" s="22"/>
      <c r="AX86" s="34">
        <f t="shared" si="31"/>
        <v>3339.0241089298315</v>
      </c>
      <c r="AY86" s="14">
        <f t="shared" si="32"/>
        <v>-10.636587791312063</v>
      </c>
      <c r="AZ86" s="25">
        <v>1.0819000000000001</v>
      </c>
      <c r="BA86" s="22">
        <f t="shared" si="36"/>
        <v>1.0995237368144652</v>
      </c>
      <c r="BB86" s="38">
        <f t="shared" si="37"/>
        <v>1.7623736814465163E-2</v>
      </c>
      <c r="BC86" s="15"/>
      <c r="BD86" s="38"/>
      <c r="BE86" s="38">
        <f t="shared" si="38"/>
        <v>176.23736814465164</v>
      </c>
    </row>
    <row r="87" spans="1:57" ht="15.75">
      <c r="A87" s="67">
        <v>133</v>
      </c>
      <c r="B87" s="66">
        <v>5</v>
      </c>
      <c r="C87" s="66" t="s">
        <v>419</v>
      </c>
      <c r="D87" s="66" t="s">
        <v>418</v>
      </c>
      <c r="E87" s="66" t="s">
        <v>437</v>
      </c>
      <c r="F87" s="66" t="s">
        <v>411</v>
      </c>
      <c r="G87" s="66"/>
      <c r="H87" s="66" t="s">
        <v>431</v>
      </c>
      <c r="I87" s="66">
        <v>100</v>
      </c>
      <c r="J87" s="66">
        <v>20</v>
      </c>
      <c r="K87" s="66">
        <v>30</v>
      </c>
      <c r="L87" s="66" t="s">
        <v>475</v>
      </c>
      <c r="M87" s="66">
        <v>1</v>
      </c>
      <c r="N87"/>
      <c r="O87"/>
      <c r="P87"/>
      <c r="Q87" s="108">
        <v>10</v>
      </c>
      <c r="R87" s="53">
        <v>8</v>
      </c>
      <c r="S87" s="53">
        <f t="shared" si="21"/>
        <v>2</v>
      </c>
      <c r="T87" s="82">
        <v>199</v>
      </c>
      <c r="U87" s="82" t="s">
        <v>279</v>
      </c>
      <c r="V87" s="83">
        <v>0.90880312500000004</v>
      </c>
      <c r="W87" s="83">
        <v>51.07962408050259</v>
      </c>
      <c r="X87" s="83">
        <v>0.51642774999999996</v>
      </c>
      <c r="Y87" s="83">
        <v>-23.027144715921139</v>
      </c>
      <c r="Z87" s="71" t="s">
        <v>54</v>
      </c>
      <c r="AA87" s="73">
        <v>5.5661983611111108</v>
      </c>
      <c r="AB87" s="73">
        <v>3.0248816727959098</v>
      </c>
      <c r="AC87" s="73">
        <v>3.9982883888888887</v>
      </c>
      <c r="AD87" s="73">
        <v>-25.508901929003891</v>
      </c>
      <c r="AE87" s="73">
        <v>2.2461111111111109</v>
      </c>
      <c r="AF87" s="73">
        <v>2.2461111111111109</v>
      </c>
      <c r="AG87" s="32">
        <f t="shared" si="22"/>
        <v>1.1379460310984945E-2</v>
      </c>
      <c r="AH87" s="32">
        <f t="shared" si="23"/>
        <v>0.25846953038557846</v>
      </c>
      <c r="AI87" s="33">
        <f t="shared" si="24"/>
        <v>1.034168909143659E-2</v>
      </c>
      <c r="AJ87" s="34">
        <f t="shared" si="25"/>
        <v>0.13348083802058092</v>
      </c>
      <c r="AK87" s="16">
        <f t="shared" si="26"/>
        <v>4.3952178638605507E-3</v>
      </c>
      <c r="AL87" s="16">
        <f t="shared" si="33"/>
        <v>5.6729356158746885E-2</v>
      </c>
      <c r="AM87" s="27">
        <f t="shared" si="39"/>
        <v>4.3952178638605508</v>
      </c>
      <c r="AN87" s="27">
        <f t="shared" si="39"/>
        <v>56.729356158746889</v>
      </c>
      <c r="AO87" s="29" t="e">
        <f t="shared" si="34"/>
        <v>#VALUE!</v>
      </c>
      <c r="AP87" s="29" t="e">
        <f t="shared" si="35"/>
        <v>#VALUE!</v>
      </c>
      <c r="AQ87" s="27">
        <f t="shared" si="27"/>
        <v>12.907063521287775</v>
      </c>
      <c r="AR87" s="14">
        <f t="shared" si="28"/>
        <v>50.03474240770668</v>
      </c>
      <c r="AS87" s="25">
        <v>0.36620000000000003</v>
      </c>
      <c r="AT87" s="22">
        <f t="shared" si="29"/>
        <v>0.38450859592374537</v>
      </c>
      <c r="AU87" s="22">
        <f t="shared" si="30"/>
        <v>1.8308595923745341E-2</v>
      </c>
      <c r="AV87" s="15"/>
      <c r="AW87" s="22"/>
      <c r="AX87" s="34">
        <f t="shared" si="31"/>
        <v>183.08595923745341</v>
      </c>
      <c r="AY87" s="14">
        <f t="shared" si="32"/>
        <v>-23.54824278691725</v>
      </c>
      <c r="AZ87" s="25">
        <v>1.0819000000000001</v>
      </c>
      <c r="BA87" s="22">
        <f t="shared" si="36"/>
        <v>1.0853301753586209</v>
      </c>
      <c r="BB87" s="38">
        <f t="shared" si="37"/>
        <v>3.4301753586207795E-3</v>
      </c>
      <c r="BC87" s="58">
        <f t="shared" ref="BC87:BC144" si="40">1.12461*AL87+0.0077</f>
        <v>7.1498401229688341E-2</v>
      </c>
      <c r="BD87" s="38">
        <f t="shared" ref="BD87:BD133" si="41">((BB87%)*BC87)*1000</f>
        <v>2.4525205407885859E-3</v>
      </c>
      <c r="BE87" s="38">
        <f t="shared" si="38"/>
        <v>34.301753586207795</v>
      </c>
    </row>
    <row r="88" spans="1:57" ht="15.75">
      <c r="A88" s="67">
        <v>134</v>
      </c>
      <c r="B88" s="66">
        <v>5</v>
      </c>
      <c r="C88" s="66" t="s">
        <v>421</v>
      </c>
      <c r="D88" s="66" t="s">
        <v>416</v>
      </c>
      <c r="E88" s="66" t="s">
        <v>437</v>
      </c>
      <c r="F88" s="66" t="s">
        <v>411</v>
      </c>
      <c r="G88" s="66"/>
      <c r="H88" s="66" t="s">
        <v>431</v>
      </c>
      <c r="I88" s="66">
        <v>100</v>
      </c>
      <c r="J88" s="66">
        <v>20</v>
      </c>
      <c r="K88" s="66">
        <v>30</v>
      </c>
      <c r="L88" s="66" t="s">
        <v>476</v>
      </c>
      <c r="M88" s="66">
        <v>1</v>
      </c>
      <c r="N88"/>
      <c r="O88"/>
      <c r="P88"/>
      <c r="Q88" s="108">
        <v>10</v>
      </c>
      <c r="R88" s="53">
        <v>8</v>
      </c>
      <c r="S88" s="53">
        <f t="shared" si="21"/>
        <v>2</v>
      </c>
      <c r="T88" s="80">
        <v>200</v>
      </c>
      <c r="U88" s="80" t="s">
        <v>280</v>
      </c>
      <c r="V88" s="81">
        <v>0.74520900000000001</v>
      </c>
      <c r="W88" s="81">
        <v>204.72892060144002</v>
      </c>
      <c r="X88" s="81">
        <v>0.47822825000000002</v>
      </c>
      <c r="Y88" s="81">
        <v>-19.812138448850384</v>
      </c>
      <c r="Z88" s="71" t="s">
        <v>54</v>
      </c>
      <c r="AA88" s="73">
        <v>5.5661983611111108</v>
      </c>
      <c r="AB88" s="73">
        <v>3.0248816727959098</v>
      </c>
      <c r="AC88" s="73">
        <v>3.9982883888888887</v>
      </c>
      <c r="AD88" s="73">
        <v>-25.508901929003891</v>
      </c>
      <c r="AE88" s="73">
        <v>2.2461111111111109</v>
      </c>
      <c r="AF88" s="73">
        <v>2.2461111111111109</v>
      </c>
      <c r="AG88" s="32">
        <f t="shared" si="22"/>
        <v>1.1379460310984945E-2</v>
      </c>
      <c r="AH88" s="32">
        <f t="shared" si="23"/>
        <v>0.25846953038557846</v>
      </c>
      <c r="AI88" s="33">
        <f t="shared" si="24"/>
        <v>8.4800762388887799E-3</v>
      </c>
      <c r="AJ88" s="34">
        <f t="shared" si="25"/>
        <v>0.12360743119461702</v>
      </c>
      <c r="AK88" s="16">
        <f t="shared" si="26"/>
        <v>3.6040324015277317E-3</v>
      </c>
      <c r="AL88" s="16">
        <f t="shared" si="33"/>
        <v>5.253315825771223E-2</v>
      </c>
      <c r="AM88" s="27">
        <f t="shared" si="39"/>
        <v>3.6040324015277316</v>
      </c>
      <c r="AN88" s="27">
        <f t="shared" si="39"/>
        <v>52.53315825771223</v>
      </c>
      <c r="AO88" s="29" t="e">
        <f t="shared" si="34"/>
        <v>#VALUE!</v>
      </c>
      <c r="AP88" s="29" t="e">
        <f t="shared" si="35"/>
        <v>#VALUE!</v>
      </c>
      <c r="AQ88" s="27">
        <f t="shared" si="27"/>
        <v>14.576216971701944</v>
      </c>
      <c r="AR88" s="14">
        <f t="shared" si="28"/>
        <v>203.6840389286441</v>
      </c>
      <c r="AS88" s="25">
        <v>0.36620000000000003</v>
      </c>
      <c r="AT88" s="22">
        <f t="shared" si="29"/>
        <v>0.44052504281895516</v>
      </c>
      <c r="AU88" s="22">
        <f t="shared" si="30"/>
        <v>7.4325042818955134E-2</v>
      </c>
      <c r="AV88" s="15"/>
      <c r="AW88" s="22"/>
      <c r="AX88" s="34">
        <f t="shared" si="31"/>
        <v>743.25042818955137</v>
      </c>
      <c r="AY88" s="14">
        <f t="shared" si="32"/>
        <v>-20.333236519846494</v>
      </c>
      <c r="AZ88" s="25">
        <v>1.0819000000000001</v>
      </c>
      <c r="BA88" s="22">
        <f t="shared" si="36"/>
        <v>1.0888647576464674</v>
      </c>
      <c r="BB88" s="38">
        <f t="shared" si="37"/>
        <v>6.9647576464673122E-3</v>
      </c>
      <c r="BC88" s="58">
        <f t="shared" si="40"/>
        <v>6.6779315108205756E-2</v>
      </c>
      <c r="BD88" s="38">
        <f t="shared" si="41"/>
        <v>4.6510174552572611E-3</v>
      </c>
      <c r="BE88" s="38">
        <f t="shared" si="38"/>
        <v>69.647576464673122</v>
      </c>
    </row>
    <row r="89" spans="1:57" ht="15.75">
      <c r="A89" s="67">
        <v>135</v>
      </c>
      <c r="B89" s="66">
        <v>5</v>
      </c>
      <c r="C89" s="66" t="s">
        <v>423</v>
      </c>
      <c r="D89" s="66" t="s">
        <v>422</v>
      </c>
      <c r="E89" s="66" t="s">
        <v>437</v>
      </c>
      <c r="F89" s="66" t="s">
        <v>411</v>
      </c>
      <c r="G89" s="66"/>
      <c r="H89" s="66" t="s">
        <v>431</v>
      </c>
      <c r="I89" s="66">
        <v>100</v>
      </c>
      <c r="J89" s="66">
        <v>20</v>
      </c>
      <c r="K89" s="66">
        <v>30</v>
      </c>
      <c r="L89" s="66" t="s">
        <v>477</v>
      </c>
      <c r="M89" s="66">
        <v>1</v>
      </c>
      <c r="N89"/>
      <c r="O89"/>
      <c r="P89"/>
      <c r="Q89" s="108">
        <v>10</v>
      </c>
      <c r="R89" s="53">
        <v>8</v>
      </c>
      <c r="S89" s="53">
        <f t="shared" si="21"/>
        <v>2</v>
      </c>
      <c r="T89" s="82">
        <v>201</v>
      </c>
      <c r="U89" s="82" t="s">
        <v>281</v>
      </c>
      <c r="V89" s="83">
        <v>3.6602285000000001</v>
      </c>
      <c r="W89" s="83">
        <v>294.77775269170206</v>
      </c>
      <c r="X89" s="83">
        <v>2.0633252500000001</v>
      </c>
      <c r="Y89" s="83">
        <v>-16.567687791503261</v>
      </c>
      <c r="Z89" s="71" t="s">
        <v>54</v>
      </c>
      <c r="AA89" s="73">
        <v>5.5661983611111108</v>
      </c>
      <c r="AB89" s="73">
        <v>3.0248816727959098</v>
      </c>
      <c r="AC89" s="73">
        <v>3.9982883888888887</v>
      </c>
      <c r="AD89" s="73">
        <v>-25.508901929003891</v>
      </c>
      <c r="AE89" s="73">
        <v>2.2461111111111109</v>
      </c>
      <c r="AF89" s="73">
        <v>2.2461111111111109</v>
      </c>
      <c r="AG89" s="32">
        <f t="shared" si="22"/>
        <v>1.1379460310984945E-2</v>
      </c>
      <c r="AH89" s="32">
        <f t="shared" si="23"/>
        <v>0.25846953038557846</v>
      </c>
      <c r="AI89" s="33">
        <f t="shared" si="24"/>
        <v>4.1651424944885961E-2</v>
      </c>
      <c r="AJ89" s="34">
        <f t="shared" si="25"/>
        <v>0.53330670840020633</v>
      </c>
      <c r="AK89" s="16">
        <f t="shared" si="26"/>
        <v>1.7701855601576534E-2</v>
      </c>
      <c r="AL89" s="16">
        <f t="shared" si="33"/>
        <v>0.22665535107008772</v>
      </c>
      <c r="AM89" s="27">
        <f t="shared" si="39"/>
        <v>17.701855601576533</v>
      </c>
      <c r="AN89" s="27">
        <f t="shared" si="39"/>
        <v>226.6553510700877</v>
      </c>
      <c r="AO89" s="29" t="e">
        <f t="shared" si="34"/>
        <v>#VALUE!</v>
      </c>
      <c r="AP89" s="29" t="e">
        <f t="shared" si="35"/>
        <v>#VALUE!</v>
      </c>
      <c r="AQ89" s="27">
        <f t="shared" si="27"/>
        <v>12.804044738106535</v>
      </c>
      <c r="AR89" s="14">
        <f t="shared" si="28"/>
        <v>293.73287101890617</v>
      </c>
      <c r="AS89" s="25">
        <v>0.36620000000000003</v>
      </c>
      <c r="AT89" s="22">
        <f t="shared" si="29"/>
        <v>0.47332518145889518</v>
      </c>
      <c r="AU89" s="22">
        <f t="shared" si="30"/>
        <v>0.10712518145889516</v>
      </c>
      <c r="AV89" s="15"/>
      <c r="AW89" s="22"/>
      <c r="AX89" s="34">
        <f t="shared" si="31"/>
        <v>1071.2518145889517</v>
      </c>
      <c r="AY89" s="14">
        <f t="shared" si="32"/>
        <v>-17.088785862499371</v>
      </c>
      <c r="AZ89" s="25">
        <v>1.0819000000000001</v>
      </c>
      <c r="BA89" s="22">
        <f t="shared" si="36"/>
        <v>1.0924314550586178</v>
      </c>
      <c r="BB89" s="38">
        <f t="shared" si="37"/>
        <v>1.0531455058617745E-2</v>
      </c>
      <c r="BC89" s="58">
        <f t="shared" si="40"/>
        <v>0.26259887436693136</v>
      </c>
      <c r="BD89" s="38">
        <f t="shared" si="41"/>
        <v>2.7655482438389448E-2</v>
      </c>
      <c r="BE89" s="38">
        <f t="shared" si="38"/>
        <v>105.31455058617745</v>
      </c>
    </row>
    <row r="90" spans="1:57" ht="15.75">
      <c r="A90" s="67">
        <v>136</v>
      </c>
      <c r="B90" s="66">
        <v>5</v>
      </c>
      <c r="C90" s="66" t="s">
        <v>425</v>
      </c>
      <c r="D90" s="66" t="s">
        <v>414</v>
      </c>
      <c r="E90" s="66" t="s">
        <v>437</v>
      </c>
      <c r="F90" s="66" t="s">
        <v>411</v>
      </c>
      <c r="G90" s="66"/>
      <c r="H90" s="66" t="s">
        <v>431</v>
      </c>
      <c r="I90" s="66">
        <v>100</v>
      </c>
      <c r="J90" s="66">
        <v>20</v>
      </c>
      <c r="K90" s="66">
        <v>30</v>
      </c>
      <c r="L90" s="66" t="s">
        <v>478</v>
      </c>
      <c r="M90" s="66">
        <v>1</v>
      </c>
      <c r="N90"/>
      <c r="O90"/>
      <c r="P90"/>
      <c r="Q90" s="108">
        <v>10</v>
      </c>
      <c r="R90" s="53">
        <v>8</v>
      </c>
      <c r="S90" s="53">
        <f t="shared" si="21"/>
        <v>2</v>
      </c>
      <c r="T90" s="80">
        <v>202</v>
      </c>
      <c r="U90" s="80" t="s">
        <v>282</v>
      </c>
      <c r="V90" s="81">
        <v>1.8938012500000001</v>
      </c>
      <c r="W90" s="81">
        <v>782.75658044388638</v>
      </c>
      <c r="X90" s="81">
        <v>0.95136162499999999</v>
      </c>
      <c r="Y90" s="81">
        <v>-19.01846302463489</v>
      </c>
      <c r="Z90" s="71" t="s">
        <v>54</v>
      </c>
      <c r="AA90" s="73">
        <v>5.5661983611111108</v>
      </c>
      <c r="AB90" s="73">
        <v>3.0248816727959098</v>
      </c>
      <c r="AC90" s="73">
        <v>3.9982883888888887</v>
      </c>
      <c r="AD90" s="73">
        <v>-25.508901929003891</v>
      </c>
      <c r="AE90" s="73">
        <v>2.2461111111111109</v>
      </c>
      <c r="AF90" s="73">
        <v>2.2461111111111109</v>
      </c>
      <c r="AG90" s="32">
        <f t="shared" si="22"/>
        <v>1.1379460310984945E-2</v>
      </c>
      <c r="AH90" s="32">
        <f t="shared" si="23"/>
        <v>0.25846953038557846</v>
      </c>
      <c r="AI90" s="33">
        <f t="shared" si="24"/>
        <v>2.1550436161268678E-2</v>
      </c>
      <c r="AJ90" s="34">
        <f t="shared" si="25"/>
        <v>0.24589799244061081</v>
      </c>
      <c r="AK90" s="16">
        <f t="shared" si="26"/>
        <v>9.158935368539187E-3</v>
      </c>
      <c r="AL90" s="16">
        <f t="shared" si="33"/>
        <v>0.10450664678725959</v>
      </c>
      <c r="AM90" s="27">
        <f t="shared" si="39"/>
        <v>9.1589353685391863</v>
      </c>
      <c r="AN90" s="27">
        <f t="shared" si="39"/>
        <v>104.50664678725958</v>
      </c>
      <c r="AO90" s="29" t="e">
        <f t="shared" si="34"/>
        <v>#VALUE!</v>
      </c>
      <c r="AP90" s="29" t="e">
        <f t="shared" si="35"/>
        <v>#VALUE!</v>
      </c>
      <c r="AQ90" s="27">
        <f t="shared" si="27"/>
        <v>11.41034875584322</v>
      </c>
      <c r="AR90" s="14">
        <f t="shared" si="28"/>
        <v>781.71169877109048</v>
      </c>
      <c r="AS90" s="25">
        <v>0.36620000000000003</v>
      </c>
      <c r="AT90" s="22">
        <f t="shared" si="29"/>
        <v>0.65069544367663479</v>
      </c>
      <c r="AU90" s="22">
        <f t="shared" si="30"/>
        <v>0.28449544367663476</v>
      </c>
      <c r="AV90" s="15"/>
      <c r="AW90" s="22"/>
      <c r="AX90" s="34">
        <f t="shared" si="31"/>
        <v>2844.9544367663475</v>
      </c>
      <c r="AY90" s="14">
        <f t="shared" si="32"/>
        <v>-19.539561095631001</v>
      </c>
      <c r="AZ90" s="25">
        <v>1.0819000000000001</v>
      </c>
      <c r="BA90" s="22">
        <f t="shared" si="36"/>
        <v>1.0897372866165445</v>
      </c>
      <c r="BB90" s="38">
        <f t="shared" si="37"/>
        <v>7.83728661654437E-3</v>
      </c>
      <c r="BC90" s="58">
        <f t="shared" si="40"/>
        <v>0.12522922004342002</v>
      </c>
      <c r="BD90" s="38">
        <f t="shared" si="41"/>
        <v>9.8145729024658578E-3</v>
      </c>
      <c r="BE90" s="38">
        <f t="shared" si="38"/>
        <v>78.372866165443696</v>
      </c>
    </row>
    <row r="91" spans="1:57" ht="15.75">
      <c r="A91" s="67">
        <v>137</v>
      </c>
      <c r="B91" s="66">
        <v>6</v>
      </c>
      <c r="C91" s="66" t="s">
        <v>408</v>
      </c>
      <c r="D91" s="66" t="s">
        <v>422</v>
      </c>
      <c r="E91" s="66" t="s">
        <v>437</v>
      </c>
      <c r="F91" s="66" t="s">
        <v>411</v>
      </c>
      <c r="G91" s="66"/>
      <c r="H91" s="66" t="s">
        <v>432</v>
      </c>
      <c r="I91" s="66">
        <v>100</v>
      </c>
      <c r="J91" s="66">
        <v>20</v>
      </c>
      <c r="K91" s="66">
        <v>30</v>
      </c>
      <c r="L91" s="66" t="s">
        <v>62</v>
      </c>
      <c r="M91" s="66">
        <v>2</v>
      </c>
      <c r="N91"/>
      <c r="O91"/>
      <c r="P91"/>
      <c r="Q91" s="108">
        <v>10</v>
      </c>
      <c r="R91" s="53">
        <v>8</v>
      </c>
      <c r="S91" s="53">
        <f t="shared" si="21"/>
        <v>2</v>
      </c>
      <c r="T91" s="80">
        <v>204</v>
      </c>
      <c r="U91" s="80" t="s">
        <v>284</v>
      </c>
      <c r="V91" s="81">
        <v>0.71126362499999995</v>
      </c>
      <c r="W91" s="81">
        <v>251.08498373463692</v>
      </c>
      <c r="X91" s="81">
        <v>0.465487875</v>
      </c>
      <c r="Y91" s="81">
        <v>-18.864093238668779</v>
      </c>
      <c r="Z91" s="71" t="s">
        <v>54</v>
      </c>
      <c r="AA91" s="73">
        <v>5.5661983611111108</v>
      </c>
      <c r="AB91" s="73">
        <v>3.0248816727959098</v>
      </c>
      <c r="AC91" s="73">
        <v>3.9982883888888887</v>
      </c>
      <c r="AD91" s="73">
        <v>-25.508901929003891</v>
      </c>
      <c r="AE91" s="73">
        <v>2.2461111111111109</v>
      </c>
      <c r="AF91" s="73">
        <v>2.2461111111111109</v>
      </c>
      <c r="AG91" s="32">
        <f t="shared" si="22"/>
        <v>1.1379460310984945E-2</v>
      </c>
      <c r="AH91" s="32">
        <f t="shared" si="23"/>
        <v>0.25846953038557846</v>
      </c>
      <c r="AI91" s="33">
        <f t="shared" si="24"/>
        <v>8.0937961913347782E-3</v>
      </c>
      <c r="AJ91" s="34">
        <f t="shared" si="25"/>
        <v>0.12031443245143085</v>
      </c>
      <c r="AK91" s="16">
        <f t="shared" si="26"/>
        <v>3.4398633813172812E-3</v>
      </c>
      <c r="AL91" s="16">
        <f t="shared" si="33"/>
        <v>5.1133633791858112E-2</v>
      </c>
      <c r="AM91" s="27">
        <f t="shared" si="39"/>
        <v>3.4398633813172812</v>
      </c>
      <c r="AN91" s="27">
        <f t="shared" si="39"/>
        <v>51.133633791858109</v>
      </c>
      <c r="AO91" s="29" t="e">
        <f t="shared" si="34"/>
        <v>#VALUE!</v>
      </c>
      <c r="AP91" s="29" t="e">
        <f t="shared" si="35"/>
        <v>#VALUE!</v>
      </c>
      <c r="AQ91" s="27">
        <f t="shared" si="27"/>
        <v>14.865018788123123</v>
      </c>
      <c r="AR91" s="14">
        <f t="shared" si="28"/>
        <v>250.04010206184103</v>
      </c>
      <c r="AS91" s="25">
        <v>0.36620000000000003</v>
      </c>
      <c r="AT91" s="22">
        <f t="shared" si="29"/>
        <v>0.45741286198750114</v>
      </c>
      <c r="AU91" s="22">
        <f t="shared" si="30"/>
        <v>9.1212861987501115E-2</v>
      </c>
      <c r="AV91" s="15"/>
      <c r="AW91" s="22"/>
      <c r="AX91" s="34">
        <f t="shared" si="31"/>
        <v>912.12861987501117</v>
      </c>
      <c r="AY91" s="14">
        <f t="shared" si="32"/>
        <v>-19.38519130966489</v>
      </c>
      <c r="AZ91" s="25">
        <v>1.0819000000000001</v>
      </c>
      <c r="BA91" s="22">
        <f t="shared" si="36"/>
        <v>1.0899069916206179</v>
      </c>
      <c r="BB91" s="38">
        <f t="shared" si="37"/>
        <v>8.0069916206177982E-3</v>
      </c>
      <c r="BC91" s="58">
        <f t="shared" si="40"/>
        <v>6.5205395898661561E-2</v>
      </c>
      <c r="BD91" s="38">
        <f t="shared" si="41"/>
        <v>5.2209905857964929E-3</v>
      </c>
      <c r="BE91" s="38">
        <f t="shared" si="38"/>
        <v>80.069916206177979</v>
      </c>
    </row>
    <row r="92" spans="1:57" ht="15.75">
      <c r="A92" s="67">
        <v>138</v>
      </c>
      <c r="B92" s="66">
        <v>6</v>
      </c>
      <c r="C92" s="66" t="s">
        <v>413</v>
      </c>
      <c r="D92" s="66" t="s">
        <v>426</v>
      </c>
      <c r="E92" s="66" t="s">
        <v>437</v>
      </c>
      <c r="F92" s="66" t="s">
        <v>411</v>
      </c>
      <c r="G92" s="66"/>
      <c r="H92" s="66" t="s">
        <v>432</v>
      </c>
      <c r="I92" s="66">
        <v>100</v>
      </c>
      <c r="J92" s="66">
        <v>20</v>
      </c>
      <c r="K92" s="66">
        <v>30</v>
      </c>
      <c r="L92" s="66" t="s">
        <v>63</v>
      </c>
      <c r="M92" s="66">
        <v>2</v>
      </c>
      <c r="N92"/>
      <c r="O92"/>
      <c r="P92"/>
      <c r="Q92" s="108">
        <v>10</v>
      </c>
      <c r="R92" s="53">
        <v>8</v>
      </c>
      <c r="S92" s="53">
        <f t="shared" si="21"/>
        <v>2</v>
      </c>
      <c r="T92" s="82">
        <v>205</v>
      </c>
      <c r="U92" s="82" t="s">
        <v>285</v>
      </c>
      <c r="V92" s="83">
        <v>1.4404524999999999</v>
      </c>
      <c r="W92" s="83">
        <v>285.09597528976775</v>
      </c>
      <c r="X92" s="83">
        <v>0.84652125</v>
      </c>
      <c r="Y92" s="83">
        <v>-18.324338910358772</v>
      </c>
      <c r="Z92" s="71" t="s">
        <v>54</v>
      </c>
      <c r="AA92" s="73">
        <v>5.5661983611111108</v>
      </c>
      <c r="AB92" s="73">
        <v>3.0248816727959098</v>
      </c>
      <c r="AC92" s="73">
        <v>3.9982883888888887</v>
      </c>
      <c r="AD92" s="73">
        <v>-25.508901929003891</v>
      </c>
      <c r="AE92" s="73">
        <v>2.2461111111111109</v>
      </c>
      <c r="AF92" s="73">
        <v>2.2461111111111109</v>
      </c>
      <c r="AG92" s="32">
        <f t="shared" si="22"/>
        <v>1.1379460310984945E-2</v>
      </c>
      <c r="AH92" s="32">
        <f t="shared" si="23"/>
        <v>0.25846953038557846</v>
      </c>
      <c r="AI92" s="33">
        <f t="shared" si="24"/>
        <v>1.6391572053609041E-2</v>
      </c>
      <c r="AJ92" s="34">
        <f t="shared" si="25"/>
        <v>0.21879994994891286</v>
      </c>
      <c r="AK92" s="16">
        <f t="shared" si="26"/>
        <v>6.9664181227838424E-3</v>
      </c>
      <c r="AL92" s="16">
        <f t="shared" si="33"/>
        <v>9.2989978728287973E-2</v>
      </c>
      <c r="AM92" s="27">
        <f t="shared" si="39"/>
        <v>6.9664181227838426</v>
      </c>
      <c r="AN92" s="27">
        <f t="shared" si="39"/>
        <v>92.989978728287966</v>
      </c>
      <c r="AO92" s="29" t="e">
        <f t="shared" si="34"/>
        <v>#VALUE!</v>
      </c>
      <c r="AP92" s="29" t="e">
        <f t="shared" si="35"/>
        <v>#VALUE!</v>
      </c>
      <c r="AQ92" s="27"/>
      <c r="AR92" s="14"/>
      <c r="AS92" s="25"/>
      <c r="AT92" s="22"/>
      <c r="AU92" s="22"/>
      <c r="AV92" s="15"/>
      <c r="AW92" s="22"/>
      <c r="AX92" s="34"/>
      <c r="AY92" s="14">
        <f t="shared" si="32"/>
        <v>-18.845436981354883</v>
      </c>
      <c r="AZ92" s="25">
        <v>1.0819000000000001</v>
      </c>
      <c r="BA92" s="22">
        <f t="shared" si="36"/>
        <v>1.0905003609981916</v>
      </c>
      <c r="BB92" s="38">
        <f t="shared" si="37"/>
        <v>8.600360998191503E-3</v>
      </c>
      <c r="BC92" s="58">
        <f t="shared" si="40"/>
        <v>0.11227745997761994</v>
      </c>
      <c r="BD92" s="38">
        <f t="shared" si="41"/>
        <v>9.6562668776752989E-3</v>
      </c>
      <c r="BE92" s="38">
        <f t="shared" si="38"/>
        <v>86.003609981915034</v>
      </c>
    </row>
    <row r="93" spans="1:57" ht="15.75">
      <c r="A93" s="67">
        <v>139</v>
      </c>
      <c r="B93" s="66">
        <v>6</v>
      </c>
      <c r="C93" s="66" t="s">
        <v>415</v>
      </c>
      <c r="D93" s="66" t="s">
        <v>424</v>
      </c>
      <c r="E93" s="66" t="s">
        <v>437</v>
      </c>
      <c r="F93" s="66" t="s">
        <v>411</v>
      </c>
      <c r="G93" s="66"/>
      <c r="H93" s="66" t="s">
        <v>432</v>
      </c>
      <c r="I93" s="66">
        <v>100</v>
      </c>
      <c r="J93" s="66">
        <v>20</v>
      </c>
      <c r="K93" s="66">
        <v>30</v>
      </c>
      <c r="L93" s="66" t="s">
        <v>64</v>
      </c>
      <c r="M93" s="66">
        <v>2</v>
      </c>
      <c r="N93"/>
      <c r="O93"/>
      <c r="P93"/>
      <c r="Q93" s="108">
        <v>10</v>
      </c>
      <c r="R93" s="53">
        <v>8</v>
      </c>
      <c r="S93" s="53">
        <f t="shared" si="21"/>
        <v>2</v>
      </c>
      <c r="T93" s="80">
        <v>206</v>
      </c>
      <c r="U93" s="80" t="s">
        <v>286</v>
      </c>
      <c r="V93" s="81">
        <v>2.45942025</v>
      </c>
      <c r="W93" s="81">
        <v>174.70416726341358</v>
      </c>
      <c r="X93" s="81">
        <v>1.558738875</v>
      </c>
      <c r="Y93" s="81">
        <v>-21.499811449681115</v>
      </c>
      <c r="Z93" s="71" t="s">
        <v>54</v>
      </c>
      <c r="AA93" s="73">
        <v>5.5661983611111108</v>
      </c>
      <c r="AB93" s="73">
        <v>3.0248816727959098</v>
      </c>
      <c r="AC93" s="73">
        <v>3.9982883888888887</v>
      </c>
      <c r="AD93" s="73">
        <v>-25.508901929003891</v>
      </c>
      <c r="AE93" s="73">
        <v>2.2461111111111109</v>
      </c>
      <c r="AF93" s="73">
        <v>2.2461111111111109</v>
      </c>
      <c r="AG93" s="32">
        <f t="shared" si="22"/>
        <v>1.1379460310984945E-2</v>
      </c>
      <c r="AH93" s="32">
        <f t="shared" si="23"/>
        <v>0.25846953038557846</v>
      </c>
      <c r="AI93" s="33">
        <f t="shared" si="24"/>
        <v>2.7986875122907671E-2</v>
      </c>
      <c r="AJ93" s="34">
        <f t="shared" si="25"/>
        <v>0.4028865050149949</v>
      </c>
      <c r="AK93" s="16">
        <f t="shared" si="26"/>
        <v>1.1894421927235759E-2</v>
      </c>
      <c r="AL93" s="16">
        <f t="shared" si="33"/>
        <v>0.17122676463137282</v>
      </c>
      <c r="AM93" s="27">
        <f t="shared" si="39"/>
        <v>11.89442192723576</v>
      </c>
      <c r="AN93" s="27">
        <f t="shared" si="39"/>
        <v>171.22676463137282</v>
      </c>
      <c r="AO93" s="29" t="e">
        <f t="shared" si="34"/>
        <v>#VALUE!</v>
      </c>
      <c r="AP93" s="29" t="e">
        <f t="shared" si="35"/>
        <v>#VALUE!</v>
      </c>
      <c r="AQ93" s="27">
        <f t="shared" si="27"/>
        <v>14.39555160215891</v>
      </c>
      <c r="AR93" s="14">
        <f t="shared" si="28"/>
        <v>173.65928559061769</v>
      </c>
      <c r="AS93" s="25">
        <v>0.36620000000000003</v>
      </c>
      <c r="AT93" s="22">
        <f t="shared" si="29"/>
        <v>0.42958376939702858</v>
      </c>
      <c r="AU93" s="22">
        <f t="shared" si="30"/>
        <v>6.3383769397028555E-2</v>
      </c>
      <c r="AV93" s="15"/>
      <c r="AW93" s="22"/>
      <c r="AX93" s="34">
        <f t="shared" si="31"/>
        <v>633.8376939702855</v>
      </c>
      <c r="AY93" s="14">
        <f t="shared" si="32"/>
        <v>-22.020909520677225</v>
      </c>
      <c r="AZ93" s="25">
        <v>1.0819000000000001</v>
      </c>
      <c r="BA93" s="22">
        <f t="shared" si="36"/>
        <v>1.0870093591387109</v>
      </c>
      <c r="BB93" s="38">
        <f t="shared" si="37"/>
        <v>5.1093591387108006E-3</v>
      </c>
      <c r="BC93" s="58">
        <f t="shared" si="40"/>
        <v>0.20026333177208822</v>
      </c>
      <c r="BD93" s="38">
        <f t="shared" si="41"/>
        <v>1.0232172843383919E-2</v>
      </c>
      <c r="BE93" s="38">
        <f t="shared" si="38"/>
        <v>51.093591387108013</v>
      </c>
    </row>
    <row r="94" spans="1:57" ht="15.75">
      <c r="A94" s="67">
        <v>140</v>
      </c>
      <c r="B94" s="66">
        <v>6</v>
      </c>
      <c r="C94" s="66" t="s">
        <v>417</v>
      </c>
      <c r="D94" s="66" t="s">
        <v>409</v>
      </c>
      <c r="E94" s="66" t="s">
        <v>437</v>
      </c>
      <c r="F94" s="66" t="s">
        <v>411</v>
      </c>
      <c r="G94" s="66"/>
      <c r="H94" s="66" t="s">
        <v>432</v>
      </c>
      <c r="I94" s="66">
        <v>100</v>
      </c>
      <c r="J94" s="66">
        <v>20</v>
      </c>
      <c r="K94" s="66">
        <v>30</v>
      </c>
      <c r="L94" s="66" t="s">
        <v>65</v>
      </c>
      <c r="M94" s="66">
        <v>2</v>
      </c>
      <c r="N94"/>
      <c r="O94"/>
      <c r="P94"/>
      <c r="Q94" s="108">
        <v>10</v>
      </c>
      <c r="R94" s="53">
        <v>8</v>
      </c>
      <c r="S94" s="53">
        <f t="shared" si="21"/>
        <v>2</v>
      </c>
      <c r="T94" s="82">
        <v>207</v>
      </c>
      <c r="U94" s="82" t="s">
        <v>287</v>
      </c>
      <c r="V94" s="83">
        <v>1.4304345000000001</v>
      </c>
      <c r="W94" s="83">
        <v>567.47717248897368</v>
      </c>
      <c r="X94" s="83">
        <v>0.7679828125</v>
      </c>
      <c r="Y94" s="83">
        <v>-10.582755560947286</v>
      </c>
      <c r="Z94" s="71" t="s">
        <v>54</v>
      </c>
      <c r="AA94" s="73">
        <v>5.5661983611111108</v>
      </c>
      <c r="AB94" s="73">
        <v>3.0248816727959098</v>
      </c>
      <c r="AC94" s="73">
        <v>3.9982883888888887</v>
      </c>
      <c r="AD94" s="73">
        <v>-25.508901929003891</v>
      </c>
      <c r="AE94" s="73">
        <v>2.2461111111111109</v>
      </c>
      <c r="AF94" s="73">
        <v>2.2461111111111109</v>
      </c>
      <c r="AG94" s="32">
        <f t="shared" si="22"/>
        <v>1.1379460310984945E-2</v>
      </c>
      <c r="AH94" s="32">
        <f t="shared" si="23"/>
        <v>0.25846953038557846</v>
      </c>
      <c r="AI94" s="33">
        <f t="shared" si="24"/>
        <v>1.6277572620213596E-2</v>
      </c>
      <c r="AJ94" s="34">
        <f t="shared" si="25"/>
        <v>0.19850015689107076</v>
      </c>
      <c r="AK94" s="16">
        <f t="shared" si="26"/>
        <v>6.917968363590779E-3</v>
      </c>
      <c r="AL94" s="16">
        <f t="shared" si="33"/>
        <v>8.4362566678705064E-2</v>
      </c>
      <c r="AM94" s="27">
        <f t="shared" si="39"/>
        <v>6.9179683635907789</v>
      </c>
      <c r="AN94" s="27">
        <f t="shared" si="39"/>
        <v>84.362566678705065</v>
      </c>
      <c r="AO94" s="29" t="e">
        <f t="shared" si="34"/>
        <v>#VALUE!</v>
      </c>
      <c r="AP94" s="29" t="e">
        <f t="shared" si="35"/>
        <v>#VALUE!</v>
      </c>
      <c r="AQ94" s="27">
        <f t="shared" si="27"/>
        <v>12.194702583883544</v>
      </c>
      <c r="AR94" s="14">
        <f t="shared" si="28"/>
        <v>566.43229081617778</v>
      </c>
      <c r="AS94" s="25">
        <v>0.36620000000000003</v>
      </c>
      <c r="AT94" s="22">
        <f t="shared" si="29"/>
        <v>0.57252380063474495</v>
      </c>
      <c r="AU94" s="22">
        <f t="shared" si="30"/>
        <v>0.20632380063474492</v>
      </c>
      <c r="AV94" s="15"/>
      <c r="AW94" s="22"/>
      <c r="AX94" s="34">
        <f t="shared" si="31"/>
        <v>2063.2380063474493</v>
      </c>
      <c r="AY94" s="14">
        <f t="shared" si="32"/>
        <v>-11.103853631943396</v>
      </c>
      <c r="AZ94" s="25">
        <v>1.0819000000000001</v>
      </c>
      <c r="BA94" s="22">
        <f t="shared" si="36"/>
        <v>1.0990101505086245</v>
      </c>
      <c r="BB94" s="38">
        <f t="shared" si="37"/>
        <v>1.7110150508624411E-2</v>
      </c>
      <c r="BC94" s="58">
        <f t="shared" si="40"/>
        <v>0.10257498611253851</v>
      </c>
      <c r="BD94" s="38">
        <f t="shared" si="41"/>
        <v>1.7550734508055926E-2</v>
      </c>
      <c r="BE94" s="38">
        <f t="shared" si="38"/>
        <v>171.10150508624412</v>
      </c>
    </row>
    <row r="95" spans="1:57" ht="15.75">
      <c r="A95" s="67">
        <v>141</v>
      </c>
      <c r="B95" s="66">
        <v>6</v>
      </c>
      <c r="C95" s="66" t="s">
        <v>419</v>
      </c>
      <c r="D95" s="66" t="s">
        <v>416</v>
      </c>
      <c r="E95" s="66" t="s">
        <v>437</v>
      </c>
      <c r="F95" s="66" t="s">
        <v>411</v>
      </c>
      <c r="G95" s="66"/>
      <c r="H95" s="66" t="s">
        <v>432</v>
      </c>
      <c r="I95" s="66">
        <v>100</v>
      </c>
      <c r="J95" s="66">
        <v>20</v>
      </c>
      <c r="K95" s="66">
        <v>30</v>
      </c>
      <c r="L95" s="66" t="s">
        <v>66</v>
      </c>
      <c r="M95" s="66">
        <v>2</v>
      </c>
      <c r="N95"/>
      <c r="O95"/>
      <c r="P95"/>
      <c r="Q95" s="108">
        <v>10</v>
      </c>
      <c r="R95" s="53">
        <v>8</v>
      </c>
      <c r="S95" s="53">
        <f t="shared" si="21"/>
        <v>2</v>
      </c>
      <c r="T95" s="80">
        <v>208</v>
      </c>
      <c r="U95" s="80" t="s">
        <v>288</v>
      </c>
      <c r="V95" s="81">
        <v>0.63183362499999995</v>
      </c>
      <c r="W95" s="81">
        <v>1113.0381588839241</v>
      </c>
      <c r="X95" s="81">
        <v>0.39867009375000001</v>
      </c>
      <c r="Y95" s="81">
        <v>-10.600112800582764</v>
      </c>
      <c r="Z95" s="71" t="s">
        <v>54</v>
      </c>
      <c r="AA95" s="73">
        <v>5.5661983611111108</v>
      </c>
      <c r="AB95" s="73">
        <v>3.0248816727959098</v>
      </c>
      <c r="AC95" s="73">
        <v>3.9982883888888887</v>
      </c>
      <c r="AD95" s="73">
        <v>-25.508901929003891</v>
      </c>
      <c r="AE95" s="73">
        <v>2.2461111111111109</v>
      </c>
      <c r="AF95" s="73">
        <v>2.2461111111111109</v>
      </c>
      <c r="AG95" s="32">
        <f t="shared" si="22"/>
        <v>1.1379460310984945E-2</v>
      </c>
      <c r="AH95" s="32">
        <f t="shared" si="23"/>
        <v>0.25846953038557846</v>
      </c>
      <c r="AI95" s="33">
        <f t="shared" si="24"/>
        <v>7.1899256588332447E-3</v>
      </c>
      <c r="AJ95" s="34">
        <f t="shared" si="25"/>
        <v>0.10304407191033704</v>
      </c>
      <c r="AK95" s="16">
        <f t="shared" si="26"/>
        <v>3.055718405004129E-3</v>
      </c>
      <c r="AL95" s="16">
        <f t="shared" si="33"/>
        <v>4.3793730561893243E-2</v>
      </c>
      <c r="AM95" s="27">
        <f t="shared" si="39"/>
        <v>3.0557184050041291</v>
      </c>
      <c r="AN95" s="27">
        <f t="shared" si="39"/>
        <v>43.793730561893241</v>
      </c>
      <c r="AO95" s="29" t="e">
        <f t="shared" si="34"/>
        <v>#VALUE!</v>
      </c>
      <c r="AP95" s="29" t="e">
        <f t="shared" si="35"/>
        <v>#VALUE!</v>
      </c>
      <c r="AQ95" s="27">
        <f t="shared" si="27"/>
        <v>14.331729811940596</v>
      </c>
      <c r="AR95" s="14">
        <f t="shared" si="28"/>
        <v>1111.9932772111281</v>
      </c>
      <c r="AS95" s="25">
        <v>0.36620000000000003</v>
      </c>
      <c r="AT95" s="22">
        <f t="shared" si="29"/>
        <v>0.7703876796680883</v>
      </c>
      <c r="AU95" s="22">
        <f t="shared" si="30"/>
        <v>0.40418767966808827</v>
      </c>
      <c r="AV95" s="15"/>
      <c r="AW95" s="22"/>
      <c r="AX95" s="34">
        <f t="shared" si="31"/>
        <v>4041.8767966808823</v>
      </c>
      <c r="AY95" s="14">
        <f t="shared" si="32"/>
        <v>-11.121210871578874</v>
      </c>
      <c r="AZ95" s="25">
        <v>1.0819000000000001</v>
      </c>
      <c r="BA95" s="22">
        <f t="shared" si="36"/>
        <v>1.0989910725281244</v>
      </c>
      <c r="BB95" s="38">
        <f t="shared" si="37"/>
        <v>1.7091072528124363E-2</v>
      </c>
      <c r="BC95" s="58">
        <f t="shared" si="40"/>
        <v>5.6950867327210761E-2</v>
      </c>
      <c r="BD95" s="38">
        <f t="shared" si="41"/>
        <v>9.7335140402894718E-3</v>
      </c>
      <c r="BE95" s="38">
        <f t="shared" si="38"/>
        <v>170.91072528124363</v>
      </c>
    </row>
    <row r="96" spans="1:57" ht="15.75">
      <c r="A96" s="67">
        <v>142</v>
      </c>
      <c r="B96" s="66">
        <v>6</v>
      </c>
      <c r="C96" s="66" t="s">
        <v>421</v>
      </c>
      <c r="D96" s="66" t="s">
        <v>414</v>
      </c>
      <c r="E96" s="66" t="s">
        <v>437</v>
      </c>
      <c r="F96" s="66" t="s">
        <v>411</v>
      </c>
      <c r="G96" s="66"/>
      <c r="H96" s="66" t="s">
        <v>432</v>
      </c>
      <c r="I96" s="66">
        <v>100</v>
      </c>
      <c r="J96" s="66">
        <v>20</v>
      </c>
      <c r="K96" s="66">
        <v>30</v>
      </c>
      <c r="L96" s="66" t="s">
        <v>67</v>
      </c>
      <c r="M96" s="66">
        <v>2</v>
      </c>
      <c r="N96"/>
      <c r="O96"/>
      <c r="P96"/>
      <c r="Q96" s="108">
        <v>10</v>
      </c>
      <c r="R96" s="53">
        <v>8</v>
      </c>
      <c r="S96" s="53">
        <f t="shared" si="21"/>
        <v>2</v>
      </c>
      <c r="T96" s="82">
        <v>209</v>
      </c>
      <c r="U96" s="82" t="s">
        <v>289</v>
      </c>
      <c r="V96" s="83">
        <v>0.60733300000000001</v>
      </c>
      <c r="W96" s="83">
        <v>921.21176207329393</v>
      </c>
      <c r="X96" s="83">
        <v>0.327123</v>
      </c>
      <c r="Y96" s="83">
        <v>-5.6251269508420751</v>
      </c>
      <c r="Z96" s="71" t="s">
        <v>54</v>
      </c>
      <c r="AA96" s="73">
        <v>5.5661983611111108</v>
      </c>
      <c r="AB96" s="73">
        <v>3.0248816727959098</v>
      </c>
      <c r="AC96" s="73">
        <v>3.9982883888888887</v>
      </c>
      <c r="AD96" s="73">
        <v>-25.508901929003891</v>
      </c>
      <c r="AE96" s="73">
        <v>2.2461111111111109</v>
      </c>
      <c r="AF96" s="73">
        <v>2.2461111111111109</v>
      </c>
      <c r="AG96" s="32">
        <f t="shared" si="22"/>
        <v>1.1379460310984945E-2</v>
      </c>
      <c r="AH96" s="32">
        <f t="shared" si="23"/>
        <v>0.25846953038557846</v>
      </c>
      <c r="AI96" s="33">
        <f t="shared" si="24"/>
        <v>6.9111217690514199E-3</v>
      </c>
      <c r="AJ96" s="34">
        <f t="shared" si="25"/>
        <v>8.4551328188321576E-2</v>
      </c>
      <c r="AK96" s="16">
        <f t="shared" si="26"/>
        <v>2.9372267518468537E-3</v>
      </c>
      <c r="AL96" s="16">
        <f t="shared" si="33"/>
        <v>3.5934314480036672E-2</v>
      </c>
      <c r="AM96" s="27">
        <f t="shared" si="39"/>
        <v>2.9372267518468536</v>
      </c>
      <c r="AN96" s="27">
        <f t="shared" si="39"/>
        <v>35.934314480036669</v>
      </c>
      <c r="AO96" s="29" t="e">
        <f t="shared" si="34"/>
        <v>#VALUE!</v>
      </c>
      <c r="AP96" s="29" t="e">
        <f t="shared" si="35"/>
        <v>#VALUE!</v>
      </c>
      <c r="AQ96" s="27">
        <f t="shared" si="27"/>
        <v>12.234096144413122</v>
      </c>
      <c r="AR96" s="14">
        <f t="shared" si="28"/>
        <v>920.16688040049803</v>
      </c>
      <c r="AS96" s="25">
        <v>0.36620000000000003</v>
      </c>
      <c r="AT96" s="22">
        <f t="shared" si="29"/>
        <v>0.70090597694996803</v>
      </c>
      <c r="AU96" s="22">
        <f t="shared" si="30"/>
        <v>0.33470597694996801</v>
      </c>
      <c r="AV96" s="15"/>
      <c r="AW96" s="22"/>
      <c r="AX96" s="34">
        <f t="shared" si="31"/>
        <v>3347.05976949968</v>
      </c>
      <c r="AY96" s="14">
        <f t="shared" si="32"/>
        <v>-6.1462250218381858</v>
      </c>
      <c r="AZ96" s="25">
        <v>1.0819000000000001</v>
      </c>
      <c r="BA96" s="22">
        <f t="shared" si="36"/>
        <v>1.1044589611983398</v>
      </c>
      <c r="BB96" s="38">
        <f t="shared" si="37"/>
        <v>2.2558961198339667E-2</v>
      </c>
      <c r="BC96" s="58">
        <f t="shared" si="40"/>
        <v>4.8112089407394046E-2</v>
      </c>
      <c r="BD96" s="38">
        <f t="shared" si="41"/>
        <v>1.0853587581124511E-2</v>
      </c>
      <c r="BE96" s="38">
        <f t="shared" si="38"/>
        <v>225.58961198339665</v>
      </c>
    </row>
    <row r="97" spans="1:57" ht="15.75">
      <c r="A97" s="67">
        <v>143</v>
      </c>
      <c r="B97" s="66">
        <v>6</v>
      </c>
      <c r="C97" s="66" t="s">
        <v>423</v>
      </c>
      <c r="D97" s="66" t="s">
        <v>420</v>
      </c>
      <c r="E97" s="66" t="s">
        <v>437</v>
      </c>
      <c r="F97" s="66" t="s">
        <v>411</v>
      </c>
      <c r="G97" s="66"/>
      <c r="H97" s="66" t="s">
        <v>432</v>
      </c>
      <c r="I97" s="66">
        <v>100</v>
      </c>
      <c r="J97" s="66">
        <v>20</v>
      </c>
      <c r="K97" s="66">
        <v>30</v>
      </c>
      <c r="L97" s="66" t="s">
        <v>68</v>
      </c>
      <c r="M97" s="66">
        <v>2</v>
      </c>
      <c r="N97"/>
      <c r="O97"/>
      <c r="P97"/>
      <c r="Q97" s="108">
        <v>10</v>
      </c>
      <c r="R97" s="53">
        <v>8</v>
      </c>
      <c r="S97" s="53">
        <f t="shared" si="21"/>
        <v>2</v>
      </c>
      <c r="T97" s="80">
        <v>210</v>
      </c>
      <c r="U97" s="80" t="s">
        <v>290</v>
      </c>
      <c r="V97" s="81">
        <v>1.36788825</v>
      </c>
      <c r="W97" s="81">
        <v>789.80210283619442</v>
      </c>
      <c r="X97" s="81">
        <v>0.75002456250000005</v>
      </c>
      <c r="Y97" s="81">
        <v>-5.5910721918733639</v>
      </c>
      <c r="Z97" s="71" t="s">
        <v>54</v>
      </c>
      <c r="AA97" s="73">
        <v>5.5661983611111108</v>
      </c>
      <c r="AB97" s="73">
        <v>3.0248816727959098</v>
      </c>
      <c r="AC97" s="73">
        <v>3.9982883888888887</v>
      </c>
      <c r="AD97" s="73">
        <v>-25.508901929003891</v>
      </c>
      <c r="AE97" s="73">
        <v>2.2461111111111109</v>
      </c>
      <c r="AF97" s="73">
        <v>2.2461111111111109</v>
      </c>
      <c r="AG97" s="32">
        <f t="shared" si="22"/>
        <v>1.1379460310984945E-2</v>
      </c>
      <c r="AH97" s="32">
        <f t="shared" si="23"/>
        <v>0.25846953038557846</v>
      </c>
      <c r="AI97" s="33">
        <f t="shared" si="24"/>
        <v>1.5565830050737653E-2</v>
      </c>
      <c r="AJ97" s="34">
        <f t="shared" si="25"/>
        <v>0.19385849644702396</v>
      </c>
      <c r="AK97" s="16">
        <f t="shared" si="26"/>
        <v>6.615477771563503E-3</v>
      </c>
      <c r="AL97" s="16">
        <f t="shared" si="33"/>
        <v>8.2389860989985186E-2</v>
      </c>
      <c r="AM97" s="27">
        <f t="shared" si="39"/>
        <v>6.6154777715635031</v>
      </c>
      <c r="AN97" s="27">
        <f t="shared" si="39"/>
        <v>82.389860989985181</v>
      </c>
      <c r="AO97" s="29" t="e">
        <f t="shared" si="34"/>
        <v>#VALUE!</v>
      </c>
      <c r="AP97" s="29" t="e">
        <f t="shared" si="35"/>
        <v>#VALUE!</v>
      </c>
      <c r="AQ97" s="27">
        <f t="shared" si="27"/>
        <v>12.45410593685861</v>
      </c>
      <c r="AR97" s="14">
        <f t="shared" si="28"/>
        <v>788.75722116339853</v>
      </c>
      <c r="AS97" s="25">
        <v>0.36620000000000003</v>
      </c>
      <c r="AT97" s="22">
        <f t="shared" si="29"/>
        <v>0.65325171642658209</v>
      </c>
      <c r="AU97" s="22">
        <f t="shared" si="30"/>
        <v>0.28705171642658206</v>
      </c>
      <c r="AV97" s="15"/>
      <c r="AW97" s="22"/>
      <c r="AX97" s="34">
        <f t="shared" si="31"/>
        <v>2870.5171642658206</v>
      </c>
      <c r="AY97" s="14">
        <f t="shared" si="32"/>
        <v>-6.1121702628694745</v>
      </c>
      <c r="AZ97" s="25">
        <v>1.0819000000000001</v>
      </c>
      <c r="BA97" s="22">
        <f t="shared" si="36"/>
        <v>1.1044963878908218</v>
      </c>
      <c r="BB97" s="38">
        <f t="shared" si="37"/>
        <v>2.2596387890821745E-2</v>
      </c>
      <c r="BC97" s="58">
        <f t="shared" si="40"/>
        <v>0.10035646156794725</v>
      </c>
      <c r="BD97" s="38">
        <f t="shared" si="41"/>
        <v>2.2676935329396811E-2</v>
      </c>
      <c r="BE97" s="38">
        <f t="shared" si="38"/>
        <v>225.96387890821745</v>
      </c>
    </row>
    <row r="98" spans="1:57" ht="15.75">
      <c r="A98" s="67">
        <v>144</v>
      </c>
      <c r="B98" s="66">
        <v>6</v>
      </c>
      <c r="C98" s="66" t="s">
        <v>425</v>
      </c>
      <c r="D98" s="66" t="s">
        <v>418</v>
      </c>
      <c r="E98" s="66" t="s">
        <v>437</v>
      </c>
      <c r="F98" s="66" t="s">
        <v>411</v>
      </c>
      <c r="G98" s="66"/>
      <c r="H98" s="66" t="s">
        <v>432</v>
      </c>
      <c r="I98" s="66">
        <v>100</v>
      </c>
      <c r="J98" s="66">
        <v>20</v>
      </c>
      <c r="K98" s="66">
        <v>30</v>
      </c>
      <c r="L98" s="66" t="s">
        <v>69</v>
      </c>
      <c r="M98" s="66">
        <v>2</v>
      </c>
      <c r="N98"/>
      <c r="O98"/>
      <c r="P98"/>
      <c r="Q98" s="108">
        <v>10</v>
      </c>
      <c r="R98" s="53">
        <v>8</v>
      </c>
      <c r="S98" s="53">
        <f t="shared" si="21"/>
        <v>2</v>
      </c>
      <c r="T98" s="82">
        <v>211</v>
      </c>
      <c r="U98" s="82" t="s">
        <v>291</v>
      </c>
      <c r="V98" s="83">
        <v>0.91440149999999998</v>
      </c>
      <c r="W98" s="83">
        <v>429.5229853380788</v>
      </c>
      <c r="X98" s="83">
        <v>0.49634875000000001</v>
      </c>
      <c r="Y98" s="83">
        <v>-13.680886383449927</v>
      </c>
      <c r="Z98" s="71" t="s">
        <v>54</v>
      </c>
      <c r="AA98" s="73">
        <v>5.5661983611111108</v>
      </c>
      <c r="AB98" s="73">
        <v>3.0248816727959098</v>
      </c>
      <c r="AC98" s="73">
        <v>3.9982883888888887</v>
      </c>
      <c r="AD98" s="73">
        <v>-25.508901929003891</v>
      </c>
      <c r="AE98" s="73">
        <v>2.2461111111111109</v>
      </c>
      <c r="AF98" s="73">
        <v>2.2461111111111109</v>
      </c>
      <c r="AG98" s="32">
        <f t="shared" si="22"/>
        <v>1.1379460310984945E-2</v>
      </c>
      <c r="AH98" s="32">
        <f t="shared" si="23"/>
        <v>0.25846953038557846</v>
      </c>
      <c r="AI98" s="33">
        <f t="shared" si="24"/>
        <v>1.0405395577555101E-2</v>
      </c>
      <c r="AJ98" s="34">
        <f t="shared" si="25"/>
        <v>0.12829102831996889</v>
      </c>
      <c r="AK98" s="16">
        <f t="shared" si="26"/>
        <v>4.4222931204609172E-3</v>
      </c>
      <c r="AL98" s="16">
        <f t="shared" si="33"/>
        <v>5.4523687035986777E-2</v>
      </c>
      <c r="AM98" s="27">
        <f t="shared" si="39"/>
        <v>4.4222931204609175</v>
      </c>
      <c r="AN98" s="27">
        <f t="shared" si="39"/>
        <v>54.523687035986775</v>
      </c>
      <c r="AO98" s="29" t="e">
        <f t="shared" si="34"/>
        <v>#VALUE!</v>
      </c>
      <c r="AP98" s="29" t="e">
        <f t="shared" si="35"/>
        <v>#VALUE!</v>
      </c>
      <c r="AQ98" s="27">
        <f t="shared" si="27"/>
        <v>12.329279301663295</v>
      </c>
      <c r="AR98" s="14">
        <f t="shared" si="28"/>
        <v>428.4781036652829</v>
      </c>
      <c r="AS98" s="25">
        <v>0.36620000000000003</v>
      </c>
      <c r="AT98" s="22">
        <f t="shared" si="29"/>
        <v>0.52236556466033113</v>
      </c>
      <c r="AU98" s="22">
        <f t="shared" si="30"/>
        <v>0.1561655646603311</v>
      </c>
      <c r="AV98" s="15"/>
      <c r="AW98" s="22"/>
      <c r="AX98" s="34">
        <f t="shared" si="31"/>
        <v>1561.655646603311</v>
      </c>
      <c r="AY98" s="14">
        <f t="shared" si="32"/>
        <v>-14.201984454446038</v>
      </c>
      <c r="AZ98" s="25">
        <v>1.0819000000000001</v>
      </c>
      <c r="BA98" s="22">
        <f t="shared" si="36"/>
        <v>1.0956047643749622</v>
      </c>
      <c r="BB98" s="38">
        <f t="shared" si="37"/>
        <v>1.3704764374962153E-2</v>
      </c>
      <c r="BC98" s="58">
        <f t="shared" si="40"/>
        <v>6.9017883677541095E-2</v>
      </c>
      <c r="BD98" s="38">
        <f t="shared" si="41"/>
        <v>9.4587383345924713E-3</v>
      </c>
      <c r="BE98" s="38">
        <f t="shared" si="38"/>
        <v>137.04764374962153</v>
      </c>
    </row>
    <row r="99" spans="1:57" ht="15.75">
      <c r="A99" s="138">
        <v>49</v>
      </c>
      <c r="B99" s="139">
        <v>1</v>
      </c>
      <c r="C99" s="140" t="s">
        <v>408</v>
      </c>
      <c r="D99" s="140" t="s">
        <v>409</v>
      </c>
      <c r="E99" s="140" t="s">
        <v>410</v>
      </c>
      <c r="F99" s="140" t="s">
        <v>480</v>
      </c>
      <c r="G99" s="140"/>
      <c r="H99" s="140" t="s">
        <v>481</v>
      </c>
      <c r="I99" s="140">
        <v>50</v>
      </c>
      <c r="J99" s="141">
        <v>12.84</v>
      </c>
      <c r="K99" s="140">
        <v>15</v>
      </c>
      <c r="L99" s="140" t="s">
        <v>62</v>
      </c>
      <c r="M99" s="140">
        <v>3</v>
      </c>
      <c r="N99"/>
      <c r="O99"/>
      <c r="P99"/>
      <c r="Q99" s="108">
        <v>10</v>
      </c>
      <c r="R99" s="53">
        <v>8</v>
      </c>
      <c r="S99" s="53">
        <f t="shared" si="21"/>
        <v>2</v>
      </c>
      <c r="T99" s="86">
        <v>24</v>
      </c>
      <c r="U99" s="80" t="s">
        <v>293</v>
      </c>
      <c r="V99" s="81">
        <v>19.570816000000001</v>
      </c>
      <c r="W99" s="81">
        <v>19.501352582418452</v>
      </c>
      <c r="X99" s="81">
        <v>12.407161</v>
      </c>
      <c r="Y99" s="81">
        <v>-27.011410747955903</v>
      </c>
      <c r="Z99" s="71" t="s">
        <v>54</v>
      </c>
      <c r="AA99" s="73">
        <v>5.5661983611111108</v>
      </c>
      <c r="AB99" s="73">
        <v>3.0248816727959098</v>
      </c>
      <c r="AC99" s="73">
        <v>3.9982883888888887</v>
      </c>
      <c r="AD99" s="73">
        <v>-25.508901929003891</v>
      </c>
      <c r="AE99" s="73">
        <v>2.2461111111111109</v>
      </c>
      <c r="AF99" s="73">
        <v>2.2461111111111109</v>
      </c>
      <c r="AG99" s="32">
        <f t="shared" si="22"/>
        <v>1.1379460310984945E-2</v>
      </c>
      <c r="AH99" s="32">
        <f t="shared" si="23"/>
        <v>0.25846953038557846</v>
      </c>
      <c r="AI99" s="33">
        <f t="shared" si="24"/>
        <v>0.22270532392558914</v>
      </c>
      <c r="AJ99" s="34">
        <f t="shared" si="25"/>
        <v>3.2068730770882641</v>
      </c>
      <c r="AK99" s="16">
        <f t="shared" si="26"/>
        <v>0.18929952533675079</v>
      </c>
      <c r="AL99" s="16">
        <f t="shared" si="33"/>
        <v>2.7258421155250248</v>
      </c>
      <c r="AM99" s="27">
        <f t="shared" si="39"/>
        <v>189.2995253367508</v>
      </c>
      <c r="AN99" s="27">
        <f t="shared" si="39"/>
        <v>2725.8421155250248</v>
      </c>
      <c r="AO99" s="29" t="e">
        <f t="shared" si="34"/>
        <v>#VALUE!</v>
      </c>
      <c r="AP99" s="29" t="e">
        <f t="shared" si="35"/>
        <v>#VALUE!</v>
      </c>
      <c r="AQ99" s="27">
        <f t="shared" si="27"/>
        <v>14.399624672465183</v>
      </c>
      <c r="AR99" s="14">
        <f t="shared" si="28"/>
        <v>18.456470909622542</v>
      </c>
      <c r="AS99" s="25">
        <v>0.36620000000000003</v>
      </c>
      <c r="AT99" s="22">
        <f t="shared" si="29"/>
        <v>0.37298818837411057</v>
      </c>
      <c r="AU99" s="22">
        <f t="shared" si="30"/>
        <v>6.7881883741105487E-3</v>
      </c>
      <c r="AV99" s="15"/>
      <c r="AW99" s="22"/>
      <c r="AX99" s="34">
        <f t="shared" si="31"/>
        <v>67.881883741105483</v>
      </c>
      <c r="AY99" s="14">
        <f t="shared" si="32"/>
        <v>-27.532508818952014</v>
      </c>
      <c r="AZ99" s="25">
        <v>1.0819000000000001</v>
      </c>
      <c r="BA99" s="22">
        <f t="shared" si="36"/>
        <v>1.0809495173042463</v>
      </c>
      <c r="BB99" s="38">
        <f t="shared" si="37"/>
        <v>-9.5048269575381816E-4</v>
      </c>
      <c r="BC99" s="58">
        <f t="shared" si="40"/>
        <v>3.0732093015405981</v>
      </c>
      <c r="BD99" s="38">
        <f t="shared" si="41"/>
        <v>-2.9210322615440164E-2</v>
      </c>
      <c r="BE99" s="38">
        <f t="shared" si="38"/>
        <v>-9.5048269575381816</v>
      </c>
    </row>
    <row r="100" spans="1:57" ht="15.75">
      <c r="A100" s="138">
        <v>50</v>
      </c>
      <c r="B100" s="139">
        <v>1</v>
      </c>
      <c r="C100" s="140" t="s">
        <v>413</v>
      </c>
      <c r="D100" s="140" t="s">
        <v>414</v>
      </c>
      <c r="E100" s="140" t="s">
        <v>410</v>
      </c>
      <c r="F100" s="140" t="s">
        <v>480</v>
      </c>
      <c r="G100" s="140"/>
      <c r="H100" s="140" t="s">
        <v>481</v>
      </c>
      <c r="I100" s="140">
        <v>50</v>
      </c>
      <c r="J100" s="141">
        <v>13.2</v>
      </c>
      <c r="K100" s="140">
        <v>15</v>
      </c>
      <c r="L100" s="140" t="s">
        <v>63</v>
      </c>
      <c r="M100" s="140">
        <v>3</v>
      </c>
      <c r="N100"/>
      <c r="O100"/>
      <c r="P100"/>
      <c r="Q100" s="108">
        <v>10</v>
      </c>
      <c r="R100" s="53">
        <v>8</v>
      </c>
      <c r="S100" s="53">
        <f t="shared" si="21"/>
        <v>2</v>
      </c>
      <c r="T100" s="82">
        <v>25</v>
      </c>
      <c r="U100" s="82" t="s">
        <v>294</v>
      </c>
      <c r="V100" s="83">
        <v>19.546423999999998</v>
      </c>
      <c r="W100" s="83">
        <v>35.236685476389582</v>
      </c>
      <c r="X100" s="83">
        <v>6.7627560000000004</v>
      </c>
      <c r="Y100" s="83">
        <v>-26.306356111078092</v>
      </c>
      <c r="Z100" s="71" t="s">
        <v>54</v>
      </c>
      <c r="AA100" s="73">
        <v>5.5661983611111108</v>
      </c>
      <c r="AB100" s="73">
        <v>3.0248816727959098</v>
      </c>
      <c r="AC100" s="73">
        <v>3.9982883888888887</v>
      </c>
      <c r="AD100" s="73">
        <v>-25.508901929003891</v>
      </c>
      <c r="AE100" s="73">
        <v>2.2461111111111109</v>
      </c>
      <c r="AF100" s="73">
        <v>2.2461111111111109</v>
      </c>
      <c r="AG100" s="32">
        <f t="shared" si="22"/>
        <v>1.1379460310984945E-2</v>
      </c>
      <c r="AH100" s="32">
        <f t="shared" si="23"/>
        <v>0.25846953038557846</v>
      </c>
      <c r="AI100" s="33">
        <f t="shared" si="24"/>
        <v>0.22242775612968357</v>
      </c>
      <c r="AJ100" s="34">
        <f t="shared" si="25"/>
        <v>1.7479663674322532</v>
      </c>
      <c r="AK100" s="16">
        <f t="shared" si="26"/>
        <v>0.18906359271023104</v>
      </c>
      <c r="AL100" s="16">
        <f t="shared" si="33"/>
        <v>1.4857714123174153</v>
      </c>
      <c r="AM100" s="27">
        <f t="shared" ref="AM100:AN135" si="42">AK100*1000</f>
        <v>189.06359271023103</v>
      </c>
      <c r="AN100" s="27">
        <f t="shared" si="42"/>
        <v>1485.7714123174153</v>
      </c>
      <c r="AO100" s="29" t="e">
        <f t="shared" si="34"/>
        <v>#VALUE!</v>
      </c>
      <c r="AP100" s="29" t="e">
        <f t="shared" si="35"/>
        <v>#VALUE!</v>
      </c>
      <c r="AQ100" s="27">
        <f t="shared" si="27"/>
        <v>7.8585802322850586</v>
      </c>
      <c r="AR100" s="14">
        <f t="shared" si="28"/>
        <v>34.191803803593672</v>
      </c>
      <c r="AS100" s="25">
        <v>0.36620000000000003</v>
      </c>
      <c r="AT100" s="22">
        <f t="shared" si="29"/>
        <v>0.37872909681007111</v>
      </c>
      <c r="AU100" s="22">
        <f t="shared" si="30"/>
        <v>1.2529096810071083E-2</v>
      </c>
      <c r="AV100" s="15"/>
      <c r="AW100" s="22"/>
      <c r="AX100" s="34">
        <f t="shared" si="31"/>
        <v>125.29096810071083</v>
      </c>
      <c r="AY100" s="14">
        <f t="shared" si="32"/>
        <v>-26.827454182074202</v>
      </c>
      <c r="AZ100" s="25">
        <v>1.0819000000000001</v>
      </c>
      <c r="BA100" s="22">
        <f t="shared" si="36"/>
        <v>1.0817247456218977</v>
      </c>
      <c r="BB100" s="38">
        <f t="shared" si="37"/>
        <v>-1.752543781023963E-4</v>
      </c>
      <c r="BC100" s="58">
        <f t="shared" si="40"/>
        <v>1.6786133880062886</v>
      </c>
      <c r="BD100" s="38">
        <f t="shared" si="41"/>
        <v>-2.9418434538939857E-3</v>
      </c>
      <c r="BE100" s="38">
        <f t="shared" si="38"/>
        <v>-1.752543781023963</v>
      </c>
    </row>
    <row r="101" spans="1:57" ht="15.75">
      <c r="A101" s="138">
        <v>51</v>
      </c>
      <c r="B101" s="139">
        <v>1</v>
      </c>
      <c r="C101" s="140" t="s">
        <v>415</v>
      </c>
      <c r="D101" s="140" t="s">
        <v>416</v>
      </c>
      <c r="E101" s="140" t="s">
        <v>410</v>
      </c>
      <c r="F101" s="140" t="s">
        <v>480</v>
      </c>
      <c r="G101" s="140"/>
      <c r="H101" s="140" t="s">
        <v>481</v>
      </c>
      <c r="I101" s="140">
        <v>50</v>
      </c>
      <c r="J101" s="141">
        <v>11.51</v>
      </c>
      <c r="K101" s="140">
        <v>15</v>
      </c>
      <c r="L101" s="140" t="s">
        <v>64</v>
      </c>
      <c r="M101" s="140">
        <v>3</v>
      </c>
      <c r="N101"/>
      <c r="O101"/>
      <c r="P101"/>
      <c r="Q101" s="108">
        <v>10</v>
      </c>
      <c r="R101" s="53">
        <v>8</v>
      </c>
      <c r="S101" s="53">
        <f t="shared" si="21"/>
        <v>2</v>
      </c>
      <c r="T101" s="80">
        <v>26</v>
      </c>
      <c r="U101" s="80" t="s">
        <v>295</v>
      </c>
      <c r="V101" s="81">
        <v>18.748107999999998</v>
      </c>
      <c r="W101" s="81">
        <v>1.6041661561239957</v>
      </c>
      <c r="X101" s="81">
        <v>6.3599290000000002</v>
      </c>
      <c r="Y101" s="81">
        <v>-26.842544559511619</v>
      </c>
      <c r="Z101" s="71" t="s">
        <v>54</v>
      </c>
      <c r="AA101" s="73">
        <v>5.5661983611111108</v>
      </c>
      <c r="AB101" s="73">
        <v>3.0248816727959098</v>
      </c>
      <c r="AC101" s="73">
        <v>3.9982883888888887</v>
      </c>
      <c r="AD101" s="73">
        <v>-25.508901929003891</v>
      </c>
      <c r="AE101" s="73">
        <v>2.2461111111111109</v>
      </c>
      <c r="AF101" s="73">
        <v>2.2461111111111109</v>
      </c>
      <c r="AG101" s="32">
        <f t="shared" si="22"/>
        <v>1.1379460310984945E-2</v>
      </c>
      <c r="AH101" s="32">
        <f t="shared" si="23"/>
        <v>0.25846953038557846</v>
      </c>
      <c r="AI101" s="33">
        <f t="shared" si="24"/>
        <v>0.21334335089205933</v>
      </c>
      <c r="AJ101" s="34">
        <f t="shared" si="25"/>
        <v>1.6438478619156216</v>
      </c>
      <c r="AK101" s="16">
        <f t="shared" si="26"/>
        <v>0.18134184825825042</v>
      </c>
      <c r="AL101" s="16">
        <f t="shared" si="33"/>
        <v>1.3972706826282784</v>
      </c>
      <c r="AM101" s="27">
        <f t="shared" si="42"/>
        <v>181.34184825825042</v>
      </c>
      <c r="AN101" s="27">
        <f t="shared" si="42"/>
        <v>1397.2706826282783</v>
      </c>
      <c r="AO101" s="29" t="e">
        <f t="shared" si="34"/>
        <v>#VALUE!</v>
      </c>
      <c r="AP101" s="29" t="e">
        <f t="shared" si="35"/>
        <v>#VALUE!</v>
      </c>
      <c r="AQ101" s="27">
        <f t="shared" si="27"/>
        <v>7.7051750384633424</v>
      </c>
      <c r="AR101" s="14">
        <f t="shared" si="28"/>
        <v>0.55928448332808589</v>
      </c>
      <c r="AS101" s="25">
        <v>0.36620000000000003</v>
      </c>
      <c r="AT101" s="22">
        <f t="shared" si="29"/>
        <v>0.36645774090911387</v>
      </c>
      <c r="AU101" s="22">
        <f t="shared" si="30"/>
        <v>2.5774090911384606E-4</v>
      </c>
      <c r="AV101" s="15"/>
      <c r="AW101" s="22"/>
      <c r="AX101" s="34">
        <f t="shared" si="31"/>
        <v>2.5774090911384606</v>
      </c>
      <c r="AY101" s="14">
        <f t="shared" si="32"/>
        <v>-27.36364263050773</v>
      </c>
      <c r="AZ101" s="25">
        <v>1.0819000000000001</v>
      </c>
      <c r="BA101" s="22">
        <f t="shared" si="36"/>
        <v>1.0811351917535053</v>
      </c>
      <c r="BB101" s="38">
        <f t="shared" si="37"/>
        <v>-7.6480824649483026E-4</v>
      </c>
      <c r="BC101" s="58">
        <f t="shared" si="40"/>
        <v>1.5790845823905884</v>
      </c>
      <c r="BD101" s="38">
        <f t="shared" si="41"/>
        <v>-1.2076969105251672E-2</v>
      </c>
      <c r="BE101" s="38">
        <f t="shared" si="38"/>
        <v>-7.6480824649483017</v>
      </c>
    </row>
    <row r="102" spans="1:57" ht="15.75">
      <c r="A102" s="138">
        <v>52</v>
      </c>
      <c r="B102" s="139">
        <v>1</v>
      </c>
      <c r="C102" s="140" t="s">
        <v>417</v>
      </c>
      <c r="D102" s="140" t="s">
        <v>418</v>
      </c>
      <c r="E102" s="140" t="s">
        <v>410</v>
      </c>
      <c r="F102" s="140" t="s">
        <v>480</v>
      </c>
      <c r="G102" s="140"/>
      <c r="H102" s="140" t="s">
        <v>481</v>
      </c>
      <c r="I102" s="140">
        <v>50</v>
      </c>
      <c r="J102" s="141">
        <v>7.13</v>
      </c>
      <c r="K102" s="140">
        <v>15</v>
      </c>
      <c r="L102" s="140" t="s">
        <v>65</v>
      </c>
      <c r="M102" s="140">
        <v>3</v>
      </c>
      <c r="N102"/>
      <c r="O102"/>
      <c r="P102"/>
      <c r="Q102" s="108">
        <v>10</v>
      </c>
      <c r="R102" s="53">
        <v>8</v>
      </c>
      <c r="S102" s="53">
        <f t="shared" si="21"/>
        <v>2</v>
      </c>
      <c r="T102" s="82">
        <v>27</v>
      </c>
      <c r="U102" s="82" t="s">
        <v>296</v>
      </c>
      <c r="V102" s="83">
        <v>19.541751999999999</v>
      </c>
      <c r="W102" s="83">
        <v>100.33495128450063</v>
      </c>
      <c r="X102" s="83">
        <v>6.8660880000000004</v>
      </c>
      <c r="Y102" s="83">
        <v>-28.47623439581043</v>
      </c>
      <c r="Z102" s="71" t="s">
        <v>54</v>
      </c>
      <c r="AA102" s="73">
        <v>5.5661983611111108</v>
      </c>
      <c r="AB102" s="73">
        <v>3.0248816727959098</v>
      </c>
      <c r="AC102" s="73">
        <v>3.9982883888888887</v>
      </c>
      <c r="AD102" s="73">
        <v>-25.508901929003891</v>
      </c>
      <c r="AE102" s="73">
        <v>2.2461111111111109</v>
      </c>
      <c r="AF102" s="73">
        <v>2.2461111111111109</v>
      </c>
      <c r="AG102" s="32">
        <f t="shared" si="22"/>
        <v>1.1379460310984945E-2</v>
      </c>
      <c r="AH102" s="32">
        <f t="shared" si="23"/>
        <v>0.25846953038557846</v>
      </c>
      <c r="AI102" s="33">
        <f t="shared" si="24"/>
        <v>0.22237459129111067</v>
      </c>
      <c r="AJ102" s="34">
        <f t="shared" si="25"/>
        <v>1.7746745409460558</v>
      </c>
      <c r="AK102" s="16">
        <f t="shared" si="26"/>
        <v>0.18901840259744407</v>
      </c>
      <c r="AL102" s="16">
        <f t="shared" si="33"/>
        <v>1.5084733598041475</v>
      </c>
      <c r="AM102" s="27">
        <f t="shared" si="42"/>
        <v>189.01840259744407</v>
      </c>
      <c r="AN102" s="27">
        <f t="shared" si="42"/>
        <v>1508.4733598041475</v>
      </c>
      <c r="AO102" s="29" t="e">
        <f t="shared" si="34"/>
        <v>#VALUE!</v>
      </c>
      <c r="AP102" s="29" t="e">
        <f t="shared" si="35"/>
        <v>#VALUE!</v>
      </c>
      <c r="AQ102" s="27">
        <f t="shared" si="27"/>
        <v>7.9805634746409879</v>
      </c>
      <c r="AR102" s="14">
        <f t="shared" si="28"/>
        <v>99.290069611704723</v>
      </c>
      <c r="AS102" s="25">
        <v>0.36620000000000003</v>
      </c>
      <c r="AT102" s="22">
        <f t="shared" si="29"/>
        <v>0.40247264155039519</v>
      </c>
      <c r="AU102" s="22">
        <f t="shared" si="30"/>
        <v>3.6272641550395168E-2</v>
      </c>
      <c r="AV102" s="15"/>
      <c r="AW102" s="22"/>
      <c r="AX102" s="34">
        <f t="shared" si="31"/>
        <v>362.72641550395167</v>
      </c>
      <c r="AY102" s="14">
        <f t="shared" si="32"/>
        <v>-28.99733246680654</v>
      </c>
      <c r="AZ102" s="25">
        <v>1.0819000000000001</v>
      </c>
      <c r="BA102" s="22">
        <f t="shared" si="36"/>
        <v>1.0793388617571238</v>
      </c>
      <c r="BB102" s="38">
        <f t="shared" si="37"/>
        <v>-2.561138242876293E-3</v>
      </c>
      <c r="BC102" s="58">
        <f t="shared" si="40"/>
        <v>1.7041442251693426</v>
      </c>
      <c r="BD102" s="38">
        <f t="shared" si="41"/>
        <v>-4.3645489464579919E-2</v>
      </c>
      <c r="BE102" s="38">
        <f t="shared" si="38"/>
        <v>-25.61138242876293</v>
      </c>
    </row>
    <row r="103" spans="1:57" ht="15.75">
      <c r="A103" s="138">
        <v>53</v>
      </c>
      <c r="B103" s="139">
        <v>1</v>
      </c>
      <c r="C103" s="140" t="s">
        <v>419</v>
      </c>
      <c r="D103" s="140" t="s">
        <v>420</v>
      </c>
      <c r="E103" s="140" t="s">
        <v>410</v>
      </c>
      <c r="F103" s="140" t="s">
        <v>480</v>
      </c>
      <c r="G103" s="140"/>
      <c r="H103" s="140" t="s">
        <v>481</v>
      </c>
      <c r="I103" s="140">
        <v>50</v>
      </c>
      <c r="J103" s="141">
        <v>9.82</v>
      </c>
      <c r="K103" s="140">
        <v>15</v>
      </c>
      <c r="L103" s="140" t="s">
        <v>66</v>
      </c>
      <c r="M103" s="140">
        <v>3</v>
      </c>
      <c r="N103"/>
      <c r="O103"/>
      <c r="P103"/>
      <c r="Q103" s="108">
        <v>10</v>
      </c>
      <c r="R103" s="53">
        <v>8</v>
      </c>
      <c r="S103" s="53">
        <f t="shared" si="21"/>
        <v>2</v>
      </c>
      <c r="T103" s="80">
        <v>28</v>
      </c>
      <c r="U103" s="80" t="s">
        <v>297</v>
      </c>
      <c r="V103" s="81">
        <v>19.56232</v>
      </c>
      <c r="W103" s="81">
        <v>39.827807779090733</v>
      </c>
      <c r="X103" s="81">
        <v>10.708584999999999</v>
      </c>
      <c r="Y103" s="81">
        <v>-27.859655024579542</v>
      </c>
      <c r="Z103" s="71" t="s">
        <v>54</v>
      </c>
      <c r="AA103" s="73">
        <v>5.5661983611111108</v>
      </c>
      <c r="AB103" s="73">
        <v>3.0248816727959098</v>
      </c>
      <c r="AC103" s="73">
        <v>3.9982883888888887</v>
      </c>
      <c r="AD103" s="73">
        <v>-25.508901929003891</v>
      </c>
      <c r="AE103" s="73">
        <v>2.2461111111111109</v>
      </c>
      <c r="AF103" s="73">
        <v>2.2461111111111109</v>
      </c>
      <c r="AG103" s="32">
        <f t="shared" si="22"/>
        <v>1.1379460310984945E-2</v>
      </c>
      <c r="AH103" s="32">
        <f t="shared" si="23"/>
        <v>0.25846953038557846</v>
      </c>
      <c r="AI103" s="33">
        <f t="shared" si="24"/>
        <v>0.22260864403078701</v>
      </c>
      <c r="AJ103" s="34">
        <f t="shared" si="25"/>
        <v>2.7678429360440497</v>
      </c>
      <c r="AK103" s="16">
        <f t="shared" si="26"/>
        <v>0.18921734742616894</v>
      </c>
      <c r="AL103" s="16">
        <f t="shared" si="33"/>
        <v>2.3526664956374423</v>
      </c>
      <c r="AM103" s="27">
        <f t="shared" si="42"/>
        <v>189.21734742616894</v>
      </c>
      <c r="AN103" s="27">
        <f t="shared" si="42"/>
        <v>2352.6664956374425</v>
      </c>
      <c r="AO103" s="29" t="e">
        <f t="shared" si="34"/>
        <v>#VALUE!</v>
      </c>
      <c r="AP103" s="29" t="e">
        <f t="shared" si="35"/>
        <v>#VALUE!</v>
      </c>
      <c r="AQ103" s="27">
        <f t="shared" si="27"/>
        <v>12.433672322541321</v>
      </c>
      <c r="AR103" s="14">
        <f t="shared" si="28"/>
        <v>38.782926106294823</v>
      </c>
      <c r="AS103" s="25">
        <v>0.36620000000000003</v>
      </c>
      <c r="AT103" s="22">
        <f t="shared" si="29"/>
        <v>0.38040400581995204</v>
      </c>
      <c r="AU103" s="22">
        <f t="shared" si="30"/>
        <v>1.4204005819952015E-2</v>
      </c>
      <c r="AV103" s="15"/>
      <c r="AW103" s="22"/>
      <c r="AX103" s="34">
        <f t="shared" si="31"/>
        <v>142.04005819952016</v>
      </c>
      <c r="AY103" s="14">
        <f t="shared" si="32"/>
        <v>-28.380753095575653</v>
      </c>
      <c r="AZ103" s="25">
        <v>1.0819000000000001</v>
      </c>
      <c r="BA103" s="22">
        <f t="shared" si="36"/>
        <v>1.0800168316613226</v>
      </c>
      <c r="BB103" s="38">
        <f t="shared" si="37"/>
        <v>-1.8831683386775211E-3</v>
      </c>
      <c r="BC103" s="58">
        <f t="shared" si="40"/>
        <v>2.6535322676588242</v>
      </c>
      <c r="BD103" s="38">
        <f t="shared" si="41"/>
        <v>-4.9970479521142634E-2</v>
      </c>
      <c r="BE103" s="38">
        <f t="shared" si="38"/>
        <v>-18.831683386775211</v>
      </c>
    </row>
    <row r="104" spans="1:57" ht="15.75">
      <c r="A104" s="138">
        <v>54</v>
      </c>
      <c r="B104" s="139">
        <v>1</v>
      </c>
      <c r="C104" s="140" t="s">
        <v>421</v>
      </c>
      <c r="D104" s="140" t="s">
        <v>422</v>
      </c>
      <c r="E104" s="140" t="s">
        <v>410</v>
      </c>
      <c r="F104" s="140" t="s">
        <v>480</v>
      </c>
      <c r="G104" s="140"/>
      <c r="H104" s="140" t="s">
        <v>481</v>
      </c>
      <c r="I104" s="140">
        <v>50</v>
      </c>
      <c r="J104" s="141">
        <v>12.9</v>
      </c>
      <c r="K104" s="140">
        <v>15</v>
      </c>
      <c r="L104" s="140" t="s">
        <v>67</v>
      </c>
      <c r="M104" s="140">
        <v>3</v>
      </c>
      <c r="N104" s="155" t="s">
        <v>490</v>
      </c>
      <c r="O104" s="156"/>
      <c r="P104" s="156"/>
      <c r="Q104" s="108">
        <v>10</v>
      </c>
      <c r="R104" s="53">
        <v>8</v>
      </c>
      <c r="S104" s="53">
        <f t="shared" si="21"/>
        <v>2</v>
      </c>
      <c r="T104" s="82">
        <v>29</v>
      </c>
      <c r="U104" s="82" t="s">
        <v>298</v>
      </c>
      <c r="V104"/>
      <c r="W104"/>
      <c r="X104" s="83">
        <v>16.137260999999999</v>
      </c>
      <c r="Y104" s="83">
        <v>-27.377530309472728</v>
      </c>
      <c r="Z104" s="71" t="s">
        <v>54</v>
      </c>
      <c r="AA104" s="75">
        <v>2.9111787500000004</v>
      </c>
      <c r="AB104" s="75">
        <v>7.1289713486518078</v>
      </c>
      <c r="AC104" s="75">
        <v>2.0592423593750002</v>
      </c>
      <c r="AD104" s="75">
        <v>-26.716135928040213</v>
      </c>
      <c r="AE104" s="75">
        <v>2.375375</v>
      </c>
      <c r="AF104" s="75">
        <v>2.375375</v>
      </c>
      <c r="AG104" s="32">
        <f t="shared" si="22"/>
        <v>2.3009777396870598E-2</v>
      </c>
      <c r="AH104" s="32">
        <f t="shared" si="23"/>
        <v>0.53073405008612418</v>
      </c>
      <c r="AI104" s="33">
        <f t="shared" si="24"/>
        <v>0</v>
      </c>
      <c r="AJ104" s="34">
        <f t="shared" si="25"/>
        <v>8.5645938878268577</v>
      </c>
      <c r="AK104" s="16">
        <f t="shared" si="26"/>
        <v>0</v>
      </c>
      <c r="AL104" s="16">
        <f t="shared" si="33"/>
        <v>7.279904804652829</v>
      </c>
      <c r="AM104" s="27">
        <f t="shared" si="42"/>
        <v>0</v>
      </c>
      <c r="AN104" s="27">
        <f t="shared" si="42"/>
        <v>7279.9048046528287</v>
      </c>
      <c r="AO104" s="29" t="e">
        <f t="shared" si="34"/>
        <v>#VALUE!</v>
      </c>
      <c r="AP104" s="29" t="e">
        <f t="shared" si="35"/>
        <v>#VALUE!</v>
      </c>
      <c r="AQ104" s="27" t="e">
        <f t="shared" si="27"/>
        <v>#DIV/0!</v>
      </c>
      <c r="AR104" s="14">
        <f t="shared" si="28"/>
        <v>-5.1489713486518074</v>
      </c>
      <c r="AS104" s="25">
        <v>0.36620000000000003</v>
      </c>
      <c r="AT104" s="22">
        <f t="shared" si="29"/>
        <v>0.36437469350416873</v>
      </c>
      <c r="AU104" s="22">
        <f t="shared" si="30"/>
        <v>-1.8253064958312915E-3</v>
      </c>
      <c r="AV104" s="15"/>
      <c r="AW104" s="22"/>
      <c r="AX104" s="34" t="e">
        <f t="shared" si="31"/>
        <v>#DIV/0!</v>
      </c>
      <c r="AY104" s="14">
        <f t="shared" si="32"/>
        <v>-26.691394381432517</v>
      </c>
      <c r="AZ104" s="25">
        <v>1.0819000000000001</v>
      </c>
      <c r="BA104" s="22">
        <f t="shared" si="36"/>
        <v>1.0818743459772311</v>
      </c>
      <c r="BB104" s="38">
        <f t="shared" si="37"/>
        <v>-2.5654022768994977E-5</v>
      </c>
      <c r="BC104" s="58">
        <f t="shared" si="40"/>
        <v>8.1947537423606178</v>
      </c>
      <c r="BD104" s="38">
        <f t="shared" si="41"/>
        <v>-2.1022839909282608E-3</v>
      </c>
      <c r="BE104" s="38">
        <f t="shared" si="38"/>
        <v>-0.25654022768994977</v>
      </c>
    </row>
    <row r="105" spans="1:57" ht="15.75">
      <c r="A105" s="142">
        <v>55</v>
      </c>
      <c r="B105" s="143">
        <v>1</v>
      </c>
      <c r="C105" s="144" t="s">
        <v>423</v>
      </c>
      <c r="D105" s="144" t="s">
        <v>424</v>
      </c>
      <c r="E105" s="144" t="s">
        <v>410</v>
      </c>
      <c r="F105" s="144" t="s">
        <v>480</v>
      </c>
      <c r="G105" s="144"/>
      <c r="H105" s="144" t="s">
        <v>481</v>
      </c>
      <c r="I105" s="144">
        <v>50</v>
      </c>
      <c r="J105" s="145">
        <v>9.3800000000000008</v>
      </c>
      <c r="K105" s="140">
        <v>15</v>
      </c>
      <c r="L105" s="140" t="s">
        <v>68</v>
      </c>
      <c r="M105" s="140">
        <v>3</v>
      </c>
      <c r="N105"/>
      <c r="O105"/>
      <c r="P105"/>
      <c r="Q105" s="108">
        <v>10</v>
      </c>
      <c r="R105" s="53">
        <v>8</v>
      </c>
      <c r="S105" s="53">
        <f t="shared" si="21"/>
        <v>2</v>
      </c>
      <c r="T105" s="82">
        <v>30</v>
      </c>
      <c r="U105" s="82" t="s">
        <v>299</v>
      </c>
      <c r="V105" s="83">
        <v>17.731746000000001</v>
      </c>
      <c r="W105" s="83">
        <v>6.1476819397404681E-2</v>
      </c>
      <c r="X105" s="81">
        <v>12.153039</v>
      </c>
      <c r="Y105" s="81">
        <v>-28.502103151026496</v>
      </c>
      <c r="Z105" s="71" t="s">
        <v>54</v>
      </c>
      <c r="AA105" s="75">
        <v>2.9111787500000004</v>
      </c>
      <c r="AB105" s="75">
        <v>7.1289713486518078</v>
      </c>
      <c r="AC105" s="75">
        <v>2.0592423593750002</v>
      </c>
      <c r="AD105" s="75">
        <v>-26.716135928040213</v>
      </c>
      <c r="AE105" s="75">
        <v>2.375375</v>
      </c>
      <c r="AF105" s="75">
        <v>2.375375</v>
      </c>
      <c r="AG105" s="32">
        <f t="shared" si="22"/>
        <v>2.3009777396870598E-2</v>
      </c>
      <c r="AH105" s="32">
        <f t="shared" si="23"/>
        <v>0.53073405008612418</v>
      </c>
      <c r="AI105" s="33">
        <f t="shared" si="24"/>
        <v>0.40800352831785064</v>
      </c>
      <c r="AJ105" s="34">
        <f t="shared" si="25"/>
        <v>6.4500316093246202</v>
      </c>
      <c r="AK105" s="16">
        <f t="shared" si="26"/>
        <v>0.34680299907017303</v>
      </c>
      <c r="AL105" s="16">
        <f t="shared" si="33"/>
        <v>5.4825268679259267</v>
      </c>
      <c r="AM105" s="27">
        <f t="shared" si="42"/>
        <v>346.80299907017303</v>
      </c>
      <c r="AN105" s="27">
        <f t="shared" si="42"/>
        <v>5482.526867925927</v>
      </c>
      <c r="AO105" s="29" t="e">
        <f t="shared" si="34"/>
        <v>#VALUE!</v>
      </c>
      <c r="AP105" s="29" t="e">
        <f t="shared" si="35"/>
        <v>#VALUE!</v>
      </c>
      <c r="AQ105" s="27">
        <f t="shared" si="27"/>
        <v>15.808764291616111</v>
      </c>
      <c r="AR105" s="14">
        <f t="shared" si="28"/>
        <v>-5.0874945292544025</v>
      </c>
      <c r="AS105" s="25">
        <v>0.36620000000000003</v>
      </c>
      <c r="AT105" s="22">
        <f t="shared" si="29"/>
        <v>0.36439712798877977</v>
      </c>
      <c r="AU105" s="22">
        <f t="shared" si="30"/>
        <v>-1.8028720112202579E-3</v>
      </c>
      <c r="AV105" s="15"/>
      <c r="AW105" s="22"/>
      <c r="AX105" s="34">
        <f t="shared" si="31"/>
        <v>-18.028720112202578</v>
      </c>
      <c r="AY105" s="14">
        <f t="shared" si="32"/>
        <v>-27.815967222986284</v>
      </c>
      <c r="AZ105" s="25">
        <v>1.0819000000000001</v>
      </c>
      <c r="BA105" s="22">
        <f t="shared" si="36"/>
        <v>1.0806378430243786</v>
      </c>
      <c r="BB105" s="38">
        <f t="shared" si="37"/>
        <v>-1.2621569756214868E-3</v>
      </c>
      <c r="BC105" s="58">
        <f t="shared" si="40"/>
        <v>6.1734045409381766</v>
      </c>
      <c r="BD105" s="38">
        <f t="shared" si="41"/>
        <v>-7.7918056046784812E-2</v>
      </c>
      <c r="BE105" s="38">
        <f t="shared" si="38"/>
        <v>-12.621569756214866</v>
      </c>
    </row>
    <row r="106" spans="1:57" ht="15.75">
      <c r="A106" s="138">
        <v>56</v>
      </c>
      <c r="B106" s="139">
        <v>1</v>
      </c>
      <c r="C106" s="140" t="s">
        <v>425</v>
      </c>
      <c r="D106" s="140" t="s">
        <v>426</v>
      </c>
      <c r="E106" s="140" t="s">
        <v>410</v>
      </c>
      <c r="F106" s="140" t="s">
        <v>480</v>
      </c>
      <c r="G106" s="140"/>
      <c r="H106" s="140" t="s">
        <v>481</v>
      </c>
      <c r="I106" s="140">
        <v>50</v>
      </c>
      <c r="J106" s="141">
        <v>10.96</v>
      </c>
      <c r="K106" s="140">
        <v>15</v>
      </c>
      <c r="L106" s="140" t="s">
        <v>69</v>
      </c>
      <c r="M106" s="140">
        <v>3</v>
      </c>
      <c r="N106"/>
      <c r="O106"/>
      <c r="P106"/>
      <c r="Q106" s="108">
        <v>10</v>
      </c>
      <c r="R106" s="53">
        <v>8</v>
      </c>
      <c r="S106" s="53">
        <f t="shared" si="21"/>
        <v>2</v>
      </c>
      <c r="T106" s="80">
        <v>31</v>
      </c>
      <c r="U106" s="80" t="s">
        <v>300</v>
      </c>
      <c r="V106" s="81">
        <v>10.868035000000001</v>
      </c>
      <c r="W106" s="81">
        <v>1.7274451765269094</v>
      </c>
      <c r="X106" s="83">
        <v>3.3938617500000001</v>
      </c>
      <c r="Y106" s="83">
        <v>-27.06741622493546</v>
      </c>
      <c r="Z106" s="71" t="s">
        <v>54</v>
      </c>
      <c r="AA106" s="75">
        <v>2.9111787500000004</v>
      </c>
      <c r="AB106" s="75">
        <v>7.1289713486518078</v>
      </c>
      <c r="AC106" s="75">
        <v>2.0592423593750002</v>
      </c>
      <c r="AD106" s="75">
        <v>-26.716135928040213</v>
      </c>
      <c r="AE106" s="75">
        <v>2.375375</v>
      </c>
      <c r="AF106" s="75">
        <v>2.375375</v>
      </c>
      <c r="AG106" s="32">
        <f t="shared" si="22"/>
        <v>2.3009777396870598E-2</v>
      </c>
      <c r="AH106" s="32">
        <f t="shared" si="23"/>
        <v>0.53073405008612418</v>
      </c>
      <c r="AI106" s="33">
        <f t="shared" si="24"/>
        <v>0.25007106609139856</v>
      </c>
      <c r="AJ106" s="34">
        <f t="shared" si="25"/>
        <v>1.8012379920098811</v>
      </c>
      <c r="AK106" s="16">
        <f t="shared" si="26"/>
        <v>0.21256040617768876</v>
      </c>
      <c r="AL106" s="16">
        <f t="shared" si="33"/>
        <v>1.531052293208399</v>
      </c>
      <c r="AM106" s="27">
        <f t="shared" si="42"/>
        <v>212.56040617768875</v>
      </c>
      <c r="AN106" s="27">
        <f t="shared" si="42"/>
        <v>1531.0522932083991</v>
      </c>
      <c r="AO106" s="29" t="e">
        <f t="shared" si="34"/>
        <v>#VALUE!</v>
      </c>
      <c r="AP106" s="29" t="e">
        <f t="shared" si="35"/>
        <v>#VALUE!</v>
      </c>
      <c r="AQ106" s="27">
        <f t="shared" si="27"/>
        <v>7.2029044389787424</v>
      </c>
      <c r="AR106" s="14">
        <f t="shared" si="28"/>
        <v>-3.421526172124898</v>
      </c>
      <c r="AS106" s="25">
        <v>0.36620000000000003</v>
      </c>
      <c r="AT106" s="22">
        <f t="shared" si="29"/>
        <v>0.36500507917050568</v>
      </c>
      <c r="AU106" s="22">
        <f t="shared" si="30"/>
        <v>-1.1949208294943503E-3</v>
      </c>
      <c r="AV106" s="15"/>
      <c r="AW106" s="22"/>
      <c r="AX106" s="34">
        <f t="shared" si="31"/>
        <v>-11.949208294943503</v>
      </c>
      <c r="AY106" s="14">
        <f t="shared" si="32"/>
        <v>-26.381280296895248</v>
      </c>
      <c r="AZ106" s="25">
        <v>1.0819000000000001</v>
      </c>
      <c r="BA106" s="22">
        <f t="shared" si="36"/>
        <v>1.0822153206585086</v>
      </c>
      <c r="BB106" s="38">
        <f t="shared" si="37"/>
        <v>3.1532065850847779E-4</v>
      </c>
      <c r="BC106" s="58">
        <f t="shared" si="40"/>
        <v>1.7295367194650977</v>
      </c>
      <c r="BD106" s="38">
        <f t="shared" si="41"/>
        <v>5.4535865729632704E-3</v>
      </c>
      <c r="BE106" s="38">
        <f t="shared" si="38"/>
        <v>3.1532065850847779</v>
      </c>
    </row>
    <row r="107" spans="1:57" ht="15.75">
      <c r="A107" s="138">
        <v>57</v>
      </c>
      <c r="B107" s="139">
        <v>2</v>
      </c>
      <c r="C107" s="140" t="s">
        <v>408</v>
      </c>
      <c r="D107" s="140" t="s">
        <v>426</v>
      </c>
      <c r="E107" s="140" t="s">
        <v>410</v>
      </c>
      <c r="F107" s="140" t="s">
        <v>480</v>
      </c>
      <c r="G107" s="140"/>
      <c r="H107" s="140" t="s">
        <v>482</v>
      </c>
      <c r="I107" s="140">
        <v>100</v>
      </c>
      <c r="J107" s="141">
        <v>14.28</v>
      </c>
      <c r="K107" s="140">
        <v>15</v>
      </c>
      <c r="L107" s="140" t="s">
        <v>70</v>
      </c>
      <c r="M107" s="140">
        <v>3</v>
      </c>
      <c r="N107"/>
      <c r="O107"/>
      <c r="P107"/>
      <c r="Q107" s="108">
        <v>10</v>
      </c>
      <c r="R107" s="53">
        <v>8</v>
      </c>
      <c r="S107" s="53">
        <f t="shared" si="21"/>
        <v>2</v>
      </c>
      <c r="T107" s="82">
        <v>32</v>
      </c>
      <c r="U107" s="82" t="s">
        <v>301</v>
      </c>
      <c r="V107" s="83">
        <v>10.561384</v>
      </c>
      <c r="W107" s="83">
        <v>2152.4395299013845</v>
      </c>
      <c r="X107" s="81">
        <v>4.1541465000000004</v>
      </c>
      <c r="Y107" s="81">
        <v>42.91873923067137</v>
      </c>
      <c r="Z107" s="71" t="s">
        <v>54</v>
      </c>
      <c r="AA107" s="75">
        <v>2.9111787500000004</v>
      </c>
      <c r="AB107" s="75">
        <v>7.1289713486518078</v>
      </c>
      <c r="AC107" s="75">
        <v>2.0592423593750002</v>
      </c>
      <c r="AD107" s="75">
        <v>-26.716135928040213</v>
      </c>
      <c r="AE107" s="75">
        <v>2.375375</v>
      </c>
      <c r="AF107" s="75">
        <v>2.375375</v>
      </c>
      <c r="AG107" s="32">
        <f t="shared" si="22"/>
        <v>2.3009777396870598E-2</v>
      </c>
      <c r="AH107" s="32">
        <f t="shared" si="23"/>
        <v>0.53073405008612418</v>
      </c>
      <c r="AI107" s="33">
        <f t="shared" si="24"/>
        <v>0.24301509484287079</v>
      </c>
      <c r="AJ107" s="34">
        <f t="shared" si="25"/>
        <v>2.2047469965960977</v>
      </c>
      <c r="AK107" s="16">
        <f t="shared" si="26"/>
        <v>0.20656283061644018</v>
      </c>
      <c r="AL107" s="16">
        <f t="shared" si="33"/>
        <v>1.8740349471066831</v>
      </c>
      <c r="AM107" s="27">
        <f t="shared" si="42"/>
        <v>206.56283061644018</v>
      </c>
      <c r="AN107" s="27">
        <f t="shared" si="42"/>
        <v>1874.0349471066831</v>
      </c>
      <c r="AO107" s="29" t="e">
        <f t="shared" si="34"/>
        <v>#VALUE!</v>
      </c>
      <c r="AP107" s="29" t="e">
        <f t="shared" si="35"/>
        <v>#VALUE!</v>
      </c>
      <c r="AQ107" s="27">
        <f t="shared" si="27"/>
        <v>9.072469337847707</v>
      </c>
      <c r="AR107" s="14">
        <f t="shared" si="28"/>
        <v>2147.2905585527328</v>
      </c>
      <c r="AS107" s="25">
        <v>0.36620000000000003</v>
      </c>
      <c r="AT107" s="22">
        <f t="shared" si="29"/>
        <v>1.1437119029785487</v>
      </c>
      <c r="AU107" s="22">
        <f t="shared" si="30"/>
        <v>0.77751190297854866</v>
      </c>
      <c r="AV107" s="15"/>
      <c r="AW107" s="22"/>
      <c r="AX107" s="34">
        <f t="shared" si="31"/>
        <v>7775.1190297854873</v>
      </c>
      <c r="AY107" s="14">
        <f t="shared" si="32"/>
        <v>43.604875158711579</v>
      </c>
      <c r="AZ107" s="25">
        <v>1.0819000000000001</v>
      </c>
      <c r="BA107" s="22">
        <f t="shared" si="36"/>
        <v>1.1591059763610108</v>
      </c>
      <c r="BB107" s="38">
        <f t="shared" si="37"/>
        <v>7.7205976361010675E-2</v>
      </c>
      <c r="BC107" s="58">
        <f t="shared" si="40"/>
        <v>2.115258441865647</v>
      </c>
      <c r="BD107" s="38">
        <f t="shared" si="41"/>
        <v>1.6331059326010742</v>
      </c>
      <c r="BE107" s="38">
        <f t="shared" si="38"/>
        <v>772.05976361010676</v>
      </c>
    </row>
    <row r="108" spans="1:57" ht="15.75">
      <c r="A108" s="138">
        <v>58</v>
      </c>
      <c r="B108" s="139">
        <v>2</v>
      </c>
      <c r="C108" s="140" t="s">
        <v>413</v>
      </c>
      <c r="D108" s="140" t="s">
        <v>418</v>
      </c>
      <c r="E108" s="140" t="s">
        <v>410</v>
      </c>
      <c r="F108" s="140" t="s">
        <v>480</v>
      </c>
      <c r="G108" s="140"/>
      <c r="H108" s="140" t="s">
        <v>482</v>
      </c>
      <c r="I108" s="140">
        <v>100</v>
      </c>
      <c r="J108" s="141">
        <v>2.4300000000000002</v>
      </c>
      <c r="K108" s="140">
        <v>15</v>
      </c>
      <c r="L108" s="140" t="s">
        <v>71</v>
      </c>
      <c r="M108" s="140">
        <v>3</v>
      </c>
      <c r="N108"/>
      <c r="O108"/>
      <c r="P108"/>
      <c r="Q108" s="108">
        <v>10</v>
      </c>
      <c r="R108" s="53">
        <v>8</v>
      </c>
      <c r="S108" s="53">
        <f t="shared" si="21"/>
        <v>2</v>
      </c>
      <c r="T108" s="80">
        <v>33</v>
      </c>
      <c r="U108" s="80" t="s">
        <v>302</v>
      </c>
      <c r="V108" s="81">
        <v>8.3416944999999991</v>
      </c>
      <c r="W108" s="81">
        <v>993.75496273177328</v>
      </c>
      <c r="X108" s="83">
        <v>3.3997535000000001</v>
      </c>
      <c r="Y108" s="83">
        <v>8.1031969587223607</v>
      </c>
      <c r="Z108" s="71" t="s">
        <v>54</v>
      </c>
      <c r="AA108" s="75">
        <v>2.9111787500000004</v>
      </c>
      <c r="AB108" s="75">
        <v>7.1289713486518078</v>
      </c>
      <c r="AC108" s="75">
        <v>2.0592423593750002</v>
      </c>
      <c r="AD108" s="75">
        <v>-26.716135928040213</v>
      </c>
      <c r="AE108" s="75">
        <v>2.375375</v>
      </c>
      <c r="AF108" s="75">
        <v>2.375375</v>
      </c>
      <c r="AG108" s="32">
        <f t="shared" si="22"/>
        <v>2.3009777396870598E-2</v>
      </c>
      <c r="AH108" s="32">
        <f t="shared" si="23"/>
        <v>0.53073405008612418</v>
      </c>
      <c r="AI108" s="33">
        <f t="shared" si="24"/>
        <v>0.19194053355769977</v>
      </c>
      <c r="AJ108" s="34">
        <f t="shared" si="25"/>
        <v>1.804364944349476</v>
      </c>
      <c r="AK108" s="16">
        <f t="shared" si="26"/>
        <v>0.16314945352404481</v>
      </c>
      <c r="AL108" s="16">
        <f t="shared" si="33"/>
        <v>1.5337102026970546</v>
      </c>
      <c r="AM108" s="27">
        <f t="shared" si="42"/>
        <v>163.14945352404482</v>
      </c>
      <c r="AN108" s="27">
        <f t="shared" si="42"/>
        <v>1533.7102026970547</v>
      </c>
      <c r="AO108" s="29" t="e">
        <f t="shared" si="34"/>
        <v>#VALUE!</v>
      </c>
      <c r="AP108" s="29" t="e">
        <f t="shared" si="35"/>
        <v>#VALUE!</v>
      </c>
      <c r="AQ108" s="27">
        <f t="shared" si="27"/>
        <v>9.400645663033238</v>
      </c>
      <c r="AR108" s="14">
        <f t="shared" si="28"/>
        <v>988.60599138312148</v>
      </c>
      <c r="AS108" s="25">
        <v>0.36620000000000003</v>
      </c>
      <c r="AT108" s="22">
        <f t="shared" si="29"/>
        <v>0.72570656354360075</v>
      </c>
      <c r="AU108" s="22">
        <f t="shared" si="30"/>
        <v>0.35950656354360072</v>
      </c>
      <c r="AV108" s="15"/>
      <c r="AW108" s="22"/>
      <c r="AX108" s="34">
        <f t="shared" si="31"/>
        <v>3595.0656354360071</v>
      </c>
      <c r="AY108" s="14">
        <f t="shared" si="32"/>
        <v>8.7893328867625726</v>
      </c>
      <c r="AZ108" s="25">
        <v>1.0819000000000001</v>
      </c>
      <c r="BA108" s="22">
        <f t="shared" si="36"/>
        <v>1.1208706463006677</v>
      </c>
      <c r="BB108" s="38">
        <f t="shared" si="37"/>
        <v>3.89706463006676E-2</v>
      </c>
      <c r="BC108" s="58">
        <f t="shared" si="40"/>
        <v>1.7325258310551348</v>
      </c>
      <c r="BD108" s="38">
        <f t="shared" si="41"/>
        <v>0.67517651368819853</v>
      </c>
      <c r="BE108" s="38">
        <f t="shared" si="38"/>
        <v>389.70646300667602</v>
      </c>
    </row>
    <row r="109" spans="1:57" ht="15.75">
      <c r="A109" s="138">
        <v>59</v>
      </c>
      <c r="B109" s="139">
        <v>2</v>
      </c>
      <c r="C109" s="140" t="s">
        <v>415</v>
      </c>
      <c r="D109" s="140" t="s">
        <v>416</v>
      </c>
      <c r="E109" s="140" t="s">
        <v>410</v>
      </c>
      <c r="F109" s="140" t="s">
        <v>480</v>
      </c>
      <c r="G109" s="140"/>
      <c r="H109" s="140" t="s">
        <v>482</v>
      </c>
      <c r="I109" s="140">
        <v>100</v>
      </c>
      <c r="J109" s="141">
        <v>11.44</v>
      </c>
      <c r="K109" s="140">
        <v>15</v>
      </c>
      <c r="L109" s="140" t="s">
        <v>72</v>
      </c>
      <c r="M109" s="140">
        <v>3</v>
      </c>
      <c r="N109"/>
      <c r="O109"/>
      <c r="P109"/>
      <c r="Q109" s="108">
        <v>10</v>
      </c>
      <c r="R109" s="53">
        <v>8</v>
      </c>
      <c r="S109" s="53">
        <f t="shared" si="21"/>
        <v>2</v>
      </c>
      <c r="T109" s="82">
        <v>34</v>
      </c>
      <c r="U109" s="82" t="s">
        <v>303</v>
      </c>
      <c r="V109" s="83">
        <v>11.175364999999999</v>
      </c>
      <c r="W109" s="83">
        <v>1859.0964390034992</v>
      </c>
      <c r="X109" s="81">
        <v>3.5222424999999999</v>
      </c>
      <c r="Y109" s="81">
        <v>27.405819464407855</v>
      </c>
      <c r="Z109" s="71" t="s">
        <v>54</v>
      </c>
      <c r="AA109" s="75">
        <v>2.9111787500000004</v>
      </c>
      <c r="AB109" s="75">
        <v>7.1289713486518078</v>
      </c>
      <c r="AC109" s="75">
        <v>2.0592423593750002</v>
      </c>
      <c r="AD109" s="75">
        <v>-26.716135928040213</v>
      </c>
      <c r="AE109" s="75">
        <v>2.375375</v>
      </c>
      <c r="AF109" s="75">
        <v>2.375375</v>
      </c>
      <c r="AG109" s="32">
        <f t="shared" si="22"/>
        <v>2.3009777396870598E-2</v>
      </c>
      <c r="AH109" s="32">
        <f t="shared" si="23"/>
        <v>0.53073405008612418</v>
      </c>
      <c r="AI109" s="33">
        <f t="shared" si="24"/>
        <v>0.25714266097877875</v>
      </c>
      <c r="AJ109" s="34">
        <f t="shared" si="25"/>
        <v>1.8693740274104753</v>
      </c>
      <c r="AK109" s="16">
        <f t="shared" si="26"/>
        <v>0.21857126183196193</v>
      </c>
      <c r="AL109" s="16">
        <f t="shared" si="33"/>
        <v>1.588967923298904</v>
      </c>
      <c r="AM109" s="27">
        <f t="shared" si="42"/>
        <v>218.57126183196192</v>
      </c>
      <c r="AN109" s="27">
        <f t="shared" si="42"/>
        <v>1588.967923298904</v>
      </c>
      <c r="AO109" s="29" t="e">
        <f t="shared" si="34"/>
        <v>#VALUE!</v>
      </c>
      <c r="AP109" s="29" t="e">
        <f t="shared" si="35"/>
        <v>#VALUE!</v>
      </c>
      <c r="AQ109" s="27">
        <f t="shared" si="27"/>
        <v>7.2697934302109033</v>
      </c>
      <c r="AR109" s="14">
        <f t="shared" si="28"/>
        <v>1853.9474676548473</v>
      </c>
      <c r="AS109" s="25">
        <v>0.36620000000000003</v>
      </c>
      <c r="AT109" s="22">
        <f t="shared" si="29"/>
        <v>1.0382190182601068</v>
      </c>
      <c r="AU109" s="22">
        <f t="shared" si="30"/>
        <v>0.67201901826010668</v>
      </c>
      <c r="AV109" s="15"/>
      <c r="AW109" s="22"/>
      <c r="AX109" s="34">
        <f t="shared" si="31"/>
        <v>6720.1901826010671</v>
      </c>
      <c r="AY109" s="14">
        <f t="shared" si="32"/>
        <v>28.091955392448067</v>
      </c>
      <c r="AZ109" s="25">
        <v>1.0819000000000001</v>
      </c>
      <c r="BA109" s="22">
        <f t="shared" si="36"/>
        <v>1.1420729392872939</v>
      </c>
      <c r="BB109" s="38">
        <f t="shared" si="37"/>
        <v>6.0172939287293836E-2</v>
      </c>
      <c r="BC109" s="58">
        <f t="shared" si="40"/>
        <v>1.7946692162211806</v>
      </c>
      <c r="BD109" s="38">
        <f t="shared" si="41"/>
        <v>1.079905217884523</v>
      </c>
      <c r="BE109" s="38">
        <f t="shared" si="38"/>
        <v>601.72939287293832</v>
      </c>
    </row>
    <row r="110" spans="1:57" ht="15.75">
      <c r="A110" s="138">
        <v>60</v>
      </c>
      <c r="B110" s="139">
        <v>2</v>
      </c>
      <c r="C110" s="140" t="s">
        <v>417</v>
      </c>
      <c r="D110" s="140" t="s">
        <v>422</v>
      </c>
      <c r="E110" s="140" t="s">
        <v>410</v>
      </c>
      <c r="F110" s="140" t="s">
        <v>480</v>
      </c>
      <c r="G110" s="140"/>
      <c r="H110" s="140" t="s">
        <v>482</v>
      </c>
      <c r="I110" s="140">
        <v>100</v>
      </c>
      <c r="J110" s="141">
        <v>7.33</v>
      </c>
      <c r="K110" s="140">
        <v>15</v>
      </c>
      <c r="L110" s="140" t="s">
        <v>73</v>
      </c>
      <c r="M110" s="140">
        <v>3</v>
      </c>
      <c r="N110"/>
      <c r="O110"/>
      <c r="P110"/>
      <c r="Q110" s="108">
        <v>10</v>
      </c>
      <c r="R110" s="53">
        <v>8</v>
      </c>
      <c r="S110" s="53">
        <f t="shared" si="21"/>
        <v>2</v>
      </c>
      <c r="T110" s="82">
        <v>36</v>
      </c>
      <c r="U110" s="82" t="s">
        <v>305</v>
      </c>
      <c r="V110" s="83">
        <v>6.4803850000000001</v>
      </c>
      <c r="W110" s="83">
        <v>1944.8267265768291</v>
      </c>
      <c r="X110" s="81">
        <v>5.0502849999999997</v>
      </c>
      <c r="Y110" s="81">
        <v>-6.6013105702577421</v>
      </c>
      <c r="Z110" s="71" t="s">
        <v>54</v>
      </c>
      <c r="AA110" s="75">
        <v>2.9111787500000004</v>
      </c>
      <c r="AB110" s="75">
        <v>7.1289713486518078</v>
      </c>
      <c r="AC110" s="75">
        <v>2.0592423593750002</v>
      </c>
      <c r="AD110" s="75">
        <v>-26.716135928040213</v>
      </c>
      <c r="AE110" s="75">
        <v>2.375375</v>
      </c>
      <c r="AF110" s="75">
        <v>2.375375</v>
      </c>
      <c r="AG110" s="32">
        <f t="shared" si="22"/>
        <v>2.3009777396870598E-2</v>
      </c>
      <c r="AH110" s="32">
        <f t="shared" si="23"/>
        <v>0.53073405008612418</v>
      </c>
      <c r="AI110" s="33">
        <f t="shared" si="24"/>
        <v>0.14911221629601926</v>
      </c>
      <c r="AJ110" s="34">
        <f t="shared" si="25"/>
        <v>2.6803582121392013</v>
      </c>
      <c r="AK110" s="16">
        <f t="shared" si="26"/>
        <v>0.12674538385161638</v>
      </c>
      <c r="AL110" s="16">
        <f t="shared" si="33"/>
        <v>2.278304480318321</v>
      </c>
      <c r="AM110" s="27">
        <f t="shared" si="42"/>
        <v>126.74538385161638</v>
      </c>
      <c r="AN110" s="27">
        <f t="shared" si="42"/>
        <v>2278.3044803183211</v>
      </c>
      <c r="AO110" s="29" t="e">
        <f t="shared" si="34"/>
        <v>#VALUE!</v>
      </c>
      <c r="AP110" s="29" t="e">
        <f t="shared" si="35"/>
        <v>#VALUE!</v>
      </c>
      <c r="AQ110" s="27">
        <f t="shared" si="27"/>
        <v>17.97544345272237</v>
      </c>
      <c r="AR110" s="14">
        <f t="shared" si="28"/>
        <v>1939.6777552281771</v>
      </c>
      <c r="AS110" s="25">
        <v>0.36620000000000003</v>
      </c>
      <c r="AT110" s="22">
        <f t="shared" si="29"/>
        <v>1.0690728683352688</v>
      </c>
      <c r="AU110" s="22">
        <f t="shared" si="30"/>
        <v>0.70287286833526874</v>
      </c>
      <c r="AV110" s="15"/>
      <c r="AW110" s="22"/>
      <c r="AX110" s="34">
        <f t="shared" si="31"/>
        <v>7028.7286833526869</v>
      </c>
      <c r="AY110" s="14">
        <f t="shared" si="32"/>
        <v>-5.9151746422175302</v>
      </c>
      <c r="AZ110" s="25">
        <v>1.0819000000000001</v>
      </c>
      <c r="BA110" s="22">
        <f t="shared" si="36"/>
        <v>1.1047128884859481</v>
      </c>
      <c r="BB110" s="38">
        <f t="shared" si="37"/>
        <v>2.281288848594798E-2</v>
      </c>
      <c r="BC110" s="58">
        <f t="shared" si="40"/>
        <v>2.5699040016107872</v>
      </c>
      <c r="BD110" s="38">
        <f t="shared" si="41"/>
        <v>0.58626933408338366</v>
      </c>
      <c r="BE110" s="38">
        <f t="shared" si="38"/>
        <v>228.12888485947983</v>
      </c>
    </row>
    <row r="111" spans="1:57" ht="15.75">
      <c r="A111" s="138">
        <v>61</v>
      </c>
      <c r="B111" s="139">
        <v>2</v>
      </c>
      <c r="C111" s="140" t="s">
        <v>419</v>
      </c>
      <c r="D111" s="140" t="s">
        <v>409</v>
      </c>
      <c r="E111" s="140" t="s">
        <v>410</v>
      </c>
      <c r="F111" s="140" t="s">
        <v>480</v>
      </c>
      <c r="G111" s="140"/>
      <c r="H111" s="140" t="s">
        <v>482</v>
      </c>
      <c r="I111" s="140">
        <v>100</v>
      </c>
      <c r="J111" s="141">
        <v>6.91</v>
      </c>
      <c r="K111" s="140">
        <v>15</v>
      </c>
      <c r="L111" s="140" t="s">
        <v>74</v>
      </c>
      <c r="M111" s="140">
        <v>3</v>
      </c>
      <c r="N111"/>
      <c r="O111"/>
      <c r="P111"/>
      <c r="Q111" s="108">
        <v>10</v>
      </c>
      <c r="R111" s="53">
        <v>8</v>
      </c>
      <c r="S111" s="53">
        <f t="shared" si="21"/>
        <v>2</v>
      </c>
      <c r="T111" s="80">
        <v>37</v>
      </c>
      <c r="U111" s="80" t="s">
        <v>306</v>
      </c>
      <c r="V111" s="81">
        <v>11.284039</v>
      </c>
      <c r="W111" s="81">
        <v>1524.5620078448335</v>
      </c>
      <c r="X111" s="83">
        <v>6.3096635000000001</v>
      </c>
      <c r="Y111" s="83">
        <v>-8.4440523778402827</v>
      </c>
      <c r="Z111" s="71" t="s">
        <v>54</v>
      </c>
      <c r="AA111" s="75">
        <v>2.9111787500000004</v>
      </c>
      <c r="AB111" s="75">
        <v>7.1289713486518078</v>
      </c>
      <c r="AC111" s="75">
        <v>2.0592423593750002</v>
      </c>
      <c r="AD111" s="75">
        <v>-26.716135928040213</v>
      </c>
      <c r="AE111" s="75">
        <v>2.375375</v>
      </c>
      <c r="AF111" s="75">
        <v>2.375375</v>
      </c>
      <c r="AG111" s="32">
        <f t="shared" si="22"/>
        <v>2.3009777396870598E-2</v>
      </c>
      <c r="AH111" s="32">
        <f t="shared" si="23"/>
        <v>0.53073405008612418</v>
      </c>
      <c r="AI111" s="33">
        <f t="shared" si="24"/>
        <v>0.25964322552760633</v>
      </c>
      <c r="AJ111" s="34">
        <f t="shared" si="25"/>
        <v>3.3487532640355897</v>
      </c>
      <c r="AK111" s="16">
        <f t="shared" si="26"/>
        <v>0.22069674169846537</v>
      </c>
      <c r="AL111" s="16">
        <f t="shared" si="33"/>
        <v>2.8464402744302513</v>
      </c>
      <c r="AM111" s="27">
        <f t="shared" si="42"/>
        <v>220.69674169846536</v>
      </c>
      <c r="AN111" s="27">
        <f t="shared" si="42"/>
        <v>2846.4402744302511</v>
      </c>
      <c r="AO111" s="29" t="e">
        <f t="shared" si="34"/>
        <v>#VALUE!</v>
      </c>
      <c r="AP111" s="29" t="e">
        <f t="shared" si="35"/>
        <v>#VALUE!</v>
      </c>
      <c r="AQ111" s="27">
        <f t="shared" si="27"/>
        <v>12.897518343606992</v>
      </c>
      <c r="AR111" s="14">
        <f t="shared" si="28"/>
        <v>1519.4130364961816</v>
      </c>
      <c r="AS111" s="25">
        <v>0.36620000000000003</v>
      </c>
      <c r="AT111" s="22">
        <f t="shared" si="29"/>
        <v>0.91763765739044512</v>
      </c>
      <c r="AU111" s="22">
        <f t="shared" si="30"/>
        <v>0.55143765739044515</v>
      </c>
      <c r="AV111" s="15"/>
      <c r="AW111" s="22"/>
      <c r="AX111" s="34">
        <f t="shared" si="31"/>
        <v>5514.3765739044511</v>
      </c>
      <c r="AY111" s="14">
        <f t="shared" si="32"/>
        <v>-7.7579164498000708</v>
      </c>
      <c r="AZ111" s="25">
        <v>1.0819000000000001</v>
      </c>
      <c r="BA111" s="22">
        <f t="shared" si="36"/>
        <v>1.1026876556746885</v>
      </c>
      <c r="BB111" s="38">
        <f t="shared" si="37"/>
        <v>2.0787655674688432E-2</v>
      </c>
      <c r="BC111" s="58">
        <f t="shared" si="40"/>
        <v>3.208835197027005</v>
      </c>
      <c r="BD111" s="38">
        <f t="shared" si="41"/>
        <v>0.66704161192618394</v>
      </c>
      <c r="BE111" s="38">
        <f t="shared" si="38"/>
        <v>207.87655674688432</v>
      </c>
    </row>
    <row r="112" spans="1:57" ht="15.75">
      <c r="A112" s="138">
        <v>62</v>
      </c>
      <c r="B112" s="139">
        <v>2</v>
      </c>
      <c r="C112" s="140" t="s">
        <v>421</v>
      </c>
      <c r="D112" s="140" t="s">
        <v>424</v>
      </c>
      <c r="E112" s="140" t="s">
        <v>410</v>
      </c>
      <c r="F112" s="140" t="s">
        <v>480</v>
      </c>
      <c r="G112" s="140"/>
      <c r="H112" s="140" t="s">
        <v>482</v>
      </c>
      <c r="I112" s="140">
        <v>100</v>
      </c>
      <c r="J112" s="141">
        <v>16.53</v>
      </c>
      <c r="K112" s="140">
        <v>15</v>
      </c>
      <c r="L112" s="140" t="s">
        <v>75</v>
      </c>
      <c r="M112" s="140">
        <v>3</v>
      </c>
      <c r="N112"/>
      <c r="O112"/>
      <c r="P112"/>
      <c r="Q112" s="108">
        <v>10</v>
      </c>
      <c r="R112" s="53">
        <v>8</v>
      </c>
      <c r="S112" s="53">
        <f t="shared" si="21"/>
        <v>2</v>
      </c>
      <c r="T112" s="82">
        <v>38</v>
      </c>
      <c r="U112" s="82" t="s">
        <v>307</v>
      </c>
      <c r="V112" s="83">
        <v>14.049754999999999</v>
      </c>
      <c r="W112" s="83">
        <v>2122.9476927734181</v>
      </c>
      <c r="X112" s="81">
        <v>6.8700925000000002</v>
      </c>
      <c r="Y112" s="81">
        <v>52.579116957342897</v>
      </c>
      <c r="Z112" s="71" t="s">
        <v>54</v>
      </c>
      <c r="AA112" s="75">
        <v>2.9111787500000004</v>
      </c>
      <c r="AB112" s="75">
        <v>7.1289713486518078</v>
      </c>
      <c r="AC112" s="75">
        <v>2.0592423593750002</v>
      </c>
      <c r="AD112" s="75">
        <v>-26.716135928040213</v>
      </c>
      <c r="AE112" s="75">
        <v>2.375375</v>
      </c>
      <c r="AF112" s="75">
        <v>2.375375</v>
      </c>
      <c r="AG112" s="32">
        <f t="shared" si="22"/>
        <v>2.3009777396870598E-2</v>
      </c>
      <c r="AH112" s="32">
        <f t="shared" si="23"/>
        <v>0.53073405008612418</v>
      </c>
      <c r="AI112" s="33">
        <f t="shared" si="24"/>
        <v>0.32328173503056967</v>
      </c>
      <c r="AJ112" s="34">
        <f t="shared" si="25"/>
        <v>3.6461920169913062</v>
      </c>
      <c r="AK112" s="16">
        <f t="shared" si="26"/>
        <v>0.2747894747759842</v>
      </c>
      <c r="AL112" s="16">
        <f t="shared" si="33"/>
        <v>3.0992632144426104</v>
      </c>
      <c r="AM112" s="27">
        <f t="shared" si="42"/>
        <v>274.78947477598422</v>
      </c>
      <c r="AN112" s="27">
        <f t="shared" si="42"/>
        <v>3099.2632144426107</v>
      </c>
      <c r="AO112" s="29" t="e">
        <f t="shared" si="34"/>
        <v>#VALUE!</v>
      </c>
      <c r="AP112" s="29" t="e">
        <f t="shared" si="35"/>
        <v>#VALUE!</v>
      </c>
      <c r="AQ112" s="27">
        <f t="shared" si="27"/>
        <v>11.278682405755218</v>
      </c>
      <c r="AR112" s="14">
        <f t="shared" si="28"/>
        <v>2117.7987214247664</v>
      </c>
      <c r="AS112" s="25">
        <v>0.36620000000000003</v>
      </c>
      <c r="AT112" s="22">
        <f t="shared" si="29"/>
        <v>1.1331161341418294</v>
      </c>
      <c r="AU112" s="22">
        <f t="shared" si="30"/>
        <v>0.76691613414182935</v>
      </c>
      <c r="AV112" s="15"/>
      <c r="AW112" s="22"/>
      <c r="AX112" s="34">
        <f t="shared" si="31"/>
        <v>7669.1613414182939</v>
      </c>
      <c r="AY112" s="14">
        <f t="shared" si="32"/>
        <v>53.265252885383106</v>
      </c>
      <c r="AZ112" s="25">
        <v>1.0819000000000001</v>
      </c>
      <c r="BA112" s="22">
        <f t="shared" si="36"/>
        <v>1.1697100130928149</v>
      </c>
      <c r="BB112" s="38">
        <f t="shared" si="37"/>
        <v>8.7810013092814776E-2</v>
      </c>
      <c r="BC112" s="58">
        <f t="shared" si="40"/>
        <v>3.4931624035943041</v>
      </c>
      <c r="BD112" s="38">
        <f t="shared" si="41"/>
        <v>3.0673463639494423</v>
      </c>
      <c r="BE112" s="38">
        <f t="shared" si="38"/>
        <v>878.10013092814779</v>
      </c>
    </row>
    <row r="113" spans="1:57" ht="15.75">
      <c r="A113" s="138">
        <v>63</v>
      </c>
      <c r="B113" s="139">
        <v>2</v>
      </c>
      <c r="C113" s="140" t="s">
        <v>423</v>
      </c>
      <c r="D113" s="140" t="s">
        <v>414</v>
      </c>
      <c r="E113" s="140" t="s">
        <v>410</v>
      </c>
      <c r="F113" s="140" t="s">
        <v>480</v>
      </c>
      <c r="G113" s="140"/>
      <c r="H113" s="140" t="s">
        <v>482</v>
      </c>
      <c r="I113" s="140">
        <v>100</v>
      </c>
      <c r="J113" s="141">
        <v>11.79</v>
      </c>
      <c r="K113" s="140">
        <v>15</v>
      </c>
      <c r="L113" s="140" t="s">
        <v>76</v>
      </c>
      <c r="M113" s="140">
        <v>3</v>
      </c>
      <c r="N113"/>
      <c r="O113"/>
      <c r="P113"/>
      <c r="Q113" s="108">
        <v>10</v>
      </c>
      <c r="R113" s="53">
        <v>8</v>
      </c>
      <c r="S113" s="53">
        <f t="shared" si="21"/>
        <v>2</v>
      </c>
      <c r="T113" s="80">
        <v>39</v>
      </c>
      <c r="U113" s="80" t="s">
        <v>308</v>
      </c>
      <c r="V113" s="81">
        <v>11.87978</v>
      </c>
      <c r="W113" s="81">
        <v>1457.311483835095</v>
      </c>
      <c r="X113" s="83">
        <v>3.2228759999999999</v>
      </c>
      <c r="Y113" s="83">
        <v>18.777355677723996</v>
      </c>
      <c r="Z113" s="71" t="s">
        <v>54</v>
      </c>
      <c r="AA113" s="75">
        <v>2.9111787500000004</v>
      </c>
      <c r="AB113" s="75">
        <v>7.1289713486518078</v>
      </c>
      <c r="AC113" s="75">
        <v>2.0592423593750002</v>
      </c>
      <c r="AD113" s="75">
        <v>-26.716135928040213</v>
      </c>
      <c r="AE113" s="75">
        <v>2.375375</v>
      </c>
      <c r="AF113" s="75">
        <v>2.375375</v>
      </c>
      <c r="AG113" s="32">
        <f t="shared" si="22"/>
        <v>2.3009777396870598E-2</v>
      </c>
      <c r="AH113" s="32">
        <f t="shared" si="23"/>
        <v>0.53073405008612418</v>
      </c>
      <c r="AI113" s="33">
        <f t="shared" si="24"/>
        <v>0.27335109332379537</v>
      </c>
      <c r="AJ113" s="34">
        <f t="shared" si="25"/>
        <v>1.7104900324053676</v>
      </c>
      <c r="AK113" s="16">
        <f t="shared" si="26"/>
        <v>0.23234842932522606</v>
      </c>
      <c r="AL113" s="16">
        <f t="shared" si="33"/>
        <v>1.4539165275445625</v>
      </c>
      <c r="AM113" s="27">
        <f t="shared" si="42"/>
        <v>232.34842932522605</v>
      </c>
      <c r="AN113" s="27">
        <f t="shared" si="42"/>
        <v>1453.9165275445625</v>
      </c>
      <c r="AO113" s="29" t="e">
        <f t="shared" si="34"/>
        <v>#VALUE!</v>
      </c>
      <c r="AP113" s="29" t="e">
        <f t="shared" si="35"/>
        <v>#VALUE!</v>
      </c>
      <c r="AQ113" s="27">
        <f t="shared" si="27"/>
        <v>6.2574837788529472</v>
      </c>
      <c r="AR113" s="14">
        <f t="shared" si="28"/>
        <v>1452.1625124864431</v>
      </c>
      <c r="AS113" s="25">
        <v>0.36620000000000003</v>
      </c>
      <c r="AT113" s="22">
        <f t="shared" si="29"/>
        <v>0.89336204069060499</v>
      </c>
      <c r="AU113" s="22">
        <f t="shared" si="30"/>
        <v>0.52716204069060502</v>
      </c>
      <c r="AV113" s="15"/>
      <c r="AW113" s="22"/>
      <c r="AX113" s="34">
        <f t="shared" si="31"/>
        <v>5271.6204069060495</v>
      </c>
      <c r="AY113" s="14">
        <f t="shared" si="32"/>
        <v>19.463491605764208</v>
      </c>
      <c r="AZ113" s="25">
        <v>1.0819000000000001</v>
      </c>
      <c r="BA113" s="22">
        <f t="shared" si="36"/>
        <v>1.132596427871065</v>
      </c>
      <c r="BB113" s="38">
        <f t="shared" si="37"/>
        <v>5.0696427871064875E-2</v>
      </c>
      <c r="BC113" s="58">
        <f t="shared" si="40"/>
        <v>1.6427890660418907</v>
      </c>
      <c r="BD113" s="38">
        <f t="shared" si="41"/>
        <v>0.83283537393966756</v>
      </c>
      <c r="BE113" s="38">
        <f t="shared" si="38"/>
        <v>506.96427871064873</v>
      </c>
    </row>
    <row r="114" spans="1:57" ht="15.75">
      <c r="A114" s="138">
        <v>64</v>
      </c>
      <c r="B114" s="139">
        <v>2</v>
      </c>
      <c r="C114" s="140" t="s">
        <v>425</v>
      </c>
      <c r="D114" s="140" t="s">
        <v>420</v>
      </c>
      <c r="E114" s="140" t="s">
        <v>410</v>
      </c>
      <c r="F114" s="140" t="s">
        <v>480</v>
      </c>
      <c r="G114" s="140"/>
      <c r="H114" s="140" t="s">
        <v>482</v>
      </c>
      <c r="I114" s="140">
        <v>100</v>
      </c>
      <c r="J114" s="141">
        <v>10.14</v>
      </c>
      <c r="K114" s="140">
        <v>15</v>
      </c>
      <c r="L114" s="140" t="s">
        <v>77</v>
      </c>
      <c r="M114" s="140">
        <v>3</v>
      </c>
      <c r="N114"/>
      <c r="O114"/>
      <c r="P114"/>
      <c r="Q114" s="108">
        <v>10</v>
      </c>
      <c r="R114" s="53">
        <v>8</v>
      </c>
      <c r="S114" s="53">
        <f t="shared" si="21"/>
        <v>2</v>
      </c>
      <c r="T114" s="82">
        <v>40</v>
      </c>
      <c r="U114" s="82" t="s">
        <v>309</v>
      </c>
      <c r="V114" s="83">
        <v>19.738157999999999</v>
      </c>
      <c r="W114" s="83">
        <v>1274.7858424874198</v>
      </c>
      <c r="X114" s="81">
        <v>7.4771890000000001</v>
      </c>
      <c r="Y114" s="81">
        <v>30.742017585905174</v>
      </c>
      <c r="Z114" s="71" t="s">
        <v>54</v>
      </c>
      <c r="AA114" s="75">
        <v>2.9111787500000004</v>
      </c>
      <c r="AB114" s="75">
        <v>7.1289713486518078</v>
      </c>
      <c r="AC114" s="75">
        <v>2.0592423593750002</v>
      </c>
      <c r="AD114" s="75">
        <v>-26.716135928040213</v>
      </c>
      <c r="AE114" s="75">
        <v>2.375375</v>
      </c>
      <c r="AF114" s="75">
        <v>2.375375</v>
      </c>
      <c r="AG114" s="32">
        <f t="shared" si="22"/>
        <v>2.3009777396870598E-2</v>
      </c>
      <c r="AH114" s="32">
        <f t="shared" si="23"/>
        <v>0.53073405008612418</v>
      </c>
      <c r="AI114" s="33">
        <f t="shared" si="24"/>
        <v>0.45417062180426054</v>
      </c>
      <c r="AJ114" s="34">
        <f t="shared" si="25"/>
        <v>3.9683988012294167</v>
      </c>
      <c r="AK114" s="16">
        <f t="shared" si="26"/>
        <v>0.38604502853362144</v>
      </c>
      <c r="AL114" s="16">
        <f t="shared" si="33"/>
        <v>3.3731389810450043</v>
      </c>
      <c r="AM114" s="27">
        <f t="shared" si="42"/>
        <v>386.04502853362146</v>
      </c>
      <c r="AN114" s="27">
        <f t="shared" si="42"/>
        <v>3373.1389810450041</v>
      </c>
      <c r="AO114" s="29" t="e">
        <f t="shared" si="34"/>
        <v>#VALUE!</v>
      </c>
      <c r="AP114" s="29" t="e">
        <f t="shared" si="35"/>
        <v>#VALUE!</v>
      </c>
      <c r="AQ114" s="27">
        <f t="shared" si="27"/>
        <v>8.7376827357620801</v>
      </c>
      <c r="AR114" s="14">
        <f t="shared" si="28"/>
        <v>1269.6368711387679</v>
      </c>
      <c r="AS114" s="25">
        <v>0.36620000000000003</v>
      </c>
      <c r="AT114" s="22">
        <f t="shared" si="29"/>
        <v>0.82741523533594818</v>
      </c>
      <c r="AU114" s="22">
        <f t="shared" si="30"/>
        <v>0.46121523533594816</v>
      </c>
      <c r="AV114" s="15"/>
      <c r="AW114" s="22"/>
      <c r="AX114" s="34">
        <f t="shared" si="31"/>
        <v>4612.1523533594818</v>
      </c>
      <c r="AY114" s="14">
        <f t="shared" si="32"/>
        <v>31.428153513945386</v>
      </c>
      <c r="AZ114" s="25">
        <v>1.0819000000000001</v>
      </c>
      <c r="BA114" s="22">
        <f t="shared" si="36"/>
        <v>1.1457365482979673</v>
      </c>
      <c r="BB114" s="38">
        <f t="shared" si="37"/>
        <v>6.3836548297967255E-2</v>
      </c>
      <c r="BC114" s="58">
        <f t="shared" si="40"/>
        <v>3.8011658294730224</v>
      </c>
      <c r="BD114" s="38">
        <f t="shared" si="41"/>
        <v>2.4265330606173734</v>
      </c>
      <c r="BE114" s="38">
        <f t="shared" si="38"/>
        <v>638.36548297967261</v>
      </c>
    </row>
    <row r="115" spans="1:57" ht="15.75">
      <c r="A115" s="138">
        <v>65</v>
      </c>
      <c r="B115" s="139">
        <v>3</v>
      </c>
      <c r="C115" s="140" t="s">
        <v>408</v>
      </c>
      <c r="D115" s="140" t="s">
        <v>418</v>
      </c>
      <c r="E115" s="140" t="s">
        <v>410</v>
      </c>
      <c r="F115" s="140" t="s">
        <v>480</v>
      </c>
      <c r="G115" s="140"/>
      <c r="H115" s="140" t="s">
        <v>483</v>
      </c>
      <c r="I115" s="140">
        <v>100</v>
      </c>
      <c r="J115" s="141">
        <v>16.96</v>
      </c>
      <c r="K115" s="140">
        <v>15</v>
      </c>
      <c r="L115" s="140" t="s">
        <v>78</v>
      </c>
      <c r="M115" s="140">
        <v>3</v>
      </c>
      <c r="N115"/>
      <c r="O115"/>
      <c r="P115"/>
      <c r="Q115" s="108">
        <v>10</v>
      </c>
      <c r="R115" s="53">
        <v>8</v>
      </c>
      <c r="S115" s="53">
        <f t="shared" si="21"/>
        <v>2</v>
      </c>
      <c r="T115" s="80">
        <v>41</v>
      </c>
      <c r="U115" s="80" t="s">
        <v>310</v>
      </c>
      <c r="V115" s="81">
        <v>9.3864280000000004</v>
      </c>
      <c r="W115" s="81">
        <v>2303.0287758012437</v>
      </c>
      <c r="X115" s="83">
        <v>3.8332655</v>
      </c>
      <c r="Y115" s="83">
        <v>34.826762292629027</v>
      </c>
      <c r="Z115" s="71" t="s">
        <v>54</v>
      </c>
      <c r="AA115" s="75">
        <v>2.9111787500000004</v>
      </c>
      <c r="AB115" s="75">
        <v>7.1289713486518078</v>
      </c>
      <c r="AC115" s="75">
        <v>2.0592423593750002</v>
      </c>
      <c r="AD115" s="75">
        <v>-26.716135928040213</v>
      </c>
      <c r="AE115" s="75">
        <v>2.375375</v>
      </c>
      <c r="AF115" s="75">
        <v>2.375375</v>
      </c>
      <c r="AG115" s="32">
        <f t="shared" si="22"/>
        <v>2.3009777396870598E-2</v>
      </c>
      <c r="AH115" s="32">
        <f t="shared" si="23"/>
        <v>0.53073405008612418</v>
      </c>
      <c r="AI115" s="33">
        <f t="shared" si="24"/>
        <v>0.21597961883175329</v>
      </c>
      <c r="AJ115" s="34">
        <f t="shared" si="25"/>
        <v>2.0344445238704116</v>
      </c>
      <c r="AK115" s="16">
        <f t="shared" si="26"/>
        <v>0.1835826760069903</v>
      </c>
      <c r="AL115" s="16">
        <f t="shared" si="33"/>
        <v>1.7292778452898498</v>
      </c>
      <c r="AM115" s="27">
        <f t="shared" si="42"/>
        <v>183.58267600699031</v>
      </c>
      <c r="AN115" s="27">
        <f t="shared" si="42"/>
        <v>1729.2778452898499</v>
      </c>
      <c r="AO115" s="29" t="e">
        <f t="shared" si="34"/>
        <v>#VALUE!</v>
      </c>
      <c r="AP115" s="29" t="e">
        <f t="shared" si="35"/>
        <v>#VALUE!</v>
      </c>
      <c r="AQ115" s="27">
        <f t="shared" si="27"/>
        <v>9.4196134564679941</v>
      </c>
      <c r="AR115" s="14">
        <f t="shared" si="28"/>
        <v>2297.879804452592</v>
      </c>
      <c r="AS115" s="25">
        <v>0.36620000000000003</v>
      </c>
      <c r="AT115" s="22">
        <f t="shared" si="29"/>
        <v>1.1977799227337487</v>
      </c>
      <c r="AU115" s="22">
        <f t="shared" si="30"/>
        <v>0.83157992273374859</v>
      </c>
      <c r="AV115" s="15"/>
      <c r="AW115" s="22"/>
      <c r="AX115" s="34">
        <f t="shared" si="31"/>
        <v>8315.7992273374857</v>
      </c>
      <c r="AY115" s="14">
        <f t="shared" si="32"/>
        <v>35.512898220669243</v>
      </c>
      <c r="AZ115" s="25">
        <v>1.0819000000000001</v>
      </c>
      <c r="BA115" s="22">
        <f t="shared" si="36"/>
        <v>1.150221795699939</v>
      </c>
      <c r="BB115" s="38">
        <f t="shared" si="37"/>
        <v>6.8321795699938903E-2</v>
      </c>
      <c r="BC115" s="58">
        <f t="shared" si="40"/>
        <v>1.9524631575914182</v>
      </c>
      <c r="BD115" s="38">
        <f t="shared" si="41"/>
        <v>1.3339578896461848</v>
      </c>
      <c r="BE115" s="38">
        <f t="shared" si="38"/>
        <v>683.217956999389</v>
      </c>
    </row>
    <row r="116" spans="1:57" ht="15.75">
      <c r="A116" s="138">
        <v>66</v>
      </c>
      <c r="B116" s="139">
        <v>3</v>
      </c>
      <c r="C116" s="140" t="s">
        <v>413</v>
      </c>
      <c r="D116" s="140" t="s">
        <v>416</v>
      </c>
      <c r="E116" s="140" t="s">
        <v>410</v>
      </c>
      <c r="F116" s="140" t="s">
        <v>480</v>
      </c>
      <c r="G116" s="140"/>
      <c r="H116" s="140" t="s">
        <v>483</v>
      </c>
      <c r="I116" s="140">
        <v>100</v>
      </c>
      <c r="J116" s="141">
        <v>10.96</v>
      </c>
      <c r="K116" s="140">
        <v>15</v>
      </c>
      <c r="L116" s="140" t="s">
        <v>79</v>
      </c>
      <c r="M116" s="140">
        <v>3</v>
      </c>
      <c r="N116"/>
      <c r="O116"/>
      <c r="P116"/>
      <c r="Q116" s="108">
        <v>10</v>
      </c>
      <c r="R116" s="53">
        <v>8</v>
      </c>
      <c r="S116" s="53">
        <f t="shared" si="21"/>
        <v>2</v>
      </c>
      <c r="T116" s="82">
        <v>42</v>
      </c>
      <c r="U116" s="82" t="s">
        <v>311</v>
      </c>
      <c r="V116" s="83">
        <v>12.711357</v>
      </c>
      <c r="W116" s="83">
        <v>1743.5570342655069</v>
      </c>
      <c r="X116" s="81">
        <v>3.9130807500000002</v>
      </c>
      <c r="Y116" s="81">
        <v>50.872136934620222</v>
      </c>
      <c r="Z116" s="71" t="s">
        <v>54</v>
      </c>
      <c r="AA116" s="75">
        <v>2.9111787500000004</v>
      </c>
      <c r="AB116" s="75">
        <v>7.1289713486518078</v>
      </c>
      <c r="AC116" s="75">
        <v>2.0592423593750002</v>
      </c>
      <c r="AD116" s="75">
        <v>-26.716135928040213</v>
      </c>
      <c r="AE116" s="75">
        <v>2.375375</v>
      </c>
      <c r="AF116" s="75">
        <v>2.375375</v>
      </c>
      <c r="AG116" s="32">
        <f t="shared" si="22"/>
        <v>2.3009777396870598E-2</v>
      </c>
      <c r="AH116" s="32">
        <f t="shared" si="23"/>
        <v>0.53073405008612418</v>
      </c>
      <c r="AI116" s="33">
        <f t="shared" si="24"/>
        <v>0.29248549498215282</v>
      </c>
      <c r="AJ116" s="34">
        <f t="shared" si="25"/>
        <v>2.0768051947615485</v>
      </c>
      <c r="AK116" s="16">
        <f t="shared" si="26"/>
        <v>0.24861267073482987</v>
      </c>
      <c r="AL116" s="16">
        <f t="shared" si="33"/>
        <v>1.7652844155473164</v>
      </c>
      <c r="AM116" s="27">
        <f t="shared" si="42"/>
        <v>248.61267073482986</v>
      </c>
      <c r="AN116" s="27">
        <f t="shared" si="42"/>
        <v>1765.2844155473165</v>
      </c>
      <c r="AO116" s="29" t="e">
        <f t="shared" si="34"/>
        <v>#VALUE!</v>
      </c>
      <c r="AP116" s="29" t="e">
        <f t="shared" si="35"/>
        <v>#VALUE!</v>
      </c>
      <c r="AQ116" s="27">
        <f t="shared" si="27"/>
        <v>7.1005408144710671</v>
      </c>
      <c r="AR116" s="14">
        <f t="shared" si="28"/>
        <v>1738.408062916855</v>
      </c>
      <c r="AS116" s="25">
        <v>0.36620000000000003</v>
      </c>
      <c r="AT116" s="22">
        <f t="shared" si="29"/>
        <v>0.99660657541758213</v>
      </c>
      <c r="AU116" s="22">
        <f t="shared" si="30"/>
        <v>0.63040657541758205</v>
      </c>
      <c r="AV116" s="15"/>
      <c r="AW116" s="22"/>
      <c r="AX116" s="34">
        <f t="shared" si="31"/>
        <v>6304.0657541758201</v>
      </c>
      <c r="AY116" s="14">
        <f t="shared" si="32"/>
        <v>51.558272862660431</v>
      </c>
      <c r="AZ116" s="25">
        <v>1.0819000000000001</v>
      </c>
      <c r="BA116" s="22">
        <f t="shared" si="36"/>
        <v>1.1678364548792455</v>
      </c>
      <c r="BB116" s="38">
        <f t="shared" si="37"/>
        <v>8.5936454879245394E-2</v>
      </c>
      <c r="BC116" s="58">
        <f t="shared" si="40"/>
        <v>1.9929565065686679</v>
      </c>
      <c r="BD116" s="38">
        <f t="shared" si="41"/>
        <v>1.7126761690303685</v>
      </c>
      <c r="BE116" s="38">
        <f t="shared" si="38"/>
        <v>859.36454879245389</v>
      </c>
    </row>
    <row r="117" spans="1:57" ht="15.75">
      <c r="A117" s="138">
        <v>67</v>
      </c>
      <c r="B117" s="139">
        <v>3</v>
      </c>
      <c r="C117" s="140" t="s">
        <v>415</v>
      </c>
      <c r="D117" s="140" t="s">
        <v>426</v>
      </c>
      <c r="E117" s="140" t="s">
        <v>410</v>
      </c>
      <c r="F117" s="140" t="s">
        <v>480</v>
      </c>
      <c r="G117" s="140"/>
      <c r="H117" s="140" t="s">
        <v>483</v>
      </c>
      <c r="I117" s="140">
        <v>100</v>
      </c>
      <c r="J117" s="141">
        <v>12.73</v>
      </c>
      <c r="K117" s="140">
        <v>15</v>
      </c>
      <c r="L117" s="140" t="s">
        <v>80</v>
      </c>
      <c r="M117" s="140">
        <v>3</v>
      </c>
      <c r="N117"/>
      <c r="O117"/>
      <c r="P117"/>
      <c r="Q117" s="108">
        <v>10</v>
      </c>
      <c r="R117" s="53">
        <v>8</v>
      </c>
      <c r="S117" s="53">
        <f t="shared" si="21"/>
        <v>2</v>
      </c>
      <c r="T117" s="80">
        <v>43</v>
      </c>
      <c r="U117" s="80" t="s">
        <v>312</v>
      </c>
      <c r="V117" s="81">
        <v>15.473865999999999</v>
      </c>
      <c r="W117" s="81">
        <v>1432.8610986827366</v>
      </c>
      <c r="X117" s="83">
        <v>6.0472324999999998</v>
      </c>
      <c r="Y117" s="83">
        <v>10.865630337718757</v>
      </c>
      <c r="Z117" s="71" t="s">
        <v>54</v>
      </c>
      <c r="AA117" s="75">
        <v>2.9111787500000004</v>
      </c>
      <c r="AB117" s="75">
        <v>7.1289713486518078</v>
      </c>
      <c r="AC117" s="75">
        <v>2.0592423593750002</v>
      </c>
      <c r="AD117" s="75">
        <v>-26.716135928040213</v>
      </c>
      <c r="AE117" s="75">
        <v>2.375375</v>
      </c>
      <c r="AF117" s="75">
        <v>2.375375</v>
      </c>
      <c r="AG117" s="32">
        <f t="shared" si="22"/>
        <v>2.3009777396870598E-2</v>
      </c>
      <c r="AH117" s="32">
        <f t="shared" si="23"/>
        <v>0.53073405008612418</v>
      </c>
      <c r="AI117" s="33">
        <f t="shared" si="24"/>
        <v>0.35605021212900445</v>
      </c>
      <c r="AJ117" s="34">
        <f t="shared" si="25"/>
        <v>3.2094721965374378</v>
      </c>
      <c r="AK117" s="16">
        <f t="shared" si="26"/>
        <v>0.3026426803096538</v>
      </c>
      <c r="AL117" s="16">
        <f t="shared" si="33"/>
        <v>2.7280513670568221</v>
      </c>
      <c r="AM117" s="27">
        <f t="shared" si="42"/>
        <v>302.64268030965383</v>
      </c>
      <c r="AN117" s="27">
        <f t="shared" si="42"/>
        <v>2728.0513670568221</v>
      </c>
      <c r="AO117" s="29" t="e">
        <f t="shared" si="34"/>
        <v>#VALUE!</v>
      </c>
      <c r="AP117" s="29" t="e">
        <f t="shared" si="35"/>
        <v>#VALUE!</v>
      </c>
      <c r="AQ117" s="27">
        <f t="shared" si="27"/>
        <v>9.014099942101927</v>
      </c>
      <c r="AR117" s="14">
        <f t="shared" si="28"/>
        <v>1427.7121273340847</v>
      </c>
      <c r="AS117" s="25">
        <v>0.36620000000000003</v>
      </c>
      <c r="AT117" s="22">
        <f t="shared" si="29"/>
        <v>0.88453316541045846</v>
      </c>
      <c r="AU117" s="22">
        <f t="shared" si="30"/>
        <v>0.51833316541045837</v>
      </c>
      <c r="AV117" s="15"/>
      <c r="AW117" s="22"/>
      <c r="AX117" s="34">
        <f t="shared" si="31"/>
        <v>5183.3316541045833</v>
      </c>
      <c r="AY117" s="14">
        <f t="shared" si="32"/>
        <v>11.551766265758969</v>
      </c>
      <c r="AZ117" s="25">
        <v>1.0819000000000001</v>
      </c>
      <c r="BA117" s="22">
        <f t="shared" si="36"/>
        <v>1.123905502596577</v>
      </c>
      <c r="BB117" s="38">
        <f t="shared" si="37"/>
        <v>4.2005502596576871E-2</v>
      </c>
      <c r="BC117" s="58">
        <f t="shared" si="40"/>
        <v>3.0756938479057729</v>
      </c>
      <c r="BD117" s="38">
        <f t="shared" si="41"/>
        <v>1.2919606591448147</v>
      </c>
      <c r="BE117" s="38">
        <f t="shared" si="38"/>
        <v>420.05502596576872</v>
      </c>
    </row>
    <row r="118" spans="1:57" ht="15.75">
      <c r="A118" s="138">
        <v>68</v>
      </c>
      <c r="B118" s="139">
        <v>3</v>
      </c>
      <c r="C118" s="140" t="s">
        <v>417</v>
      </c>
      <c r="D118" s="140" t="s">
        <v>420</v>
      </c>
      <c r="E118" s="140" t="s">
        <v>410</v>
      </c>
      <c r="F118" s="140" t="s">
        <v>480</v>
      </c>
      <c r="G118" s="140"/>
      <c r="H118" s="140" t="s">
        <v>483</v>
      </c>
      <c r="I118" s="140">
        <v>100</v>
      </c>
      <c r="J118" s="141">
        <v>7.98</v>
      </c>
      <c r="K118" s="140">
        <v>15</v>
      </c>
      <c r="L118" s="140" t="s">
        <v>81</v>
      </c>
      <c r="M118" s="140">
        <v>3</v>
      </c>
      <c r="N118"/>
      <c r="O118"/>
      <c r="P118"/>
      <c r="Q118" s="108">
        <v>10</v>
      </c>
      <c r="R118" s="53">
        <v>8</v>
      </c>
      <c r="S118" s="53">
        <f t="shared" si="21"/>
        <v>2</v>
      </c>
      <c r="T118" s="82">
        <v>44</v>
      </c>
      <c r="U118" s="82" t="s">
        <v>313</v>
      </c>
      <c r="V118" s="83">
        <v>19.690272</v>
      </c>
      <c r="W118" s="83">
        <v>1071.4092817702669</v>
      </c>
      <c r="X118" s="130">
        <v>8.0345134999999992</v>
      </c>
      <c r="Y118" s="130">
        <v>125.71148348394676</v>
      </c>
      <c r="Z118" s="71" t="s">
        <v>54</v>
      </c>
      <c r="AA118" s="75">
        <v>2.9111787500000004</v>
      </c>
      <c r="AB118" s="75">
        <v>7.1289713486518078</v>
      </c>
      <c r="AC118" s="75">
        <v>2.0592423593750002</v>
      </c>
      <c r="AD118" s="75">
        <v>-26.716135928040213</v>
      </c>
      <c r="AE118" s="75">
        <v>2.375375</v>
      </c>
      <c r="AF118" s="75">
        <v>2.375375</v>
      </c>
      <c r="AG118" s="32">
        <f t="shared" si="22"/>
        <v>2.3009777396870598E-2</v>
      </c>
      <c r="AH118" s="32">
        <f t="shared" si="23"/>
        <v>0.53073405008612418</v>
      </c>
      <c r="AI118" s="33">
        <f t="shared" si="24"/>
        <v>0.45306877560383402</v>
      </c>
      <c r="AJ118" s="34">
        <f t="shared" si="25"/>
        <v>4.2641898903266409</v>
      </c>
      <c r="AK118" s="16">
        <f t="shared" si="26"/>
        <v>0.38510845926325887</v>
      </c>
      <c r="AL118" s="16">
        <f t="shared" si="33"/>
        <v>3.6245614067776448</v>
      </c>
      <c r="AM118" s="27">
        <f t="shared" si="42"/>
        <v>385.10845926325885</v>
      </c>
      <c r="AN118" s="27">
        <f t="shared" si="42"/>
        <v>3624.5614067776446</v>
      </c>
      <c r="AO118" s="29" t="e">
        <f t="shared" si="34"/>
        <v>#VALUE!</v>
      </c>
      <c r="AP118" s="29" t="e">
        <f t="shared" si="35"/>
        <v>#VALUE!</v>
      </c>
      <c r="AQ118" s="27">
        <f t="shared" si="27"/>
        <v>9.4117937936541303</v>
      </c>
      <c r="AR118" s="14">
        <f t="shared" si="28"/>
        <v>1066.260310421615</v>
      </c>
      <c r="AS118" s="25">
        <v>0.36620000000000003</v>
      </c>
      <c r="AT118" s="22">
        <f t="shared" si="29"/>
        <v>0.75383150793729437</v>
      </c>
      <c r="AU118" s="22">
        <f t="shared" si="30"/>
        <v>0.38763150793729434</v>
      </c>
      <c r="AV118" s="15"/>
      <c r="AW118" s="22"/>
      <c r="AX118" s="34">
        <f t="shared" si="31"/>
        <v>3876.3150793729437</v>
      </c>
      <c r="AY118" s="14">
        <f t="shared" si="32"/>
        <v>126.39761941198698</v>
      </c>
      <c r="AZ118" s="25">
        <v>1.0819000000000001</v>
      </c>
      <c r="BA118" s="22">
        <f t="shared" si="36"/>
        <v>1.2499124505143202</v>
      </c>
      <c r="BB118" s="38">
        <f t="shared" si="37"/>
        <v>0.16801245051432012</v>
      </c>
      <c r="BC118" s="58">
        <f t="shared" si="40"/>
        <v>4.0839180036762075</v>
      </c>
      <c r="BD118" s="38">
        <f t="shared" si="41"/>
        <v>6.8614907149718984</v>
      </c>
      <c r="BE118" s="38">
        <f t="shared" si="38"/>
        <v>1680.1245051432013</v>
      </c>
    </row>
    <row r="119" spans="1:57" ht="15.75">
      <c r="A119" s="138">
        <v>69</v>
      </c>
      <c r="B119" s="139">
        <v>3</v>
      </c>
      <c r="C119" s="140" t="s">
        <v>419</v>
      </c>
      <c r="D119" s="140" t="s">
        <v>422</v>
      </c>
      <c r="E119" s="140" t="s">
        <v>410</v>
      </c>
      <c r="F119" s="140" t="s">
        <v>480</v>
      </c>
      <c r="G119" s="140"/>
      <c r="H119" s="140" t="s">
        <v>483</v>
      </c>
      <c r="I119" s="140">
        <v>100</v>
      </c>
      <c r="J119" s="141">
        <v>4.74</v>
      </c>
      <c r="K119" s="140">
        <v>15</v>
      </c>
      <c r="L119" s="140" t="s">
        <v>82</v>
      </c>
      <c r="M119" s="140">
        <v>3</v>
      </c>
      <c r="N119"/>
      <c r="O119"/>
      <c r="P119"/>
      <c r="Q119" s="108">
        <v>10</v>
      </c>
      <c r="R119" s="53">
        <v>8</v>
      </c>
      <c r="S119" s="53">
        <f t="shared" si="21"/>
        <v>2</v>
      </c>
      <c r="T119" s="80">
        <v>45</v>
      </c>
      <c r="U119" s="80" t="s">
        <v>314</v>
      </c>
      <c r="V119" s="81">
        <v>9.517944</v>
      </c>
      <c r="W119" s="81">
        <v>3278.0857599163505</v>
      </c>
      <c r="X119" s="83">
        <v>5.2402815</v>
      </c>
      <c r="Y119" s="83">
        <v>72.853779024653832</v>
      </c>
      <c r="Z119" s="71" t="s">
        <v>54</v>
      </c>
      <c r="AA119" s="75">
        <v>2.9111787500000004</v>
      </c>
      <c r="AB119" s="75">
        <v>7.1289713486518078</v>
      </c>
      <c r="AC119" s="75">
        <v>2.0592423593750002</v>
      </c>
      <c r="AD119" s="75">
        <v>-26.716135928040213</v>
      </c>
      <c r="AE119" s="75">
        <v>2.375375</v>
      </c>
      <c r="AF119" s="75">
        <v>2.375375</v>
      </c>
      <c r="AG119" s="32">
        <f t="shared" si="22"/>
        <v>2.3009777396870598E-2</v>
      </c>
      <c r="AH119" s="32">
        <f t="shared" si="23"/>
        <v>0.53073405008612418</v>
      </c>
      <c r="AI119" s="33">
        <f t="shared" si="24"/>
        <v>0.21900577271588012</v>
      </c>
      <c r="AJ119" s="34">
        <f t="shared" si="25"/>
        <v>2.7811958240863901</v>
      </c>
      <c r="AK119" s="16">
        <f t="shared" si="26"/>
        <v>0.18615490680849808</v>
      </c>
      <c r="AL119" s="16">
        <f t="shared" si="33"/>
        <v>2.3640164504734318</v>
      </c>
      <c r="AM119" s="27">
        <f t="shared" si="42"/>
        <v>186.15490680849808</v>
      </c>
      <c r="AN119" s="27">
        <f t="shared" si="42"/>
        <v>2364.0164504734316</v>
      </c>
      <c r="AO119" s="29" t="e">
        <f t="shared" si="34"/>
        <v>#VALUE!</v>
      </c>
      <c r="AP119" s="29" t="e">
        <f t="shared" si="35"/>
        <v>#VALUE!</v>
      </c>
      <c r="AQ119" s="27">
        <f t="shared" si="27"/>
        <v>12.69918956745712</v>
      </c>
      <c r="AR119" s="14">
        <f t="shared" si="28"/>
        <v>3272.9367885676988</v>
      </c>
      <c r="AS119" s="25">
        <v>0.36620000000000003</v>
      </c>
      <c r="AT119" s="22">
        <f t="shared" si="29"/>
        <v>1.546441124622445</v>
      </c>
      <c r="AU119" s="22">
        <f t="shared" si="30"/>
        <v>1.1802411246224449</v>
      </c>
      <c r="AV119" s="15"/>
      <c r="AW119" s="22"/>
      <c r="AX119" s="34">
        <f t="shared" si="31"/>
        <v>11802.41124622445</v>
      </c>
      <c r="AY119" s="14">
        <f t="shared" si="32"/>
        <v>73.539914952694048</v>
      </c>
      <c r="AZ119" s="25">
        <v>1.0819000000000001</v>
      </c>
      <c r="BA119" s="22">
        <f t="shared" si="36"/>
        <v>1.1919577770977576</v>
      </c>
      <c r="BB119" s="38">
        <f t="shared" si="37"/>
        <v>0.11005777709775755</v>
      </c>
      <c r="BC119" s="58">
        <f t="shared" si="40"/>
        <v>2.6662965403669263</v>
      </c>
      <c r="BD119" s="38">
        <f t="shared" si="41"/>
        <v>2.9344667031622529</v>
      </c>
      <c r="BE119" s="38">
        <f t="shared" si="38"/>
        <v>1100.5777709775755</v>
      </c>
    </row>
    <row r="120" spans="1:57" ht="15.75">
      <c r="A120" s="138">
        <v>70</v>
      </c>
      <c r="B120" s="139">
        <v>3</v>
      </c>
      <c r="C120" s="140" t="s">
        <v>421</v>
      </c>
      <c r="D120" s="140" t="s">
        <v>424</v>
      </c>
      <c r="E120" s="140" t="s">
        <v>410</v>
      </c>
      <c r="F120" s="140" t="s">
        <v>480</v>
      </c>
      <c r="G120" s="140"/>
      <c r="H120" s="140" t="s">
        <v>483</v>
      </c>
      <c r="I120" s="140">
        <v>100</v>
      </c>
      <c r="J120" s="141">
        <v>5.69</v>
      </c>
      <c r="K120" s="140">
        <v>15</v>
      </c>
      <c r="L120" s="140" t="s">
        <v>83</v>
      </c>
      <c r="M120" s="140">
        <v>3</v>
      </c>
      <c r="N120"/>
      <c r="O120"/>
      <c r="P120"/>
      <c r="Q120" s="108">
        <v>10</v>
      </c>
      <c r="R120" s="53">
        <v>8</v>
      </c>
      <c r="S120" s="53">
        <f t="shared" si="21"/>
        <v>2</v>
      </c>
      <c r="T120" s="82">
        <v>46</v>
      </c>
      <c r="U120" s="82" t="s">
        <v>315</v>
      </c>
      <c r="V120" s="83">
        <v>5.3466639999999996</v>
      </c>
      <c r="W120" s="83">
        <v>2410.5302753931905</v>
      </c>
      <c r="X120" s="81">
        <v>4.2009005000000004</v>
      </c>
      <c r="Y120" s="81">
        <v>1.1727573295017126</v>
      </c>
      <c r="Z120" s="71" t="s">
        <v>54</v>
      </c>
      <c r="AA120" s="75">
        <v>2.9111787500000004</v>
      </c>
      <c r="AB120" s="75">
        <v>7.1289713486518078</v>
      </c>
      <c r="AC120" s="75">
        <v>2.0592423593750002</v>
      </c>
      <c r="AD120" s="75">
        <v>-26.716135928040213</v>
      </c>
      <c r="AE120" s="75">
        <v>2.375375</v>
      </c>
      <c r="AF120" s="75">
        <v>2.375375</v>
      </c>
      <c r="AG120" s="32">
        <f t="shared" si="22"/>
        <v>2.3009777396870598E-2</v>
      </c>
      <c r="AH120" s="32">
        <f t="shared" si="23"/>
        <v>0.53073405008612418</v>
      </c>
      <c r="AI120" s="33">
        <f t="shared" si="24"/>
        <v>0.12302554845586172</v>
      </c>
      <c r="AJ120" s="34">
        <f t="shared" si="25"/>
        <v>2.2295609363738245</v>
      </c>
      <c r="AK120" s="16">
        <f t="shared" si="26"/>
        <v>0.10457171618748247</v>
      </c>
      <c r="AL120" s="16">
        <f t="shared" si="33"/>
        <v>1.8951267959177507</v>
      </c>
      <c r="AM120" s="27">
        <f t="shared" si="42"/>
        <v>104.57171618748247</v>
      </c>
      <c r="AN120" s="27">
        <f t="shared" si="42"/>
        <v>1895.1267959177508</v>
      </c>
      <c r="AO120" s="29" t="e">
        <f t="shared" si="34"/>
        <v>#VALUE!</v>
      </c>
      <c r="AP120" s="29" t="e">
        <f t="shared" si="35"/>
        <v>#VALUE!</v>
      </c>
      <c r="AQ120" s="27">
        <f t="shared" si="27"/>
        <v>18.122747383432568</v>
      </c>
      <c r="AR120" s="14">
        <f t="shared" si="28"/>
        <v>2405.3813040445389</v>
      </c>
      <c r="AS120" s="25">
        <v>0.36620000000000003</v>
      </c>
      <c r="AT120" s="22">
        <f t="shared" si="29"/>
        <v>1.2363414208498928</v>
      </c>
      <c r="AU120" s="22">
        <f t="shared" si="30"/>
        <v>0.87014142084989277</v>
      </c>
      <c r="AV120" s="15"/>
      <c r="AW120" s="22"/>
      <c r="AX120" s="34">
        <f t="shared" si="31"/>
        <v>8701.4142084989289</v>
      </c>
      <c r="AY120" s="14">
        <f t="shared" si="32"/>
        <v>1.8588932575419246</v>
      </c>
      <c r="AZ120" s="25">
        <v>1.0819000000000001</v>
      </c>
      <c r="BA120" s="22">
        <f t="shared" si="36"/>
        <v>1.1132559273807388</v>
      </c>
      <c r="BB120" s="38">
        <f t="shared" si="37"/>
        <v>3.1355927380738668E-2</v>
      </c>
      <c r="BC120" s="58">
        <f t="shared" si="40"/>
        <v>2.1389785459570616</v>
      </c>
      <c r="BD120" s="38">
        <f t="shared" si="41"/>
        <v>0.67069655955987606</v>
      </c>
      <c r="BE120" s="38">
        <f t="shared" si="38"/>
        <v>313.55927380738666</v>
      </c>
    </row>
    <row r="121" spans="1:57" ht="15.75">
      <c r="A121" s="138">
        <v>71</v>
      </c>
      <c r="B121" s="139">
        <v>3</v>
      </c>
      <c r="C121" s="140" t="s">
        <v>423</v>
      </c>
      <c r="D121" s="140" t="s">
        <v>414</v>
      </c>
      <c r="E121" s="140" t="s">
        <v>410</v>
      </c>
      <c r="F121" s="140" t="s">
        <v>480</v>
      </c>
      <c r="G121" s="140"/>
      <c r="H121" s="140" t="s">
        <v>483</v>
      </c>
      <c r="I121" s="140">
        <v>100</v>
      </c>
      <c r="J121" s="141">
        <v>11.82</v>
      </c>
      <c r="K121" s="140">
        <v>15</v>
      </c>
      <c r="L121" s="140" t="s">
        <v>84</v>
      </c>
      <c r="M121" s="140">
        <v>3</v>
      </c>
      <c r="N121"/>
      <c r="O121"/>
      <c r="P121"/>
      <c r="Q121" s="108">
        <v>10</v>
      </c>
      <c r="R121" s="53">
        <v>8</v>
      </c>
      <c r="S121" s="53">
        <f t="shared" ref="S121:S178" si="43">Q121-R121</f>
        <v>2</v>
      </c>
      <c r="T121" s="82">
        <v>48</v>
      </c>
      <c r="U121" s="82" t="s">
        <v>317</v>
      </c>
      <c r="V121" s="83">
        <v>15.075529</v>
      </c>
      <c r="W121" s="83">
        <v>1091.9791013905324</v>
      </c>
      <c r="X121" s="81">
        <v>4.4561760000000001</v>
      </c>
      <c r="Y121" s="81">
        <v>7.4982455973012563</v>
      </c>
      <c r="Z121" s="71" t="s">
        <v>54</v>
      </c>
      <c r="AA121" s="75">
        <v>2.9111787500000004</v>
      </c>
      <c r="AB121" s="75">
        <v>7.1289713486518078</v>
      </c>
      <c r="AC121" s="75">
        <v>2.0592423593750002</v>
      </c>
      <c r="AD121" s="75">
        <v>-26.716135928040213</v>
      </c>
      <c r="AE121" s="75">
        <v>2.375375</v>
      </c>
      <c r="AF121" s="75">
        <v>2.375375</v>
      </c>
      <c r="AG121" s="32">
        <f t="shared" ref="AG121:AG178" si="44">((2.82/100)*AE121)/AA121</f>
        <v>2.3009777396870598E-2</v>
      </c>
      <c r="AH121" s="32">
        <f t="shared" ref="AH121:AH178" si="45">((46.01/100)*AF121)/AC121</f>
        <v>0.53073405008612418</v>
      </c>
      <c r="AI121" s="33">
        <f t="shared" ref="AI121:AI178" si="46">V121*AG121</f>
        <v>0.34688456643006721</v>
      </c>
      <c r="AJ121" s="34">
        <f t="shared" ref="AJ121:AJ178" si="47">X121*AH121</f>
        <v>2.3650443363765845</v>
      </c>
      <c r="AK121" s="16">
        <f t="shared" ref="AK121:AK178" si="48">((AI121/K121)*(100+S121))/(R121)</f>
        <v>0.29485188146555713</v>
      </c>
      <c r="AL121" s="16">
        <f t="shared" ref="AL121:AL179" si="49">((AJ121/K121)*(100+S121))/(R121)</f>
        <v>2.0102876859200967</v>
      </c>
      <c r="AM121" s="27">
        <f t="shared" si="42"/>
        <v>294.85188146555714</v>
      </c>
      <c r="AN121" s="27">
        <f t="shared" si="42"/>
        <v>2010.2876859200967</v>
      </c>
      <c r="AO121" s="29" t="e">
        <f t="shared" ref="AO121:AO133" si="50">AI121*100/Z121</f>
        <v>#VALUE!</v>
      </c>
      <c r="AP121" s="29" t="e">
        <f t="shared" ref="AP121:AP133" si="51">AJ121*100/Z121</f>
        <v>#VALUE!</v>
      </c>
      <c r="AQ121" s="27">
        <f t="shared" ref="AQ121:AQ178" si="52">AJ121/AI121</f>
        <v>6.8179578028398193</v>
      </c>
      <c r="AR121" s="14">
        <f t="shared" ref="AR121:AR178" si="53">W121+(1.98-AB121)</f>
        <v>1086.8301300418805</v>
      </c>
      <c r="AS121" s="25">
        <v>0.36620000000000003</v>
      </c>
      <c r="AT121" s="22">
        <f t="shared" ref="AT121:AT178" si="54">100*0.003676*(AR121/1000+1)/(1+0.003676*(AR121/1000+1))</f>
        <v>0.76127884301466653</v>
      </c>
      <c r="AU121" s="22">
        <f t="shared" ref="AU121:AU178" si="55">AT121-AS121</f>
        <v>0.3950788430146665</v>
      </c>
      <c r="AV121" s="15"/>
      <c r="AW121" s="22"/>
      <c r="AX121" s="34">
        <f t="shared" ref="AX121:AX178" si="56">(((AI121*(AU121%))/AI121)*1000)*1000</f>
        <v>3950.7884301466652</v>
      </c>
      <c r="AY121" s="14">
        <f t="shared" ref="AY121:AY178" si="57">Y121+(-26.03-AD121)</f>
        <v>8.1843815253414682</v>
      </c>
      <c r="AZ121" s="25">
        <v>1.0819000000000001</v>
      </c>
      <c r="BA121" s="22">
        <f t="shared" ref="BA121:BA133" si="58">100*0.011237*(AY121/1000+1)/(1+0.011237*(AY121/1000+1))</f>
        <v>1.1202060115788395</v>
      </c>
      <c r="BB121" s="38">
        <f t="shared" ref="BB121:BB133" si="59">BA121-AZ121</f>
        <v>3.8306011578839394E-2</v>
      </c>
      <c r="BC121" s="58">
        <f t="shared" si="40"/>
        <v>2.2684896344626</v>
      </c>
      <c r="BD121" s="38">
        <f t="shared" si="41"/>
        <v>0.86896790204201513</v>
      </c>
      <c r="BE121" s="38">
        <f t="shared" ref="BE121:BE133" si="60">(((AJ121*(BB121%))/AJ121)*1000)*1000</f>
        <v>383.06011578839394</v>
      </c>
    </row>
    <row r="122" spans="1:57" ht="15.75">
      <c r="A122" s="138">
        <v>72</v>
      </c>
      <c r="B122" s="139">
        <v>3</v>
      </c>
      <c r="C122" s="140" t="s">
        <v>425</v>
      </c>
      <c r="D122" s="140" t="s">
        <v>409</v>
      </c>
      <c r="E122" s="140" t="s">
        <v>410</v>
      </c>
      <c r="F122" s="140" t="s">
        <v>480</v>
      </c>
      <c r="G122" s="140"/>
      <c r="H122" s="140" t="s">
        <v>483</v>
      </c>
      <c r="I122" s="140">
        <v>100</v>
      </c>
      <c r="J122" s="141">
        <v>8.3800000000000008</v>
      </c>
      <c r="K122" s="140">
        <v>15</v>
      </c>
      <c r="L122" s="140" t="s">
        <v>85</v>
      </c>
      <c r="M122" s="140">
        <v>3</v>
      </c>
      <c r="N122"/>
      <c r="O122"/>
      <c r="P122"/>
      <c r="Q122" s="108">
        <v>10</v>
      </c>
      <c r="R122" s="53">
        <v>8</v>
      </c>
      <c r="S122" s="53">
        <f t="shared" si="43"/>
        <v>2</v>
      </c>
      <c r="T122" s="80">
        <v>49</v>
      </c>
      <c r="U122" s="80" t="s">
        <v>318</v>
      </c>
      <c r="V122" s="81">
        <v>8.9974450000000008</v>
      </c>
      <c r="W122" s="81">
        <v>1414.5839607638891</v>
      </c>
      <c r="X122" s="83">
        <v>4.6198594999999996</v>
      </c>
      <c r="Y122" s="83">
        <v>-2.5895597228440437</v>
      </c>
      <c r="Z122" s="71" t="s">
        <v>54</v>
      </c>
      <c r="AA122" s="75">
        <v>2.9111787500000004</v>
      </c>
      <c r="AB122" s="75">
        <v>7.1289713486518078</v>
      </c>
      <c r="AC122" s="75">
        <v>2.0592423593750002</v>
      </c>
      <c r="AD122" s="75">
        <v>-26.716135928040213</v>
      </c>
      <c r="AE122" s="75">
        <v>2.375375</v>
      </c>
      <c r="AF122" s="75">
        <v>2.375375</v>
      </c>
      <c r="AG122" s="32">
        <f t="shared" si="44"/>
        <v>2.3009777396870598E-2</v>
      </c>
      <c r="AH122" s="32">
        <f t="shared" si="45"/>
        <v>0.53073405008612418</v>
      </c>
      <c r="AI122" s="33">
        <f t="shared" si="46"/>
        <v>0.20702920659058638</v>
      </c>
      <c r="AJ122" s="34">
        <f t="shared" si="47"/>
        <v>2.4519167432638564</v>
      </c>
      <c r="AK122" s="16">
        <f t="shared" si="48"/>
        <v>0.17597482560199842</v>
      </c>
      <c r="AL122" s="16">
        <f t="shared" si="49"/>
        <v>2.0841292317742779</v>
      </c>
      <c r="AM122" s="27">
        <f t="shared" si="42"/>
        <v>175.97482560199842</v>
      </c>
      <c r="AN122" s="27">
        <f t="shared" si="42"/>
        <v>2084.1292317742777</v>
      </c>
      <c r="AO122" s="29" t="e">
        <f t="shared" si="50"/>
        <v>#VALUE!</v>
      </c>
      <c r="AP122" s="29" t="e">
        <f t="shared" si="51"/>
        <v>#VALUE!</v>
      </c>
      <c r="AQ122" s="27">
        <f t="shared" si="52"/>
        <v>11.843337390132978</v>
      </c>
      <c r="AR122" s="14">
        <f t="shared" si="53"/>
        <v>1409.4349894152372</v>
      </c>
      <c r="AS122" s="25">
        <v>0.36620000000000003</v>
      </c>
      <c r="AT122" s="22">
        <f t="shared" si="54"/>
        <v>0.8779323821137559</v>
      </c>
      <c r="AU122" s="22">
        <f t="shared" si="55"/>
        <v>0.51173238211375582</v>
      </c>
      <c r="AV122" s="15"/>
      <c r="AW122" s="22"/>
      <c r="AX122" s="34">
        <f t="shared" si="56"/>
        <v>5117.3238211375574</v>
      </c>
      <c r="AY122" s="14">
        <f t="shared" si="57"/>
        <v>-1.9034237948038317</v>
      </c>
      <c r="AZ122" s="25">
        <v>1.0819000000000001</v>
      </c>
      <c r="BA122" s="22">
        <f t="shared" si="58"/>
        <v>1.1091216455025739</v>
      </c>
      <c r="BB122" s="38">
        <f t="shared" si="59"/>
        <v>2.7221645502573777E-2</v>
      </c>
      <c r="BC122" s="58">
        <f t="shared" si="40"/>
        <v>2.3515325753456708</v>
      </c>
      <c r="BD122" s="38">
        <f t="shared" si="41"/>
        <v>0.6401258615381421</v>
      </c>
      <c r="BE122" s="38">
        <f t="shared" si="60"/>
        <v>272.21645502573779</v>
      </c>
    </row>
    <row r="123" spans="1:57" ht="15.75">
      <c r="A123" s="138">
        <v>73</v>
      </c>
      <c r="B123" s="139">
        <v>4</v>
      </c>
      <c r="C123" s="140" t="s">
        <v>408</v>
      </c>
      <c r="D123" s="140" t="s">
        <v>416</v>
      </c>
      <c r="E123" s="140" t="s">
        <v>410</v>
      </c>
      <c r="F123" s="140" t="s">
        <v>480</v>
      </c>
      <c r="G123" s="140"/>
      <c r="H123" s="140" t="s">
        <v>484</v>
      </c>
      <c r="I123" s="140">
        <v>100</v>
      </c>
      <c r="J123" s="141">
        <v>8.2200000000000006</v>
      </c>
      <c r="K123" s="140">
        <v>15</v>
      </c>
      <c r="L123" s="140" t="s">
        <v>86</v>
      </c>
      <c r="M123" s="140">
        <v>3</v>
      </c>
      <c r="N123"/>
      <c r="O123"/>
      <c r="P123"/>
      <c r="Q123" s="108">
        <v>10</v>
      </c>
      <c r="R123" s="53">
        <v>8</v>
      </c>
      <c r="S123" s="53">
        <f t="shared" si="43"/>
        <v>2</v>
      </c>
      <c r="T123" s="82">
        <v>50</v>
      </c>
      <c r="U123" s="82" t="s">
        <v>319</v>
      </c>
      <c r="V123" s="83">
        <v>4.6619675000000003</v>
      </c>
      <c r="W123" s="83">
        <v>1303.348876383104</v>
      </c>
      <c r="X123" s="81">
        <v>2.0741143750000002</v>
      </c>
      <c r="Y123" s="81">
        <v>11.019549195145757</v>
      </c>
      <c r="Z123" s="71" t="s">
        <v>54</v>
      </c>
      <c r="AA123" s="75">
        <v>2.9111787500000004</v>
      </c>
      <c r="AB123" s="75">
        <v>7.1289713486518078</v>
      </c>
      <c r="AC123" s="75">
        <v>2.0592423593750002</v>
      </c>
      <c r="AD123" s="75">
        <v>-26.716135928040213</v>
      </c>
      <c r="AE123" s="75">
        <v>2.375375</v>
      </c>
      <c r="AF123" s="75">
        <v>2.375375</v>
      </c>
      <c r="AG123" s="32">
        <f t="shared" si="44"/>
        <v>2.3009777396870598E-2</v>
      </c>
      <c r="AH123" s="32">
        <f t="shared" si="45"/>
        <v>0.53073405008612418</v>
      </c>
      <c r="AI123" s="33">
        <f t="shared" si="46"/>
        <v>0.10727083440644533</v>
      </c>
      <c r="AJ123" s="34">
        <f t="shared" si="47"/>
        <v>1.1008031225856003</v>
      </c>
      <c r="AK123" s="16">
        <f t="shared" si="48"/>
        <v>9.1180209245478538E-2</v>
      </c>
      <c r="AL123" s="16">
        <f t="shared" si="49"/>
        <v>0.93568265419776031</v>
      </c>
      <c r="AM123" s="27">
        <f t="shared" si="42"/>
        <v>91.180209245478537</v>
      </c>
      <c r="AN123" s="27">
        <f t="shared" si="42"/>
        <v>935.68265419776026</v>
      </c>
      <c r="AO123" s="29" t="e">
        <f t="shared" si="50"/>
        <v>#VALUE!</v>
      </c>
      <c r="AP123" s="29" t="e">
        <f t="shared" si="51"/>
        <v>#VALUE!</v>
      </c>
      <c r="AQ123" s="27">
        <f t="shared" si="52"/>
        <v>10.261905099150221</v>
      </c>
      <c r="AR123" s="14">
        <f t="shared" si="53"/>
        <v>1298.1999050344521</v>
      </c>
      <c r="AS123" s="25">
        <v>0.36620000000000003</v>
      </c>
      <c r="AT123" s="22">
        <f t="shared" si="54"/>
        <v>0.83774089681270836</v>
      </c>
      <c r="AU123" s="22">
        <f t="shared" si="55"/>
        <v>0.47154089681270833</v>
      </c>
      <c r="AV123" s="15"/>
      <c r="AW123" s="22"/>
      <c r="AX123" s="34">
        <f t="shared" si="56"/>
        <v>4715.4089681270825</v>
      </c>
      <c r="AY123" s="14">
        <f t="shared" si="57"/>
        <v>11.705685123185969</v>
      </c>
      <c r="AZ123" s="25">
        <v>1.0819000000000001</v>
      </c>
      <c r="BA123" s="22">
        <f t="shared" si="58"/>
        <v>1.1240745949921012</v>
      </c>
      <c r="BB123" s="38">
        <f t="shared" si="59"/>
        <v>4.2174594992101078E-2</v>
      </c>
      <c r="BC123" s="58">
        <f t="shared" si="40"/>
        <v>1.0599780697373433</v>
      </c>
      <c r="BD123" s="38">
        <f t="shared" si="41"/>
        <v>0.44704145791681527</v>
      </c>
      <c r="BE123" s="38">
        <f t="shared" si="60"/>
        <v>421.74594992101078</v>
      </c>
    </row>
    <row r="124" spans="1:57" ht="15.75">
      <c r="A124" s="138">
        <v>74</v>
      </c>
      <c r="B124" s="139">
        <v>4</v>
      </c>
      <c r="C124" s="140" t="s">
        <v>413</v>
      </c>
      <c r="D124" s="140" t="s">
        <v>409</v>
      </c>
      <c r="E124" s="140" t="s">
        <v>410</v>
      </c>
      <c r="F124" s="140" t="s">
        <v>480</v>
      </c>
      <c r="G124" s="140"/>
      <c r="H124" s="140" t="s">
        <v>484</v>
      </c>
      <c r="I124" s="140">
        <v>100</v>
      </c>
      <c r="J124" s="141">
        <v>5.08</v>
      </c>
      <c r="K124" s="140">
        <v>15</v>
      </c>
      <c r="L124" s="140" t="s">
        <v>87</v>
      </c>
      <c r="M124" s="140">
        <v>3</v>
      </c>
      <c r="N124"/>
      <c r="O124"/>
      <c r="P124"/>
      <c r="Q124" s="108">
        <v>10</v>
      </c>
      <c r="R124" s="53">
        <v>8</v>
      </c>
      <c r="S124" s="53">
        <f t="shared" si="43"/>
        <v>2</v>
      </c>
      <c r="T124" s="80">
        <v>51</v>
      </c>
      <c r="U124" s="80" t="s">
        <v>320</v>
      </c>
      <c r="V124" s="81">
        <v>13.071929000000001</v>
      </c>
      <c r="W124" s="81">
        <v>79.752210832282586</v>
      </c>
      <c r="X124" s="83">
        <v>7.9719800000000003</v>
      </c>
      <c r="Y124" s="83">
        <v>-27.168087400658305</v>
      </c>
      <c r="Z124" s="71" t="s">
        <v>54</v>
      </c>
      <c r="AA124" s="75">
        <v>2.9111787500000004</v>
      </c>
      <c r="AB124" s="75">
        <v>7.1289713486518078</v>
      </c>
      <c r="AC124" s="75">
        <v>2.0592423593750002</v>
      </c>
      <c r="AD124" s="75">
        <v>-26.716135928040213</v>
      </c>
      <c r="AE124" s="75">
        <v>2.375375</v>
      </c>
      <c r="AF124" s="75">
        <v>2.375375</v>
      </c>
      <c r="AG124" s="32">
        <f t="shared" si="44"/>
        <v>2.3009777396870598E-2</v>
      </c>
      <c r="AH124" s="32">
        <f t="shared" si="45"/>
        <v>0.53073405008612418</v>
      </c>
      <c r="AI124" s="33">
        <f t="shared" si="46"/>
        <v>0.30078217643769728</v>
      </c>
      <c r="AJ124" s="34">
        <f t="shared" si="47"/>
        <v>4.2310012326055801</v>
      </c>
      <c r="AK124" s="16">
        <f t="shared" si="48"/>
        <v>0.2556648499720427</v>
      </c>
      <c r="AL124" s="16">
        <f t="shared" si="49"/>
        <v>3.5963510477147436</v>
      </c>
      <c r="AM124" s="27">
        <f t="shared" si="42"/>
        <v>255.6648499720427</v>
      </c>
      <c r="AN124" s="27">
        <f t="shared" si="42"/>
        <v>3596.3510477147433</v>
      </c>
      <c r="AO124" s="29" t="e">
        <f t="shared" si="50"/>
        <v>#VALUE!</v>
      </c>
      <c r="AP124" s="29" t="e">
        <f t="shared" si="51"/>
        <v>#VALUE!</v>
      </c>
      <c r="AQ124" s="27">
        <f t="shared" si="52"/>
        <v>14.066662069924783</v>
      </c>
      <c r="AR124" s="14">
        <f t="shared" si="53"/>
        <v>74.603239483630773</v>
      </c>
      <c r="AS124" s="25">
        <v>0.36620000000000003</v>
      </c>
      <c r="AT124" s="22">
        <f t="shared" si="54"/>
        <v>0.39346984990082334</v>
      </c>
      <c r="AU124" s="22">
        <f t="shared" si="55"/>
        <v>2.7269849900823318E-2</v>
      </c>
      <c r="AV124" s="15"/>
      <c r="AW124" s="22"/>
      <c r="AX124" s="34">
        <f t="shared" si="56"/>
        <v>272.69849900823317</v>
      </c>
      <c r="AY124" s="14">
        <f t="shared" si="57"/>
        <v>-26.481951472618093</v>
      </c>
      <c r="AZ124" s="25">
        <v>1.0819000000000001</v>
      </c>
      <c r="BA124" s="22">
        <f t="shared" si="58"/>
        <v>1.0821046315803458</v>
      </c>
      <c r="BB124" s="38">
        <f t="shared" si="59"/>
        <v>2.0463158034567108E-4</v>
      </c>
      <c r="BC124" s="58">
        <f t="shared" si="40"/>
        <v>4.0521923517704783</v>
      </c>
      <c r="BD124" s="38">
        <f t="shared" si="41"/>
        <v>8.2920652480743453E-3</v>
      </c>
      <c r="BE124" s="38">
        <f t="shared" si="60"/>
        <v>2.0463158034567108</v>
      </c>
    </row>
    <row r="125" spans="1:57" ht="15.75">
      <c r="A125" s="138">
        <v>75</v>
      </c>
      <c r="B125" s="139">
        <v>4</v>
      </c>
      <c r="C125" s="140" t="s">
        <v>415</v>
      </c>
      <c r="D125" s="140" t="s">
        <v>418</v>
      </c>
      <c r="E125" s="140" t="s">
        <v>410</v>
      </c>
      <c r="F125" s="140" t="s">
        <v>480</v>
      </c>
      <c r="G125" s="140"/>
      <c r="H125" s="140" t="s">
        <v>484</v>
      </c>
      <c r="I125" s="140">
        <v>100</v>
      </c>
      <c r="J125" s="141">
        <v>8.86</v>
      </c>
      <c r="K125" s="140">
        <v>15</v>
      </c>
      <c r="L125" s="140" t="s">
        <v>88</v>
      </c>
      <c r="M125" s="140">
        <v>3</v>
      </c>
      <c r="N125"/>
      <c r="O125"/>
      <c r="P125"/>
      <c r="Q125" s="108">
        <v>10</v>
      </c>
      <c r="R125" s="53">
        <v>8</v>
      </c>
      <c r="S125" s="53">
        <f t="shared" si="43"/>
        <v>2</v>
      </c>
      <c r="T125" s="82">
        <v>52</v>
      </c>
      <c r="U125" s="82" t="s">
        <v>321</v>
      </c>
      <c r="V125" s="83">
        <v>2.2052965000000002</v>
      </c>
      <c r="W125" s="83">
        <v>3103.1346660269296</v>
      </c>
      <c r="X125" s="81">
        <v>1.0712729999999999</v>
      </c>
      <c r="Y125" s="81">
        <v>53.75442485990542</v>
      </c>
      <c r="Z125" s="71" t="s">
        <v>54</v>
      </c>
      <c r="AA125" s="75">
        <v>2.9111787500000004</v>
      </c>
      <c r="AB125" s="75">
        <v>7.1289713486518078</v>
      </c>
      <c r="AC125" s="75">
        <v>2.0592423593750002</v>
      </c>
      <c r="AD125" s="75">
        <v>-26.716135928040213</v>
      </c>
      <c r="AE125" s="75">
        <v>2.375375</v>
      </c>
      <c r="AF125" s="75">
        <v>2.375375</v>
      </c>
      <c r="AG125" s="32">
        <f t="shared" si="44"/>
        <v>2.3009777396870598E-2</v>
      </c>
      <c r="AH125" s="32">
        <f t="shared" si="45"/>
        <v>0.53073405008612418</v>
      </c>
      <c r="AI125" s="33">
        <f t="shared" si="46"/>
        <v>5.0743381559097842E-2</v>
      </c>
      <c r="AJ125" s="34">
        <f t="shared" si="47"/>
        <v>0.56856105803791246</v>
      </c>
      <c r="AK125" s="16">
        <f t="shared" si="48"/>
        <v>4.3131874325233167E-2</v>
      </c>
      <c r="AL125" s="16">
        <f t="shared" si="49"/>
        <v>0.48327689933222562</v>
      </c>
      <c r="AM125" s="27">
        <f t="shared" si="42"/>
        <v>43.13187432523317</v>
      </c>
      <c r="AN125" s="27">
        <f t="shared" si="42"/>
        <v>483.27689933222564</v>
      </c>
      <c r="AO125" s="29" t="e">
        <f t="shared" si="50"/>
        <v>#VALUE!</v>
      </c>
      <c r="AP125" s="29" t="e">
        <f t="shared" si="51"/>
        <v>#VALUE!</v>
      </c>
      <c r="AQ125" s="27">
        <f t="shared" si="52"/>
        <v>11.204634783272036</v>
      </c>
      <c r="AR125" s="14">
        <f t="shared" si="53"/>
        <v>3097.9856946782779</v>
      </c>
      <c r="AS125" s="25">
        <v>0.36620000000000003</v>
      </c>
      <c r="AT125" s="22">
        <f t="shared" si="54"/>
        <v>1.4840633214827075</v>
      </c>
      <c r="AU125" s="22">
        <f t="shared" si="55"/>
        <v>1.1178633214827074</v>
      </c>
      <c r="AV125" s="15"/>
      <c r="AW125" s="22"/>
      <c r="AX125" s="34">
        <f t="shared" si="56"/>
        <v>11178.633214827074</v>
      </c>
      <c r="AY125" s="14">
        <f t="shared" si="57"/>
        <v>54.440560787945628</v>
      </c>
      <c r="AZ125" s="25">
        <v>1.0819000000000001</v>
      </c>
      <c r="BA125" s="22">
        <f t="shared" si="58"/>
        <v>1.1709999738779056</v>
      </c>
      <c r="BB125" s="38">
        <f t="shared" si="59"/>
        <v>8.909997387790547E-2</v>
      </c>
      <c r="BC125" s="58">
        <f t="shared" si="40"/>
        <v>0.55119803375801435</v>
      </c>
      <c r="BD125" s="38">
        <f t="shared" si="41"/>
        <v>0.49111730409391935</v>
      </c>
      <c r="BE125" s="38">
        <f t="shared" si="60"/>
        <v>890.99973877905461</v>
      </c>
    </row>
    <row r="126" spans="1:57" ht="15.75">
      <c r="A126" s="138">
        <v>76</v>
      </c>
      <c r="B126" s="139">
        <v>4</v>
      </c>
      <c r="C126" s="140" t="s">
        <v>417</v>
      </c>
      <c r="D126" s="140" t="s">
        <v>424</v>
      </c>
      <c r="E126" s="140" t="s">
        <v>410</v>
      </c>
      <c r="F126" s="140" t="s">
        <v>480</v>
      </c>
      <c r="G126" s="140"/>
      <c r="H126" s="140" t="s">
        <v>484</v>
      </c>
      <c r="I126" s="140">
        <v>100</v>
      </c>
      <c r="J126" s="141">
        <v>4.2300000000000004</v>
      </c>
      <c r="K126" s="140">
        <v>15</v>
      </c>
      <c r="L126" s="140" t="s">
        <v>89</v>
      </c>
      <c r="M126" s="140">
        <v>3</v>
      </c>
      <c r="N126"/>
      <c r="O126"/>
      <c r="P126"/>
      <c r="Q126" s="108">
        <v>10</v>
      </c>
      <c r="R126" s="53">
        <v>8</v>
      </c>
      <c r="S126" s="53">
        <f t="shared" si="43"/>
        <v>2</v>
      </c>
      <c r="T126" s="80">
        <v>53</v>
      </c>
      <c r="U126" s="80" t="s">
        <v>322</v>
      </c>
      <c r="V126" s="81">
        <v>12.106196000000001</v>
      </c>
      <c r="W126" s="81">
        <v>1782.8365857901185</v>
      </c>
      <c r="X126" s="83">
        <v>5.2109505</v>
      </c>
      <c r="Y126" s="83">
        <v>4.6004039776149277</v>
      </c>
      <c r="Z126" s="71" t="s">
        <v>54</v>
      </c>
      <c r="AA126" s="75">
        <v>2.9111787500000004</v>
      </c>
      <c r="AB126" s="75">
        <v>7.1289713486518078</v>
      </c>
      <c r="AC126" s="75">
        <v>2.0592423593750002</v>
      </c>
      <c r="AD126" s="75">
        <v>-26.716135928040213</v>
      </c>
      <c r="AE126" s="75">
        <v>2.375375</v>
      </c>
      <c r="AF126" s="75">
        <v>2.375375</v>
      </c>
      <c r="AG126" s="32">
        <f t="shared" si="44"/>
        <v>2.3009777396870598E-2</v>
      </c>
      <c r="AH126" s="32">
        <f t="shared" si="45"/>
        <v>0.53073405008612418</v>
      </c>
      <c r="AI126" s="33">
        <f t="shared" si="46"/>
        <v>0.27856087508288524</v>
      </c>
      <c r="AJ126" s="34">
        <f t="shared" si="47"/>
        <v>2.7656288636633137</v>
      </c>
      <c r="AK126" s="16">
        <f t="shared" si="48"/>
        <v>0.23677674382045247</v>
      </c>
      <c r="AL126" s="16">
        <f t="shared" si="49"/>
        <v>2.3507845341138167</v>
      </c>
      <c r="AM126" s="27">
        <f t="shared" si="42"/>
        <v>236.77674382045248</v>
      </c>
      <c r="AN126" s="27">
        <f t="shared" si="42"/>
        <v>2350.7845341138168</v>
      </c>
      <c r="AO126" s="29" t="e">
        <f t="shared" si="50"/>
        <v>#VALUE!</v>
      </c>
      <c r="AP126" s="29" t="e">
        <f t="shared" si="51"/>
        <v>#VALUE!</v>
      </c>
      <c r="AQ126" s="27">
        <f t="shared" si="52"/>
        <v>9.9282746108562669</v>
      </c>
      <c r="AR126" s="14">
        <f t="shared" si="53"/>
        <v>1777.6876144414666</v>
      </c>
      <c r="AS126" s="25">
        <v>0.36620000000000003</v>
      </c>
      <c r="AT126" s="22">
        <f t="shared" si="54"/>
        <v>1.0107573465030129</v>
      </c>
      <c r="AU126" s="22">
        <f t="shared" si="55"/>
        <v>0.64455734650301277</v>
      </c>
      <c r="AV126" s="15"/>
      <c r="AW126" s="22"/>
      <c r="AX126" s="34">
        <f t="shared" si="56"/>
        <v>6445.5734650301274</v>
      </c>
      <c r="AY126" s="14">
        <f t="shared" si="57"/>
        <v>5.2865399056551396</v>
      </c>
      <c r="AZ126" s="25">
        <v>1.0819000000000001</v>
      </c>
      <c r="BA126" s="22">
        <f t="shared" si="58"/>
        <v>1.1170221504552316</v>
      </c>
      <c r="BB126" s="38">
        <f t="shared" si="59"/>
        <v>3.5122150455231482E-2</v>
      </c>
      <c r="BC126" s="58">
        <f t="shared" si="40"/>
        <v>2.6514157949097394</v>
      </c>
      <c r="BD126" s="38">
        <f t="shared" si="41"/>
        <v>0.93123424468197047</v>
      </c>
      <c r="BE126" s="38">
        <f t="shared" si="60"/>
        <v>351.2215045523148</v>
      </c>
    </row>
    <row r="127" spans="1:57" ht="15.75">
      <c r="A127" s="138">
        <v>77</v>
      </c>
      <c r="B127" s="139">
        <v>4</v>
      </c>
      <c r="C127" s="140" t="s">
        <v>419</v>
      </c>
      <c r="D127" s="140" t="s">
        <v>414</v>
      </c>
      <c r="E127" s="140" t="s">
        <v>410</v>
      </c>
      <c r="F127" s="140" t="s">
        <v>480</v>
      </c>
      <c r="G127" s="140"/>
      <c r="H127" s="140" t="s">
        <v>484</v>
      </c>
      <c r="I127" s="140">
        <v>100</v>
      </c>
      <c r="J127" s="141">
        <v>14.36</v>
      </c>
      <c r="K127" s="140">
        <v>15</v>
      </c>
      <c r="L127" s="140" t="s">
        <v>90</v>
      </c>
      <c r="M127" s="140">
        <v>3</v>
      </c>
      <c r="N127"/>
      <c r="O127"/>
      <c r="P127"/>
      <c r="Q127" s="108">
        <v>10</v>
      </c>
      <c r="R127" s="53">
        <v>8</v>
      </c>
      <c r="S127" s="53">
        <f t="shared" si="43"/>
        <v>2</v>
      </c>
      <c r="T127" s="82">
        <v>54</v>
      </c>
      <c r="U127" s="82" t="s">
        <v>323</v>
      </c>
      <c r="V127" s="83">
        <v>5.792948</v>
      </c>
      <c r="W127" s="83">
        <v>1528.1381544399071</v>
      </c>
      <c r="X127" s="81">
        <v>2.7313260000000001</v>
      </c>
      <c r="Y127" s="81">
        <v>6.0788092011114871</v>
      </c>
      <c r="Z127" s="71" t="s">
        <v>54</v>
      </c>
      <c r="AA127" s="75">
        <v>2.9111787500000004</v>
      </c>
      <c r="AB127" s="75">
        <v>7.1289713486518078</v>
      </c>
      <c r="AC127" s="75">
        <v>2.0592423593750002</v>
      </c>
      <c r="AD127" s="75">
        <v>-26.716135928040213</v>
      </c>
      <c r="AE127" s="75">
        <v>2.375375</v>
      </c>
      <c r="AF127" s="75">
        <v>2.375375</v>
      </c>
      <c r="AG127" s="32">
        <f t="shared" si="44"/>
        <v>2.3009777396870598E-2</v>
      </c>
      <c r="AH127" s="32">
        <f t="shared" si="45"/>
        <v>0.53073405008612418</v>
      </c>
      <c r="AI127" s="33">
        <f t="shared" si="46"/>
        <v>0.13329444395164675</v>
      </c>
      <c r="AJ127" s="34">
        <f t="shared" si="47"/>
        <v>1.4496077100855334</v>
      </c>
      <c r="AK127" s="16">
        <f t="shared" si="48"/>
        <v>0.11330027735889973</v>
      </c>
      <c r="AL127" s="16">
        <f t="shared" si="49"/>
        <v>1.2321665535727033</v>
      </c>
      <c r="AM127" s="27">
        <f t="shared" si="42"/>
        <v>113.30027735889973</v>
      </c>
      <c r="AN127" s="27">
        <f t="shared" si="42"/>
        <v>1232.1665535727034</v>
      </c>
      <c r="AO127" s="29" t="e">
        <f t="shared" si="50"/>
        <v>#VALUE!</v>
      </c>
      <c r="AP127" s="29" t="e">
        <f t="shared" si="51"/>
        <v>#VALUE!</v>
      </c>
      <c r="AQ127" s="27">
        <f t="shared" si="52"/>
        <v>10.875229807863455</v>
      </c>
      <c r="AR127" s="14">
        <f t="shared" si="53"/>
        <v>1522.9891830912552</v>
      </c>
      <c r="AS127" s="25">
        <v>0.36620000000000003</v>
      </c>
      <c r="AT127" s="22">
        <f t="shared" si="54"/>
        <v>0.9189282163921646</v>
      </c>
      <c r="AU127" s="22">
        <f t="shared" si="55"/>
        <v>0.55272821639216452</v>
      </c>
      <c r="AV127" s="15"/>
      <c r="AW127" s="22"/>
      <c r="AX127" s="34">
        <f t="shared" si="56"/>
        <v>5527.2821639216445</v>
      </c>
      <c r="AY127" s="14">
        <f t="shared" si="57"/>
        <v>6.7649451291516991</v>
      </c>
      <c r="AZ127" s="25">
        <v>1.0819000000000001</v>
      </c>
      <c r="BA127" s="22">
        <f t="shared" si="58"/>
        <v>1.1186465011866187</v>
      </c>
      <c r="BB127" s="38">
        <f t="shared" si="59"/>
        <v>3.6746501186618596E-2</v>
      </c>
      <c r="BC127" s="58">
        <f t="shared" si="40"/>
        <v>1.393406827813398</v>
      </c>
      <c r="BD127" s="38">
        <f t="shared" si="41"/>
        <v>0.51202825651687478</v>
      </c>
      <c r="BE127" s="38">
        <f t="shared" si="60"/>
        <v>367.46501186618599</v>
      </c>
    </row>
    <row r="128" spans="1:57" ht="15.75">
      <c r="A128" s="138">
        <v>78</v>
      </c>
      <c r="B128" s="139">
        <v>4</v>
      </c>
      <c r="C128" s="140" t="s">
        <v>421</v>
      </c>
      <c r="D128" s="140" t="s">
        <v>420</v>
      </c>
      <c r="E128" s="140" t="s">
        <v>410</v>
      </c>
      <c r="F128" s="140" t="s">
        <v>480</v>
      </c>
      <c r="G128" s="140"/>
      <c r="H128" s="140" t="s">
        <v>484</v>
      </c>
      <c r="I128" s="140">
        <v>100</v>
      </c>
      <c r="J128" s="141">
        <v>10.6</v>
      </c>
      <c r="K128" s="140">
        <v>15</v>
      </c>
      <c r="L128" s="140" t="s">
        <v>91</v>
      </c>
      <c r="M128" s="140">
        <v>3</v>
      </c>
      <c r="N128"/>
      <c r="O128"/>
      <c r="P128"/>
      <c r="Q128" s="108">
        <v>10</v>
      </c>
      <c r="R128" s="53">
        <v>8</v>
      </c>
      <c r="S128" s="53">
        <f t="shared" si="43"/>
        <v>2</v>
      </c>
      <c r="T128" s="80">
        <v>55</v>
      </c>
      <c r="U128" s="80" t="s">
        <v>324</v>
      </c>
      <c r="V128" s="81">
        <v>11.561659000000001</v>
      </c>
      <c r="W128" s="81">
        <v>1851.4776306749529</v>
      </c>
      <c r="X128" s="83">
        <v>4.8508089999999999</v>
      </c>
      <c r="Y128" s="83">
        <v>5.0006863357257565</v>
      </c>
      <c r="Z128" s="71" t="s">
        <v>54</v>
      </c>
      <c r="AA128" s="75">
        <v>2.9111787500000004</v>
      </c>
      <c r="AB128" s="75">
        <v>7.1289713486518078</v>
      </c>
      <c r="AC128" s="75">
        <v>2.0592423593750002</v>
      </c>
      <c r="AD128" s="75">
        <v>-26.716135928040213</v>
      </c>
      <c r="AE128" s="75">
        <v>2.375375</v>
      </c>
      <c r="AF128" s="75">
        <v>2.375375</v>
      </c>
      <c r="AG128" s="32">
        <f t="shared" si="44"/>
        <v>2.3009777396870598E-2</v>
      </c>
      <c r="AH128" s="32">
        <f t="shared" si="45"/>
        <v>0.53073405008612418</v>
      </c>
      <c r="AI128" s="33">
        <f t="shared" si="46"/>
        <v>0.26603119992852553</v>
      </c>
      <c r="AJ128" s="34">
        <f t="shared" si="47"/>
        <v>2.5744895067642219</v>
      </c>
      <c r="AK128" s="16">
        <f t="shared" si="48"/>
        <v>0.22612651993924671</v>
      </c>
      <c r="AL128" s="16">
        <f t="shared" si="49"/>
        <v>2.1883160807495887</v>
      </c>
      <c r="AM128" s="27">
        <f t="shared" si="42"/>
        <v>226.12651993924672</v>
      </c>
      <c r="AN128" s="27">
        <f t="shared" si="42"/>
        <v>2188.3160807495888</v>
      </c>
      <c r="AO128" s="29" t="e">
        <f t="shared" si="50"/>
        <v>#VALUE!</v>
      </c>
      <c r="AP128" s="29" t="e">
        <f t="shared" si="51"/>
        <v>#VALUE!</v>
      </c>
      <c r="AQ128" s="27">
        <f t="shared" si="52"/>
        <v>9.6773968897479268</v>
      </c>
      <c r="AR128" s="14">
        <f t="shared" si="53"/>
        <v>1846.328659326301</v>
      </c>
      <c r="AS128" s="25">
        <v>0.36620000000000003</v>
      </c>
      <c r="AT128" s="22">
        <f t="shared" si="54"/>
        <v>1.0354761206711844</v>
      </c>
      <c r="AU128" s="22">
        <f t="shared" si="55"/>
        <v>0.66927612067118436</v>
      </c>
      <c r="AV128" s="15"/>
      <c r="AW128" s="22"/>
      <c r="AX128" s="34">
        <f t="shared" si="56"/>
        <v>6692.7612067118444</v>
      </c>
      <c r="AY128" s="14">
        <f t="shared" si="57"/>
        <v>5.6868222637659684</v>
      </c>
      <c r="AZ128" s="25">
        <v>1.0819000000000001</v>
      </c>
      <c r="BA128" s="22">
        <f t="shared" si="58"/>
        <v>1.1174619532372261</v>
      </c>
      <c r="BB128" s="38">
        <f t="shared" si="59"/>
        <v>3.5561953237225996E-2</v>
      </c>
      <c r="BC128" s="58">
        <f t="shared" si="40"/>
        <v>2.4687021475717952</v>
      </c>
      <c r="BD128" s="38">
        <f t="shared" si="41"/>
        <v>0.87791870328587562</v>
      </c>
      <c r="BE128" s="38">
        <f t="shared" si="60"/>
        <v>355.61953237225998</v>
      </c>
    </row>
    <row r="129" spans="1:57" ht="15.75">
      <c r="A129" s="138">
        <v>79</v>
      </c>
      <c r="B129" s="139">
        <v>4</v>
      </c>
      <c r="C129" s="140" t="s">
        <v>423</v>
      </c>
      <c r="D129" s="140" t="s">
        <v>426</v>
      </c>
      <c r="E129" s="140" t="s">
        <v>410</v>
      </c>
      <c r="F129" s="140" t="s">
        <v>480</v>
      </c>
      <c r="G129" s="140"/>
      <c r="H129" s="140" t="s">
        <v>484</v>
      </c>
      <c r="I129" s="140">
        <v>100</v>
      </c>
      <c r="J129" s="141">
        <v>15.11</v>
      </c>
      <c r="K129" s="140">
        <v>15</v>
      </c>
      <c r="L129" s="140" t="s">
        <v>92</v>
      </c>
      <c r="M129" s="140">
        <v>3</v>
      </c>
      <c r="N129"/>
      <c r="O129"/>
      <c r="P129"/>
      <c r="Q129" s="108">
        <v>10</v>
      </c>
      <c r="R129" s="53">
        <v>8</v>
      </c>
      <c r="S129" s="53">
        <f t="shared" si="43"/>
        <v>2</v>
      </c>
      <c r="T129" s="82">
        <v>56</v>
      </c>
      <c r="U129" s="82" t="s">
        <v>325</v>
      </c>
      <c r="V129" s="83">
        <v>4.60867</v>
      </c>
      <c r="W129" s="83">
        <v>2410.233307855126</v>
      </c>
      <c r="X129" s="81">
        <v>2.076656625</v>
      </c>
      <c r="Y129" s="81">
        <v>31.747744321602486</v>
      </c>
      <c r="Z129" s="71" t="s">
        <v>54</v>
      </c>
      <c r="AA129" s="75">
        <v>2.9111787500000004</v>
      </c>
      <c r="AB129" s="75">
        <v>7.1289713486518078</v>
      </c>
      <c r="AC129" s="75">
        <v>2.0592423593750002</v>
      </c>
      <c r="AD129" s="75">
        <v>-26.716135928040213</v>
      </c>
      <c r="AE129" s="75">
        <v>2.375375</v>
      </c>
      <c r="AF129" s="75">
        <v>2.375375</v>
      </c>
      <c r="AG129" s="32">
        <f t="shared" si="44"/>
        <v>2.3009777396870598E-2</v>
      </c>
      <c r="AH129" s="32">
        <f t="shared" si="45"/>
        <v>0.53073405008612418</v>
      </c>
      <c r="AI129" s="33">
        <f t="shared" si="46"/>
        <v>0.10604447079563561</v>
      </c>
      <c r="AJ129" s="34">
        <f t="shared" si="47"/>
        <v>1.1021523812244316</v>
      </c>
      <c r="AK129" s="16">
        <f t="shared" si="48"/>
        <v>9.0137800176290264E-2</v>
      </c>
      <c r="AL129" s="16">
        <f t="shared" si="49"/>
        <v>0.9368295240407668</v>
      </c>
      <c r="AM129" s="27">
        <f t="shared" si="42"/>
        <v>90.13780017629027</v>
      </c>
      <c r="AN129" s="27">
        <f t="shared" si="42"/>
        <v>936.82952404076684</v>
      </c>
      <c r="AO129" s="29" t="e">
        <f t="shared" si="50"/>
        <v>#VALUE!</v>
      </c>
      <c r="AP129" s="29" t="e">
        <f t="shared" si="51"/>
        <v>#VALUE!</v>
      </c>
      <c r="AQ129" s="27">
        <f t="shared" si="52"/>
        <v>10.393303610788465</v>
      </c>
      <c r="AR129" s="14">
        <f t="shared" si="53"/>
        <v>2405.0843365064743</v>
      </c>
      <c r="AS129" s="25">
        <v>0.36620000000000003</v>
      </c>
      <c r="AT129" s="22">
        <f t="shared" si="54"/>
        <v>1.2362349380925723</v>
      </c>
      <c r="AU129" s="22">
        <f t="shared" si="55"/>
        <v>0.87003493809257226</v>
      </c>
      <c r="AV129" s="15"/>
      <c r="AW129" s="22"/>
      <c r="AX129" s="34">
        <f t="shared" si="56"/>
        <v>8700.3493809257216</v>
      </c>
      <c r="AY129" s="14">
        <f t="shared" si="57"/>
        <v>32.433880249642698</v>
      </c>
      <c r="AZ129" s="25">
        <v>1.0819000000000001</v>
      </c>
      <c r="BA129" s="22">
        <f t="shared" si="58"/>
        <v>1.1468409227046421</v>
      </c>
      <c r="BB129" s="38">
        <f t="shared" si="59"/>
        <v>6.4940922704642023E-2</v>
      </c>
      <c r="BC129" s="58">
        <f t="shared" si="40"/>
        <v>1.0612678510314868</v>
      </c>
      <c r="BD129" s="38">
        <f t="shared" si="41"/>
        <v>0.68919713482757339</v>
      </c>
      <c r="BE129" s="38">
        <f t="shared" si="60"/>
        <v>649.40922704642026</v>
      </c>
    </row>
    <row r="130" spans="1:57" ht="15.75">
      <c r="A130" s="138">
        <v>80</v>
      </c>
      <c r="B130" s="139">
        <v>4</v>
      </c>
      <c r="C130" s="140" t="s">
        <v>425</v>
      </c>
      <c r="D130" s="140" t="s">
        <v>422</v>
      </c>
      <c r="E130" s="140" t="s">
        <v>410</v>
      </c>
      <c r="F130" s="140" t="s">
        <v>480</v>
      </c>
      <c r="G130" s="140"/>
      <c r="H130" s="140" t="s">
        <v>484</v>
      </c>
      <c r="I130" s="140">
        <v>100</v>
      </c>
      <c r="J130" s="141">
        <v>6.53</v>
      </c>
      <c r="K130" s="140">
        <v>15</v>
      </c>
      <c r="L130" s="140" t="s">
        <v>93</v>
      </c>
      <c r="M130" s="140">
        <v>3</v>
      </c>
      <c r="N130"/>
      <c r="O130"/>
      <c r="P130"/>
      <c r="Q130" s="108">
        <v>10</v>
      </c>
      <c r="R130" s="53">
        <v>8</v>
      </c>
      <c r="S130" s="53">
        <f t="shared" si="43"/>
        <v>2</v>
      </c>
      <c r="T130" s="80">
        <v>57</v>
      </c>
      <c r="U130" s="80" t="s">
        <v>326</v>
      </c>
      <c r="V130" s="81">
        <v>5.7471335000000003</v>
      </c>
      <c r="W130" s="81">
        <v>836.58949390147041</v>
      </c>
      <c r="X130" s="83">
        <v>3.7452934999999998</v>
      </c>
      <c r="Y130" s="83">
        <v>-16.070177924553303</v>
      </c>
      <c r="Z130" s="71" t="s">
        <v>54</v>
      </c>
      <c r="AA130" s="75">
        <v>2.9111787500000004</v>
      </c>
      <c r="AB130" s="75">
        <v>7.1289713486518078</v>
      </c>
      <c r="AC130" s="75">
        <v>2.0592423593750002</v>
      </c>
      <c r="AD130" s="75">
        <v>-26.716135928040213</v>
      </c>
      <c r="AE130" s="75">
        <v>2.375375</v>
      </c>
      <c r="AF130" s="75">
        <v>2.375375</v>
      </c>
      <c r="AG130" s="32">
        <f t="shared" si="44"/>
        <v>2.3009777396870598E-2</v>
      </c>
      <c r="AH130" s="32">
        <f t="shared" si="45"/>
        <v>0.53073405008612418</v>
      </c>
      <c r="AI130" s="33">
        <f t="shared" si="46"/>
        <v>0.13224026250509782</v>
      </c>
      <c r="AJ130" s="34">
        <f t="shared" si="47"/>
        <v>1.9877547880162352</v>
      </c>
      <c r="AK130" s="16">
        <f t="shared" si="48"/>
        <v>0.11240422312933315</v>
      </c>
      <c r="AL130" s="16">
        <f t="shared" si="49"/>
        <v>1.6895915698138</v>
      </c>
      <c r="AM130" s="27">
        <f t="shared" si="42"/>
        <v>112.40422312933315</v>
      </c>
      <c r="AN130" s="27">
        <f t="shared" si="42"/>
        <v>1689.5915698137999</v>
      </c>
      <c r="AO130" s="29" t="e">
        <f t="shared" si="50"/>
        <v>#VALUE!</v>
      </c>
      <c r="AP130" s="29" t="e">
        <f t="shared" si="51"/>
        <v>#VALUE!</v>
      </c>
      <c r="AQ130" s="27">
        <f t="shared" si="52"/>
        <v>15.031388703872301</v>
      </c>
      <c r="AR130" s="14">
        <f t="shared" si="53"/>
        <v>831.44052255281861</v>
      </c>
      <c r="AS130" s="25">
        <v>0.36620000000000003</v>
      </c>
      <c r="AT130" s="22">
        <f t="shared" si="54"/>
        <v>0.66873535863894984</v>
      </c>
      <c r="AU130" s="22">
        <f t="shared" si="55"/>
        <v>0.30253535863894981</v>
      </c>
      <c r="AV130" s="15"/>
      <c r="AW130" s="22"/>
      <c r="AX130" s="34">
        <f t="shared" si="56"/>
        <v>3025.3535863894981</v>
      </c>
      <c r="AY130" s="14">
        <f t="shared" si="57"/>
        <v>-15.384041996513091</v>
      </c>
      <c r="AZ130" s="25">
        <v>1.0819000000000001</v>
      </c>
      <c r="BA130" s="22">
        <f t="shared" si="58"/>
        <v>1.0943054151606504</v>
      </c>
      <c r="BB130" s="38">
        <f t="shared" si="59"/>
        <v>1.2405415160650302E-2</v>
      </c>
      <c r="BC130" s="58">
        <f t="shared" si="40"/>
        <v>1.9078315753282977</v>
      </c>
      <c r="BD130" s="38">
        <f t="shared" si="41"/>
        <v>0.23667442748545015</v>
      </c>
      <c r="BE130" s="38">
        <f t="shared" si="60"/>
        <v>124.05415160650303</v>
      </c>
    </row>
    <row r="131" spans="1:57" ht="15.75">
      <c r="A131" s="138">
        <v>81</v>
      </c>
      <c r="B131" s="140">
        <v>5</v>
      </c>
      <c r="C131" s="140" t="s">
        <v>408</v>
      </c>
      <c r="D131" s="140" t="s">
        <v>420</v>
      </c>
      <c r="E131" s="140" t="s">
        <v>410</v>
      </c>
      <c r="F131" s="140" t="s">
        <v>480</v>
      </c>
      <c r="G131" s="140"/>
      <c r="H131" s="140" t="s">
        <v>485</v>
      </c>
      <c r="I131" s="140">
        <v>100</v>
      </c>
      <c r="J131" s="141">
        <v>10.36</v>
      </c>
      <c r="K131" s="140">
        <v>15</v>
      </c>
      <c r="L131" s="140" t="s">
        <v>94</v>
      </c>
      <c r="M131" s="140">
        <v>3</v>
      </c>
      <c r="N131"/>
      <c r="O131"/>
      <c r="P131"/>
      <c r="Q131" s="108">
        <v>10</v>
      </c>
      <c r="R131" s="53">
        <v>8</v>
      </c>
      <c r="S131" s="53">
        <f t="shared" si="43"/>
        <v>2</v>
      </c>
      <c r="T131" s="80"/>
      <c r="U131" s="146" t="s">
        <v>487</v>
      </c>
      <c r="V131" s="147"/>
      <c r="W131" s="147"/>
      <c r="X131" s="147"/>
      <c r="Y131" s="147"/>
      <c r="Z131" s="148" t="s">
        <v>54</v>
      </c>
      <c r="AA131" s="75">
        <v>2.9111787500000004</v>
      </c>
      <c r="AB131" s="75">
        <v>7.1289713486518078</v>
      </c>
      <c r="AC131" s="75">
        <v>2.0592423593750002</v>
      </c>
      <c r="AD131" s="75">
        <v>-26.716135928040213</v>
      </c>
      <c r="AE131" s="75">
        <v>2.375375</v>
      </c>
      <c r="AF131" s="75">
        <v>2.375375</v>
      </c>
      <c r="AG131" s="32">
        <f t="shared" si="44"/>
        <v>2.3009777396870598E-2</v>
      </c>
      <c r="AH131" s="32">
        <f t="shared" si="45"/>
        <v>0.53073405008612418</v>
      </c>
      <c r="AI131" s="33">
        <f t="shared" si="46"/>
        <v>0</v>
      </c>
      <c r="AJ131" s="34">
        <f t="shared" si="47"/>
        <v>0</v>
      </c>
      <c r="AK131" s="16">
        <f t="shared" si="48"/>
        <v>0</v>
      </c>
      <c r="AL131" s="16">
        <f t="shared" si="49"/>
        <v>0</v>
      </c>
      <c r="AM131" s="27">
        <f t="shared" si="42"/>
        <v>0</v>
      </c>
      <c r="AN131" s="27">
        <f t="shared" si="42"/>
        <v>0</v>
      </c>
      <c r="AO131" s="29" t="e">
        <f t="shared" si="50"/>
        <v>#VALUE!</v>
      </c>
      <c r="AP131" s="29" t="e">
        <f t="shared" si="51"/>
        <v>#VALUE!</v>
      </c>
      <c r="AQ131" s="27" t="e">
        <f t="shared" si="52"/>
        <v>#DIV/0!</v>
      </c>
      <c r="AR131" s="14">
        <f t="shared" si="53"/>
        <v>-5.1489713486518074</v>
      </c>
      <c r="AS131" s="25">
        <v>0.36620000000000003</v>
      </c>
      <c r="AT131" s="22">
        <f t="shared" si="54"/>
        <v>0.36437469350416873</v>
      </c>
      <c r="AU131" s="22">
        <f t="shared" si="55"/>
        <v>-1.8253064958312915E-3</v>
      </c>
      <c r="AV131" s="15"/>
      <c r="AW131" s="22"/>
      <c r="AX131" s="34" t="e">
        <f t="shared" si="56"/>
        <v>#DIV/0!</v>
      </c>
      <c r="AY131" s="14">
        <f t="shared" si="57"/>
        <v>0.68613592804021195</v>
      </c>
      <c r="AZ131" s="25">
        <v>1.0819000000000001</v>
      </c>
      <c r="BA131" s="22">
        <f t="shared" si="58"/>
        <v>1.1119672614363181</v>
      </c>
      <c r="BB131" s="38">
        <f t="shared" si="59"/>
        <v>3.0067261436317994E-2</v>
      </c>
      <c r="BC131" s="58">
        <f t="shared" si="40"/>
        <v>7.7000000000000002E-3</v>
      </c>
      <c r="BD131" s="38">
        <f t="shared" si="41"/>
        <v>2.3151791305964856E-3</v>
      </c>
      <c r="BE131" s="38" t="e">
        <f t="shared" si="60"/>
        <v>#DIV/0!</v>
      </c>
    </row>
    <row r="132" spans="1:57" ht="15.75">
      <c r="A132" s="138">
        <v>82</v>
      </c>
      <c r="B132" s="140">
        <v>5</v>
      </c>
      <c r="C132" s="140" t="s">
        <v>413</v>
      </c>
      <c r="D132" s="140" t="s">
        <v>424</v>
      </c>
      <c r="E132" s="140" t="s">
        <v>410</v>
      </c>
      <c r="F132" s="140" t="s">
        <v>480</v>
      </c>
      <c r="G132" s="140"/>
      <c r="H132" s="140" t="s">
        <v>485</v>
      </c>
      <c r="I132" s="140">
        <v>100</v>
      </c>
      <c r="J132" s="141">
        <v>5.86</v>
      </c>
      <c r="K132" s="140">
        <v>15</v>
      </c>
      <c r="L132" s="140" t="s">
        <v>95</v>
      </c>
      <c r="M132" s="140">
        <v>3</v>
      </c>
      <c r="N132"/>
      <c r="O132"/>
      <c r="P132"/>
      <c r="Q132" s="108">
        <v>10</v>
      </c>
      <c r="R132" s="53">
        <v>8</v>
      </c>
      <c r="S132" s="53">
        <f t="shared" si="43"/>
        <v>2</v>
      </c>
      <c r="T132" s="80">
        <v>59</v>
      </c>
      <c r="U132" s="80" t="s">
        <v>328</v>
      </c>
      <c r="V132" s="81">
        <v>4.4277484999999999</v>
      </c>
      <c r="W132" s="81">
        <v>2110.9919269281868</v>
      </c>
      <c r="X132" s="83">
        <v>4.1026497500000003</v>
      </c>
      <c r="Y132" s="83">
        <v>-4.6755631982385442</v>
      </c>
      <c r="Z132" s="71" t="s">
        <v>54</v>
      </c>
      <c r="AA132" s="75">
        <v>2.9111787500000004</v>
      </c>
      <c r="AB132" s="75">
        <v>7.1289713486518078</v>
      </c>
      <c r="AC132" s="75">
        <v>2.0592423593750002</v>
      </c>
      <c r="AD132" s="75">
        <v>-26.716135928040213</v>
      </c>
      <c r="AE132" s="75">
        <v>2.375375</v>
      </c>
      <c r="AF132" s="75">
        <v>2.375375</v>
      </c>
      <c r="AG132" s="32">
        <f t="shared" si="44"/>
        <v>2.3009777396870598E-2</v>
      </c>
      <c r="AH132" s="32">
        <f t="shared" si="45"/>
        <v>0.53073405008612418</v>
      </c>
      <c r="AI132" s="33">
        <f t="shared" si="46"/>
        <v>0.10188150735432769</v>
      </c>
      <c r="AJ132" s="34">
        <f t="shared" si="47"/>
        <v>2.1774159179023251</v>
      </c>
      <c r="AK132" s="16">
        <f t="shared" si="48"/>
        <v>8.6599281251178536E-2</v>
      </c>
      <c r="AL132" s="16">
        <f t="shared" si="49"/>
        <v>1.8508035302169763</v>
      </c>
      <c r="AM132" s="27">
        <f t="shared" si="42"/>
        <v>86.599281251178539</v>
      </c>
      <c r="AN132" s="27">
        <f t="shared" si="42"/>
        <v>1850.8035302169762</v>
      </c>
      <c r="AO132" s="29" t="e">
        <f t="shared" si="50"/>
        <v>#VALUE!</v>
      </c>
      <c r="AP132" s="29" t="e">
        <f t="shared" si="51"/>
        <v>#VALUE!</v>
      </c>
      <c r="AQ132" s="27">
        <f t="shared" si="52"/>
        <v>21.372042625258956</v>
      </c>
      <c r="AR132" s="14">
        <f t="shared" si="53"/>
        <v>2105.8429555795351</v>
      </c>
      <c r="AS132" s="25">
        <v>0.36620000000000003</v>
      </c>
      <c r="AT132" s="22">
        <f t="shared" si="54"/>
        <v>1.1288200431944317</v>
      </c>
      <c r="AU132" s="22">
        <f t="shared" si="55"/>
        <v>0.76262004319443166</v>
      </c>
      <c r="AV132" s="15"/>
      <c r="AW132" s="22"/>
      <c r="AX132" s="34">
        <f t="shared" si="56"/>
        <v>7626.2004319443167</v>
      </c>
      <c r="AY132" s="14">
        <f t="shared" si="57"/>
        <v>-3.9894272701983322</v>
      </c>
      <c r="AZ132" s="25">
        <v>1.0819000000000001</v>
      </c>
      <c r="BA132" s="22">
        <f t="shared" si="58"/>
        <v>1.1068292584629431</v>
      </c>
      <c r="BB132" s="38">
        <f t="shared" si="59"/>
        <v>2.4929258462943027E-2</v>
      </c>
      <c r="BC132" s="58">
        <f t="shared" si="40"/>
        <v>2.0891321581173137</v>
      </c>
      <c r="BD132" s="38">
        <f t="shared" si="41"/>
        <v>0.52080515532952476</v>
      </c>
      <c r="BE132" s="38">
        <f t="shared" si="60"/>
        <v>249.29258462943031</v>
      </c>
    </row>
    <row r="133" spans="1:57" ht="15.75">
      <c r="A133" s="138">
        <v>83</v>
      </c>
      <c r="B133" s="140">
        <v>5</v>
      </c>
      <c r="C133" s="140" t="s">
        <v>415</v>
      </c>
      <c r="D133" s="140" t="s">
        <v>409</v>
      </c>
      <c r="E133" s="140" t="s">
        <v>410</v>
      </c>
      <c r="F133" s="140" t="s">
        <v>480</v>
      </c>
      <c r="G133" s="140"/>
      <c r="H133" s="140" t="s">
        <v>485</v>
      </c>
      <c r="I133" s="140">
        <v>100</v>
      </c>
      <c r="J133" s="141">
        <v>8.92</v>
      </c>
      <c r="K133" s="140">
        <v>15</v>
      </c>
      <c r="L133" s="140" t="s">
        <v>96</v>
      </c>
      <c r="M133" s="140">
        <v>3</v>
      </c>
      <c r="N133"/>
      <c r="O133"/>
      <c r="P133"/>
      <c r="Q133" s="108">
        <v>10</v>
      </c>
      <c r="R133" s="53">
        <v>8</v>
      </c>
      <c r="S133" s="53">
        <f t="shared" si="43"/>
        <v>2</v>
      </c>
      <c r="T133" s="82">
        <v>60</v>
      </c>
      <c r="U133" s="82" t="s">
        <v>329</v>
      </c>
      <c r="V133" s="83">
        <v>4.8803039999999998</v>
      </c>
      <c r="W133" s="83">
        <v>3189.5878322938534</v>
      </c>
      <c r="X133" s="81">
        <v>4.7297669999999998</v>
      </c>
      <c r="Y133" s="81">
        <v>-1.2233005911884016</v>
      </c>
      <c r="Z133" s="71" t="s">
        <v>54</v>
      </c>
      <c r="AA133" s="75">
        <v>2.9111787500000004</v>
      </c>
      <c r="AB133" s="75">
        <v>7.1289713486518078</v>
      </c>
      <c r="AC133" s="75">
        <v>2.0592423593750002</v>
      </c>
      <c r="AD133" s="75">
        <v>-26.716135928040213</v>
      </c>
      <c r="AE133" s="75">
        <v>2.375375</v>
      </c>
      <c r="AF133" s="75">
        <v>2.375375</v>
      </c>
      <c r="AG133" s="32">
        <f t="shared" si="44"/>
        <v>2.3009777396870598E-2</v>
      </c>
      <c r="AH133" s="32">
        <f t="shared" si="45"/>
        <v>0.53073405008612418</v>
      </c>
      <c r="AI133" s="33">
        <f t="shared" si="46"/>
        <v>0.11229470866905716</v>
      </c>
      <c r="AJ133" s="34">
        <f t="shared" si="47"/>
        <v>2.5102483958736972</v>
      </c>
      <c r="AK133" s="16">
        <f t="shared" si="48"/>
        <v>9.5450502368698592E-2</v>
      </c>
      <c r="AL133" s="16">
        <f t="shared" si="49"/>
        <v>2.1337111364926429</v>
      </c>
      <c r="AM133" s="27">
        <f t="shared" si="42"/>
        <v>95.450502368698594</v>
      </c>
      <c r="AN133" s="27">
        <f t="shared" si="42"/>
        <v>2133.7111364926427</v>
      </c>
      <c r="AO133" s="29" t="e">
        <f t="shared" si="50"/>
        <v>#VALUE!</v>
      </c>
      <c r="AP133" s="29" t="e">
        <f t="shared" si="51"/>
        <v>#VALUE!</v>
      </c>
      <c r="AQ133" s="27">
        <f t="shared" si="52"/>
        <v>22.35411112086884</v>
      </c>
      <c r="AR133" s="14">
        <f t="shared" si="53"/>
        <v>3184.4388609452017</v>
      </c>
      <c r="AS133" s="25">
        <v>0.36620000000000003</v>
      </c>
      <c r="AT133" s="22">
        <f t="shared" si="54"/>
        <v>1.514897574947291</v>
      </c>
      <c r="AU133" s="22">
        <f t="shared" si="55"/>
        <v>1.148697574947291</v>
      </c>
      <c r="AV133" s="15"/>
      <c r="AW133" s="22"/>
      <c r="AX133" s="34">
        <f t="shared" si="56"/>
        <v>11486.975749472909</v>
      </c>
      <c r="AY133" s="14">
        <f t="shared" si="57"/>
        <v>-0.53716466314818967</v>
      </c>
      <c r="AZ133" s="25">
        <v>1.0819000000000001</v>
      </c>
      <c r="BA133" s="22">
        <f t="shared" si="58"/>
        <v>1.1106230210337387</v>
      </c>
      <c r="BB133" s="38">
        <f t="shared" si="59"/>
        <v>2.8723021033738583E-2</v>
      </c>
      <c r="BC133" s="58">
        <f t="shared" si="40"/>
        <v>2.4072928812109913</v>
      </c>
      <c r="BD133" s="38">
        <f t="shared" si="41"/>
        <v>0.6914472406139246</v>
      </c>
      <c r="BE133" s="38">
        <f t="shared" si="60"/>
        <v>287.23021033738581</v>
      </c>
    </row>
    <row r="134" spans="1:57" ht="15">
      <c r="A134" s="138">
        <v>84</v>
      </c>
      <c r="B134" s="140">
        <v>5</v>
      </c>
      <c r="C134" s="140" t="s">
        <v>417</v>
      </c>
      <c r="D134" s="140" t="s">
        <v>426</v>
      </c>
      <c r="E134" s="140" t="s">
        <v>410</v>
      </c>
      <c r="F134" s="140" t="s">
        <v>480</v>
      </c>
      <c r="G134" s="140"/>
      <c r="H134" s="140" t="s">
        <v>485</v>
      </c>
      <c r="I134" s="140">
        <v>100</v>
      </c>
      <c r="J134" s="141">
        <v>5.23</v>
      </c>
      <c r="K134" s="140">
        <v>15</v>
      </c>
      <c r="L134" s="140" t="s">
        <v>97</v>
      </c>
      <c r="M134" s="140">
        <v>3</v>
      </c>
      <c r="Q134" s="108">
        <v>10</v>
      </c>
      <c r="R134" s="53">
        <v>8</v>
      </c>
      <c r="S134" s="53">
        <f t="shared" si="43"/>
        <v>2</v>
      </c>
      <c r="T134" s="80">
        <v>61</v>
      </c>
      <c r="U134" s="80" t="s">
        <v>330</v>
      </c>
      <c r="V134" s="81">
        <v>4.4106829999999997</v>
      </c>
      <c r="W134" s="81">
        <v>5686.7363613638254</v>
      </c>
      <c r="X134" s="83">
        <v>2.6387744999999998</v>
      </c>
      <c r="Y134" s="83">
        <v>82.347951035049149</v>
      </c>
      <c r="Z134" s="154" t="s">
        <v>54</v>
      </c>
      <c r="AA134" s="75">
        <v>2.9111787500000004</v>
      </c>
      <c r="AB134" s="75">
        <v>7.1289713486518078</v>
      </c>
      <c r="AC134" s="75">
        <v>2.0592423593750002</v>
      </c>
      <c r="AD134" s="75">
        <v>-26.716135928040213</v>
      </c>
      <c r="AE134" s="75">
        <v>2.375375</v>
      </c>
      <c r="AF134" s="75">
        <v>2.375375</v>
      </c>
      <c r="AG134" s="32">
        <f t="shared" si="44"/>
        <v>2.3009777396870598E-2</v>
      </c>
      <c r="AH134" s="32">
        <f t="shared" si="45"/>
        <v>0.53073405008612418</v>
      </c>
      <c r="AI134" s="33">
        <f t="shared" si="46"/>
        <v>0.10148883399816139</v>
      </c>
      <c r="AJ134" s="34">
        <f t="shared" si="47"/>
        <v>1.4004874776489871</v>
      </c>
      <c r="AK134" s="16">
        <f t="shared" si="48"/>
        <v>8.6265508898437177E-2</v>
      </c>
      <c r="AL134" s="16">
        <f t="shared" si="49"/>
        <v>1.1904143560016389</v>
      </c>
      <c r="AM134" s="27">
        <f t="shared" si="42"/>
        <v>86.265508898437176</v>
      </c>
      <c r="AN134" s="27">
        <f t="shared" si="42"/>
        <v>1190.4143560016389</v>
      </c>
      <c r="AO134" s="29" t="e">
        <f>AI134*100/Z134</f>
        <v>#VALUE!</v>
      </c>
      <c r="AP134" s="29" t="e">
        <f>AJ134*100/Z134</f>
        <v>#VALUE!</v>
      </c>
      <c r="AQ134" s="27">
        <f t="shared" si="52"/>
        <v>13.799424256606978</v>
      </c>
      <c r="AR134" s="14">
        <f t="shared" si="53"/>
        <v>5681.5873900151737</v>
      </c>
      <c r="AS134" s="25">
        <v>0.36620000000000003</v>
      </c>
      <c r="AT134" s="22">
        <f t="shared" si="54"/>
        <v>2.3972709183602103</v>
      </c>
      <c r="AU134" s="22">
        <f t="shared" si="55"/>
        <v>2.0310709183602103</v>
      </c>
      <c r="AV134" s="15"/>
      <c r="AW134" s="22"/>
      <c r="AX134" s="34">
        <f t="shared" si="56"/>
        <v>20310.709183602103</v>
      </c>
      <c r="AY134" s="14">
        <f t="shared" si="57"/>
        <v>83.034086963089365</v>
      </c>
      <c r="AZ134" s="25">
        <v>1.0819000000000001</v>
      </c>
      <c r="BA134" s="22">
        <f>100*0.011237*(AY134/1000+1)/(1+0.011237*(AY134/1000+1))</f>
        <v>1.2023724656431054</v>
      </c>
      <c r="BB134" s="38">
        <f>BA134-AZ134</f>
        <v>0.12047246564310532</v>
      </c>
      <c r="BC134" s="58">
        <f t="shared" si="40"/>
        <v>1.3464518889030033</v>
      </c>
      <c r="BD134" s="32">
        <f>((BB134%)*BC134)*1000</f>
        <v>1.6221037892596133</v>
      </c>
      <c r="BE134" s="38">
        <f>(((AJ134*(BB134%))/AJ134)*1000)*1000</f>
        <v>1204.7246564310533</v>
      </c>
    </row>
    <row r="135" spans="1:57" ht="15">
      <c r="A135" s="138">
        <v>85</v>
      </c>
      <c r="B135" s="140">
        <v>5</v>
      </c>
      <c r="C135" s="140" t="s">
        <v>419</v>
      </c>
      <c r="D135" s="140" t="s">
        <v>418</v>
      </c>
      <c r="E135" s="140" t="s">
        <v>410</v>
      </c>
      <c r="F135" s="140" t="s">
        <v>480</v>
      </c>
      <c r="G135" s="140"/>
      <c r="H135" s="140" t="s">
        <v>485</v>
      </c>
      <c r="I135" s="140">
        <v>100</v>
      </c>
      <c r="J135" s="141">
        <v>2.89</v>
      </c>
      <c r="K135" s="140">
        <v>15</v>
      </c>
      <c r="L135" s="140" t="s">
        <v>98</v>
      </c>
      <c r="M135" s="140">
        <v>3</v>
      </c>
      <c r="Q135" s="108">
        <v>10</v>
      </c>
      <c r="R135" s="53">
        <v>8</v>
      </c>
      <c r="S135" s="53">
        <f t="shared" si="43"/>
        <v>2</v>
      </c>
      <c r="T135" s="82">
        <v>62</v>
      </c>
      <c r="U135" s="82" t="s">
        <v>331</v>
      </c>
      <c r="V135" s="83">
        <v>2.6423602499999999</v>
      </c>
      <c r="W135" s="83">
        <v>662.50227876163581</v>
      </c>
      <c r="X135" s="81">
        <v>2.72906</v>
      </c>
      <c r="Y135" s="81">
        <v>-19.121996012251707</v>
      </c>
      <c r="Z135" s="154" t="s">
        <v>54</v>
      </c>
      <c r="AA135" s="75">
        <v>2.9111787500000004</v>
      </c>
      <c r="AB135" s="75">
        <v>7.1289713486518078</v>
      </c>
      <c r="AC135" s="75">
        <v>2.0592423593750002</v>
      </c>
      <c r="AD135" s="75">
        <v>-26.716135928040213</v>
      </c>
      <c r="AE135" s="75">
        <v>2.375375</v>
      </c>
      <c r="AF135" s="75">
        <v>2.375375</v>
      </c>
      <c r="AG135" s="32">
        <f t="shared" si="44"/>
        <v>2.3009777396870598E-2</v>
      </c>
      <c r="AH135" s="32">
        <f t="shared" si="45"/>
        <v>0.53073405008612418</v>
      </c>
      <c r="AI135" s="33">
        <f t="shared" si="46"/>
        <v>6.0800121154839334E-2</v>
      </c>
      <c r="AJ135" s="34">
        <f t="shared" si="47"/>
        <v>1.4484050667280381</v>
      </c>
      <c r="AK135" s="16">
        <f t="shared" si="48"/>
        <v>5.1680102981613435E-2</v>
      </c>
      <c r="AL135" s="16">
        <f t="shared" si="49"/>
        <v>1.2311443067188323</v>
      </c>
      <c r="AM135" s="27">
        <f t="shared" si="42"/>
        <v>51.680102981613437</v>
      </c>
      <c r="AN135" s="27">
        <f t="shared" si="42"/>
        <v>1231.1443067188322</v>
      </c>
      <c r="AO135" s="29" t="e">
        <f t="shared" ref="AO135:AO193" si="61">AI135*100/Z135</f>
        <v>#VALUE!</v>
      </c>
      <c r="AP135" s="29" t="e">
        <f t="shared" ref="AP135:AP193" si="62">AJ135*100/Z135</f>
        <v>#VALUE!</v>
      </c>
      <c r="AQ135" s="27">
        <f t="shared" si="52"/>
        <v>23.822404285007803</v>
      </c>
      <c r="AR135" s="14">
        <f t="shared" si="53"/>
        <v>657.35330741298401</v>
      </c>
      <c r="AS135" s="25">
        <v>0.36620000000000003</v>
      </c>
      <c r="AT135" s="22">
        <f t="shared" si="54"/>
        <v>0.60555378132203297</v>
      </c>
      <c r="AU135" s="22">
        <f t="shared" si="55"/>
        <v>0.23935378132203294</v>
      </c>
      <c r="AV135" s="15"/>
      <c r="AW135" s="22"/>
      <c r="AX135" s="34">
        <f t="shared" si="56"/>
        <v>2393.5378132203296</v>
      </c>
      <c r="AY135" s="14">
        <f t="shared" si="57"/>
        <v>-18.435860084211495</v>
      </c>
      <c r="AZ135" s="25">
        <v>1.0819000000000001</v>
      </c>
      <c r="BA135" s="22">
        <f t="shared" ref="BA135:BA193" si="63">100*0.011237*(AY135/1000+1)/(1+0.011237*(AY135/1000+1))</f>
        <v>1.0909506173676249</v>
      </c>
      <c r="BB135" s="38">
        <f t="shared" ref="BB135:BB193" si="64">BA135-AZ135</f>
        <v>9.0506173676248025E-3</v>
      </c>
      <c r="BC135" s="58">
        <f t="shared" si="40"/>
        <v>1.3922571987790662</v>
      </c>
      <c r="BD135" s="32">
        <f t="shared" ref="BD135:BD193" si="65">((BB135%)*BC135)*1000</f>
        <v>0.12600787183470474</v>
      </c>
      <c r="BE135" s="38">
        <f t="shared" ref="BE135:BE193" si="66">(((AJ135*(BB135%))/AJ135)*1000)*1000</f>
        <v>90.506173676248025</v>
      </c>
    </row>
    <row r="136" spans="1:57" ht="15">
      <c r="A136" s="138">
        <v>86</v>
      </c>
      <c r="B136" s="140">
        <v>5</v>
      </c>
      <c r="C136" s="140" t="s">
        <v>421</v>
      </c>
      <c r="D136" s="140" t="s">
        <v>416</v>
      </c>
      <c r="E136" s="140" t="s">
        <v>410</v>
      </c>
      <c r="F136" s="140" t="s">
        <v>480</v>
      </c>
      <c r="G136" s="140"/>
      <c r="H136" s="140" t="s">
        <v>485</v>
      </c>
      <c r="I136" s="140">
        <v>100</v>
      </c>
      <c r="J136" s="141">
        <v>4.6900000000000004</v>
      </c>
      <c r="K136" s="140">
        <v>15</v>
      </c>
      <c r="L136" s="140" t="s">
        <v>99</v>
      </c>
      <c r="M136" s="140">
        <v>3</v>
      </c>
      <c r="Q136" s="108">
        <v>10</v>
      </c>
      <c r="R136" s="53">
        <v>8</v>
      </c>
      <c r="S136" s="53">
        <f t="shared" si="43"/>
        <v>2</v>
      </c>
      <c r="T136" s="80">
        <v>63</v>
      </c>
      <c r="U136" s="80" t="s">
        <v>332</v>
      </c>
      <c r="V136" s="81">
        <v>5.6443539999999999</v>
      </c>
      <c r="W136" s="81">
        <v>1848.8374375805413</v>
      </c>
      <c r="X136" s="83">
        <v>3.3229495</v>
      </c>
      <c r="Y136" s="83">
        <v>2.7852988425508167</v>
      </c>
      <c r="Z136" s="154" t="s">
        <v>54</v>
      </c>
      <c r="AA136" s="75">
        <v>2.9111787500000004</v>
      </c>
      <c r="AB136" s="75">
        <v>7.1289713486518078</v>
      </c>
      <c r="AC136" s="75">
        <v>2.0592423593750002</v>
      </c>
      <c r="AD136" s="75">
        <v>-26.716135928040213</v>
      </c>
      <c r="AE136" s="75">
        <v>2.375375</v>
      </c>
      <c r="AF136" s="75">
        <v>2.375375</v>
      </c>
      <c r="AG136" s="32">
        <f t="shared" si="44"/>
        <v>2.3009777396870598E-2</v>
      </c>
      <c r="AH136" s="32">
        <f t="shared" si="45"/>
        <v>0.53073405008612418</v>
      </c>
      <c r="AI136" s="33">
        <f t="shared" si="46"/>
        <v>0.12987532908913615</v>
      </c>
      <c r="AJ136" s="34">
        <f t="shared" si="47"/>
        <v>1.7636024463666613</v>
      </c>
      <c r="AK136" s="16">
        <f t="shared" si="48"/>
        <v>0.11039402972576573</v>
      </c>
      <c r="AL136" s="16">
        <f t="shared" si="49"/>
        <v>1.4990620794116623</v>
      </c>
      <c r="AM136" s="27">
        <f t="shared" ref="AM136:AN190" si="67">AK136*1000</f>
        <v>110.39402972576573</v>
      </c>
      <c r="AN136" s="27">
        <f t="shared" si="67"/>
        <v>1499.0620794116624</v>
      </c>
      <c r="AO136" s="29" t="e">
        <f t="shared" si="61"/>
        <v>#VALUE!</v>
      </c>
      <c r="AP136" s="29" t="e">
        <f t="shared" si="62"/>
        <v>#VALUE!</v>
      </c>
      <c r="AQ136" s="27">
        <f t="shared" si="52"/>
        <v>13.579195207707725</v>
      </c>
      <c r="AR136" s="14">
        <f t="shared" si="53"/>
        <v>1843.6884662318894</v>
      </c>
      <c r="AS136" s="25">
        <v>0.36620000000000003</v>
      </c>
      <c r="AT136" s="22">
        <f t="shared" si="54"/>
        <v>1.0345255718139403</v>
      </c>
      <c r="AU136" s="22">
        <f t="shared" si="55"/>
        <v>0.66832557181394026</v>
      </c>
      <c r="AV136" s="15"/>
      <c r="AW136" s="22"/>
      <c r="AX136" s="34">
        <f t="shared" si="56"/>
        <v>6683.2557181394031</v>
      </c>
      <c r="AY136" s="14">
        <f t="shared" si="57"/>
        <v>3.4714347705910287</v>
      </c>
      <c r="AZ136" s="25">
        <v>1.0819000000000001</v>
      </c>
      <c r="BA136" s="22">
        <f t="shared" si="63"/>
        <v>1.1150277884178208</v>
      </c>
      <c r="BB136" s="38">
        <f t="shared" si="64"/>
        <v>3.3127788417820714E-2</v>
      </c>
      <c r="BC136" s="58">
        <f t="shared" si="40"/>
        <v>1.6935602051271497</v>
      </c>
      <c r="BD136" s="32">
        <f t="shared" si="65"/>
        <v>0.5610390414829326</v>
      </c>
      <c r="BE136" s="38">
        <f t="shared" si="66"/>
        <v>331.27788417820716</v>
      </c>
    </row>
    <row r="137" spans="1:57" ht="15">
      <c r="A137" s="138">
        <v>87</v>
      </c>
      <c r="B137" s="140">
        <v>5</v>
      </c>
      <c r="C137" s="140" t="s">
        <v>423</v>
      </c>
      <c r="D137" s="140" t="s">
        <v>422</v>
      </c>
      <c r="E137" s="140" t="s">
        <v>410</v>
      </c>
      <c r="F137" s="140" t="s">
        <v>480</v>
      </c>
      <c r="G137" s="140"/>
      <c r="H137" s="140" t="s">
        <v>485</v>
      </c>
      <c r="I137" s="140">
        <v>100</v>
      </c>
      <c r="J137" s="141">
        <v>5.68</v>
      </c>
      <c r="K137" s="140">
        <v>15</v>
      </c>
      <c r="L137" s="140" t="s">
        <v>100</v>
      </c>
      <c r="M137" s="140">
        <v>3</v>
      </c>
      <c r="Q137" s="108">
        <v>10</v>
      </c>
      <c r="R137" s="53">
        <v>8</v>
      </c>
      <c r="S137" s="53">
        <f t="shared" si="43"/>
        <v>2</v>
      </c>
      <c r="T137" s="82">
        <v>64</v>
      </c>
      <c r="U137" s="82" t="s">
        <v>333</v>
      </c>
      <c r="V137" s="83">
        <v>5.9848800000000004</v>
      </c>
      <c r="W137" s="83">
        <v>3022.1945376950171</v>
      </c>
      <c r="X137" s="81">
        <v>4.8321759999999996</v>
      </c>
      <c r="Y137" s="81">
        <v>2.818492238110792</v>
      </c>
      <c r="Z137" s="154" t="s">
        <v>54</v>
      </c>
      <c r="AA137" s="75">
        <v>2.9111787500000004</v>
      </c>
      <c r="AB137" s="75">
        <v>7.1289713486518078</v>
      </c>
      <c r="AC137" s="75">
        <v>2.0592423593750002</v>
      </c>
      <c r="AD137" s="75">
        <v>-26.716135928040213</v>
      </c>
      <c r="AE137" s="75">
        <v>2.375375</v>
      </c>
      <c r="AF137" s="75">
        <v>2.375375</v>
      </c>
      <c r="AG137" s="32">
        <f t="shared" si="44"/>
        <v>2.3009777396870598E-2</v>
      </c>
      <c r="AH137" s="32">
        <f t="shared" si="45"/>
        <v>0.53073405008612418</v>
      </c>
      <c r="AI137" s="33">
        <f t="shared" si="46"/>
        <v>0.13771075654698292</v>
      </c>
      <c r="AJ137" s="34">
        <f t="shared" si="47"/>
        <v>2.5646003392089671</v>
      </c>
      <c r="AK137" s="16">
        <f t="shared" si="48"/>
        <v>0.11705414306493549</v>
      </c>
      <c r="AL137" s="16">
        <f t="shared" si="49"/>
        <v>2.1799102883276222</v>
      </c>
      <c r="AM137" s="27">
        <f t="shared" si="67"/>
        <v>117.05414306493549</v>
      </c>
      <c r="AN137" s="27">
        <f t="shared" si="67"/>
        <v>2179.9102883276223</v>
      </c>
      <c r="AO137" s="29" t="e">
        <f t="shared" si="61"/>
        <v>#VALUE!</v>
      </c>
      <c r="AP137" s="29" t="e">
        <f t="shared" si="62"/>
        <v>#VALUE!</v>
      </c>
      <c r="AQ137" s="27">
        <f t="shared" si="52"/>
        <v>18.623093820082236</v>
      </c>
      <c r="AR137" s="14">
        <f t="shared" si="53"/>
        <v>3017.0455663463654</v>
      </c>
      <c r="AS137" s="25">
        <v>0.36620000000000003</v>
      </c>
      <c r="AT137" s="22">
        <f t="shared" si="54"/>
        <v>1.4551778345908246</v>
      </c>
      <c r="AU137" s="22">
        <f t="shared" si="55"/>
        <v>1.0889778345908245</v>
      </c>
      <c r="AV137" s="15"/>
      <c r="AW137" s="22"/>
      <c r="AX137" s="34">
        <f t="shared" si="56"/>
        <v>10889.778345908246</v>
      </c>
      <c r="AY137" s="14">
        <f t="shared" si="57"/>
        <v>3.5046281661510039</v>
      </c>
      <c r="AZ137" s="25">
        <v>1.0819000000000001</v>
      </c>
      <c r="BA137" s="22">
        <f t="shared" si="63"/>
        <v>1.1150642606625831</v>
      </c>
      <c r="BB137" s="38">
        <f t="shared" si="64"/>
        <v>3.3164260662583045E-2</v>
      </c>
      <c r="BC137" s="58">
        <f t="shared" si="40"/>
        <v>2.4592489093561274</v>
      </c>
      <c r="BD137" s="32">
        <f t="shared" si="65"/>
        <v>0.81559171864059676</v>
      </c>
      <c r="BE137" s="38">
        <f t="shared" si="66"/>
        <v>331.64260662583047</v>
      </c>
    </row>
    <row r="138" spans="1:57" ht="15">
      <c r="A138" s="138">
        <v>88</v>
      </c>
      <c r="B138" s="140">
        <v>5</v>
      </c>
      <c r="C138" s="140" t="s">
        <v>425</v>
      </c>
      <c r="D138" s="140" t="s">
        <v>414</v>
      </c>
      <c r="E138" s="140" t="s">
        <v>410</v>
      </c>
      <c r="F138" s="140" t="s">
        <v>480</v>
      </c>
      <c r="G138" s="140"/>
      <c r="H138" s="140" t="s">
        <v>485</v>
      </c>
      <c r="I138" s="140">
        <v>100</v>
      </c>
      <c r="J138" s="141">
        <v>11</v>
      </c>
      <c r="K138" s="140">
        <v>15</v>
      </c>
      <c r="L138" s="140" t="s">
        <v>101</v>
      </c>
      <c r="M138" s="140">
        <v>3</v>
      </c>
      <c r="Q138" s="108">
        <v>10</v>
      </c>
      <c r="R138" s="53">
        <v>8</v>
      </c>
      <c r="S138" s="53">
        <f t="shared" si="43"/>
        <v>2</v>
      </c>
      <c r="T138" s="80">
        <v>65</v>
      </c>
      <c r="U138" s="80" t="s">
        <v>334</v>
      </c>
      <c r="V138" s="81">
        <v>3.488664</v>
      </c>
      <c r="W138" s="81">
        <v>1319.2708995082546</v>
      </c>
      <c r="X138" s="83">
        <v>1.8683259999999999</v>
      </c>
      <c r="Y138" s="83">
        <v>7.2054162721998596</v>
      </c>
      <c r="Z138" s="154" t="s">
        <v>54</v>
      </c>
      <c r="AA138" s="75">
        <v>2.9111787500000004</v>
      </c>
      <c r="AB138" s="75">
        <v>7.1289713486518078</v>
      </c>
      <c r="AC138" s="75">
        <v>2.0592423593750002</v>
      </c>
      <c r="AD138" s="75">
        <v>-26.716135928040213</v>
      </c>
      <c r="AE138" s="75">
        <v>2.375375</v>
      </c>
      <c r="AF138" s="75">
        <v>2.375375</v>
      </c>
      <c r="AG138" s="32">
        <f t="shared" si="44"/>
        <v>2.3009777396870598E-2</v>
      </c>
      <c r="AH138" s="32">
        <f t="shared" si="45"/>
        <v>0.53073405008612418</v>
      </c>
      <c r="AI138" s="33">
        <f t="shared" si="46"/>
        <v>8.0273382052476167E-2</v>
      </c>
      <c r="AJ138" s="34">
        <f t="shared" si="47"/>
        <v>0.99158422486120801</v>
      </c>
      <c r="AK138" s="16">
        <f t="shared" si="48"/>
        <v>6.8232374744604737E-2</v>
      </c>
      <c r="AL138" s="16">
        <f t="shared" si="49"/>
        <v>0.84284659113202676</v>
      </c>
      <c r="AM138" s="27">
        <f t="shared" si="67"/>
        <v>68.232374744604741</v>
      </c>
      <c r="AN138" s="27">
        <f t="shared" si="67"/>
        <v>842.84659113202679</v>
      </c>
      <c r="AO138" s="29" t="e">
        <f t="shared" si="61"/>
        <v>#VALUE!</v>
      </c>
      <c r="AP138" s="29" t="e">
        <f t="shared" si="62"/>
        <v>#VALUE!</v>
      </c>
      <c r="AQ138" s="27">
        <f t="shared" si="52"/>
        <v>12.35259060360745</v>
      </c>
      <c r="AR138" s="14">
        <f t="shared" si="53"/>
        <v>1314.1219281596027</v>
      </c>
      <c r="AS138" s="25">
        <v>0.36620000000000003</v>
      </c>
      <c r="AT138" s="22">
        <f t="shared" si="54"/>
        <v>0.84349584439463265</v>
      </c>
      <c r="AU138" s="22">
        <f t="shared" si="55"/>
        <v>0.47729584439463263</v>
      </c>
      <c r="AV138" s="15"/>
      <c r="AW138" s="22"/>
      <c r="AX138" s="34">
        <f t="shared" si="56"/>
        <v>4772.958443946327</v>
      </c>
      <c r="AY138" s="14">
        <f t="shared" si="57"/>
        <v>7.8915522002400715</v>
      </c>
      <c r="AZ138" s="25">
        <v>1.0819000000000001</v>
      </c>
      <c r="BA138" s="22">
        <f t="shared" si="63"/>
        <v>1.1198842890555127</v>
      </c>
      <c r="BB138" s="38">
        <f t="shared" si="64"/>
        <v>3.7984289055512654E-2</v>
      </c>
      <c r="BC138" s="58">
        <f t="shared" si="40"/>
        <v>0.95557370485298876</v>
      </c>
      <c r="BD138" s="32">
        <f t="shared" si="65"/>
        <v>0.36296787818983062</v>
      </c>
      <c r="BE138" s="38">
        <f t="shared" si="66"/>
        <v>379.84289055512653</v>
      </c>
    </row>
    <row r="139" spans="1:57" ht="15">
      <c r="A139" s="138">
        <v>89</v>
      </c>
      <c r="B139" s="140">
        <v>6</v>
      </c>
      <c r="C139" s="140" t="s">
        <v>408</v>
      </c>
      <c r="D139" s="140" t="s">
        <v>422</v>
      </c>
      <c r="E139" s="140" t="s">
        <v>410</v>
      </c>
      <c r="F139" s="140" t="s">
        <v>480</v>
      </c>
      <c r="G139" s="140"/>
      <c r="H139" s="140" t="s">
        <v>486</v>
      </c>
      <c r="I139" s="140">
        <v>100</v>
      </c>
      <c r="J139" s="141">
        <v>7.04</v>
      </c>
      <c r="K139" s="140">
        <v>15</v>
      </c>
      <c r="L139" s="140" t="s">
        <v>102</v>
      </c>
      <c r="M139" s="140">
        <v>3</v>
      </c>
      <c r="Q139" s="108">
        <v>10</v>
      </c>
      <c r="R139" s="53">
        <v>8</v>
      </c>
      <c r="S139" s="53">
        <f t="shared" si="43"/>
        <v>2</v>
      </c>
      <c r="T139" s="82">
        <v>66</v>
      </c>
      <c r="U139" s="82" t="s">
        <v>335</v>
      </c>
      <c r="V139" s="83">
        <v>7.5936684999999997</v>
      </c>
      <c r="W139" s="83">
        <v>1913.450517699737</v>
      </c>
      <c r="X139" s="81">
        <v>6.1068350000000002</v>
      </c>
      <c r="Y139" s="81">
        <v>-10.502535025888832</v>
      </c>
      <c r="Z139" s="154" t="s">
        <v>54</v>
      </c>
      <c r="AA139" s="75">
        <v>2.9111787500000004</v>
      </c>
      <c r="AB139" s="75">
        <v>7.1289713486518078</v>
      </c>
      <c r="AC139" s="75">
        <v>2.0592423593750002</v>
      </c>
      <c r="AD139" s="75">
        <v>-26.716135928040213</v>
      </c>
      <c r="AE139" s="75">
        <v>2.375375</v>
      </c>
      <c r="AF139" s="75">
        <v>2.375375</v>
      </c>
      <c r="AG139" s="32">
        <f t="shared" si="44"/>
        <v>2.3009777396870598E-2</v>
      </c>
      <c r="AH139" s="32">
        <f t="shared" si="45"/>
        <v>0.53073405008612418</v>
      </c>
      <c r="AI139" s="33">
        <f t="shared" si="46"/>
        <v>0.17472862181062826</v>
      </c>
      <c r="AJ139" s="34">
        <f t="shared" si="47"/>
        <v>3.2411052727576961</v>
      </c>
      <c r="AK139" s="16">
        <f t="shared" si="48"/>
        <v>0.14851932853903402</v>
      </c>
      <c r="AL139" s="16">
        <f t="shared" si="49"/>
        <v>2.7549394818440414</v>
      </c>
      <c r="AM139" s="27">
        <f t="shared" si="67"/>
        <v>148.51932853903401</v>
      </c>
      <c r="AN139" s="27">
        <f t="shared" si="67"/>
        <v>2754.9394818440414</v>
      </c>
      <c r="AO139" s="29" t="e">
        <f t="shared" si="61"/>
        <v>#VALUE!</v>
      </c>
      <c r="AP139" s="29" t="e">
        <f t="shared" si="62"/>
        <v>#VALUE!</v>
      </c>
      <c r="AQ139" s="27">
        <f t="shared" si="52"/>
        <v>18.549366664554945</v>
      </c>
      <c r="AR139" s="14">
        <f t="shared" si="53"/>
        <v>1908.3015463510851</v>
      </c>
      <c r="AS139" s="25">
        <v>0.36620000000000003</v>
      </c>
      <c r="AT139" s="22">
        <f t="shared" si="54"/>
        <v>1.0577829789520763</v>
      </c>
      <c r="AU139" s="22">
        <f t="shared" si="55"/>
        <v>0.69158297895207621</v>
      </c>
      <c r="AV139" s="15"/>
      <c r="AW139" s="22"/>
      <c r="AX139" s="34">
        <f t="shared" si="56"/>
        <v>6915.8297895207634</v>
      </c>
      <c r="AY139" s="14">
        <f t="shared" si="57"/>
        <v>-9.8163990978486204</v>
      </c>
      <c r="AZ139" s="25">
        <v>1.0819000000000001</v>
      </c>
      <c r="BA139" s="22">
        <f t="shared" si="63"/>
        <v>1.1004252186209704</v>
      </c>
      <c r="BB139" s="38">
        <f t="shared" si="64"/>
        <v>1.8525218620970341E-2</v>
      </c>
      <c r="BC139" s="58">
        <f t="shared" si="40"/>
        <v>3.1059324906766275</v>
      </c>
      <c r="BD139" s="32">
        <f t="shared" si="65"/>
        <v>0.57538078411759441</v>
      </c>
      <c r="BE139" s="38">
        <f t="shared" si="66"/>
        <v>185.25218620970338</v>
      </c>
    </row>
    <row r="140" spans="1:57" ht="15">
      <c r="A140" s="138">
        <v>90</v>
      </c>
      <c r="B140" s="140">
        <v>6</v>
      </c>
      <c r="C140" s="140" t="s">
        <v>413</v>
      </c>
      <c r="D140" s="140" t="s">
        <v>426</v>
      </c>
      <c r="E140" s="140" t="s">
        <v>410</v>
      </c>
      <c r="F140" s="140" t="s">
        <v>480</v>
      </c>
      <c r="G140" s="140"/>
      <c r="H140" s="140" t="s">
        <v>486</v>
      </c>
      <c r="I140" s="140">
        <v>100</v>
      </c>
      <c r="J140" s="141">
        <v>6.02</v>
      </c>
      <c r="K140" s="140">
        <v>15</v>
      </c>
      <c r="L140" s="140" t="s">
        <v>103</v>
      </c>
      <c r="M140" s="140">
        <v>3</v>
      </c>
      <c r="Q140" s="108">
        <v>10</v>
      </c>
      <c r="R140" s="53">
        <v>8</v>
      </c>
      <c r="S140" s="53">
        <f t="shared" si="43"/>
        <v>2</v>
      </c>
      <c r="T140" s="80">
        <v>67</v>
      </c>
      <c r="U140" s="80" t="s">
        <v>336</v>
      </c>
      <c r="V140" s="81">
        <v>7.2689155000000003</v>
      </c>
      <c r="W140" s="81">
        <v>1243.2637162100939</v>
      </c>
      <c r="X140" s="83">
        <v>3.0885924999999999</v>
      </c>
      <c r="Y140" s="83">
        <v>-6.275014458640249E-2</v>
      </c>
      <c r="Z140" s="154" t="s">
        <v>54</v>
      </c>
      <c r="AA140" s="75">
        <v>2.9111787500000004</v>
      </c>
      <c r="AB140" s="75">
        <v>7.1289713486518078</v>
      </c>
      <c r="AC140" s="75">
        <v>2.0592423593750002</v>
      </c>
      <c r="AD140" s="75">
        <v>-26.716135928040213</v>
      </c>
      <c r="AE140" s="75">
        <v>2.375375</v>
      </c>
      <c r="AF140" s="75">
        <v>2.375375</v>
      </c>
      <c r="AG140" s="32">
        <f t="shared" si="44"/>
        <v>2.3009777396870598E-2</v>
      </c>
      <c r="AH140" s="32">
        <f t="shared" si="45"/>
        <v>0.53073405008612418</v>
      </c>
      <c r="AI140" s="33">
        <f t="shared" si="46"/>
        <v>0.16725612757166233</v>
      </c>
      <c r="AJ140" s="34">
        <f t="shared" si="47"/>
        <v>1.6392212065906273</v>
      </c>
      <c r="AK140" s="16">
        <f t="shared" si="48"/>
        <v>0.142167708435913</v>
      </c>
      <c r="AL140" s="16">
        <f t="shared" si="49"/>
        <v>1.3933380256020331</v>
      </c>
      <c r="AM140" s="27">
        <f t="shared" si="67"/>
        <v>142.167708435913</v>
      </c>
      <c r="AN140" s="27">
        <f t="shared" si="67"/>
        <v>1393.3380256020332</v>
      </c>
      <c r="AO140" s="29" t="e">
        <f t="shared" si="61"/>
        <v>#VALUE!</v>
      </c>
      <c r="AP140" s="29" t="e">
        <f t="shared" si="62"/>
        <v>#VALUE!</v>
      </c>
      <c r="AQ140" s="27">
        <f t="shared" si="52"/>
        <v>9.8006645878387246</v>
      </c>
      <c r="AR140" s="14">
        <f t="shared" si="53"/>
        <v>1238.114744861442</v>
      </c>
      <c r="AS140" s="25">
        <v>0.36620000000000003</v>
      </c>
      <c r="AT140" s="22">
        <f t="shared" si="54"/>
        <v>0.81601735264694164</v>
      </c>
      <c r="AU140" s="22">
        <f t="shared" si="55"/>
        <v>0.44981735264694162</v>
      </c>
      <c r="AV140" s="15"/>
      <c r="AW140" s="22"/>
      <c r="AX140" s="34">
        <f t="shared" si="56"/>
        <v>4498.1735264694162</v>
      </c>
      <c r="AY140" s="14">
        <f t="shared" si="57"/>
        <v>0.62338578345380946</v>
      </c>
      <c r="AZ140" s="25">
        <v>1.0819000000000001</v>
      </c>
      <c r="BA140" s="22">
        <f t="shared" si="63"/>
        <v>1.1118983084803351</v>
      </c>
      <c r="BB140" s="38">
        <f t="shared" si="64"/>
        <v>2.9998308480335023E-2</v>
      </c>
      <c r="BC140" s="58">
        <f t="shared" si="40"/>
        <v>1.5746618769723026</v>
      </c>
      <c r="BD140" s="32">
        <f t="shared" si="65"/>
        <v>0.47237192737638495</v>
      </c>
      <c r="BE140" s="38">
        <f t="shared" si="66"/>
        <v>299.98308480335027</v>
      </c>
    </row>
    <row r="141" spans="1:57" ht="15">
      <c r="A141" s="138">
        <v>91</v>
      </c>
      <c r="B141" s="140">
        <v>6</v>
      </c>
      <c r="C141" s="140" t="s">
        <v>415</v>
      </c>
      <c r="D141" s="140" t="s">
        <v>424</v>
      </c>
      <c r="E141" s="140" t="s">
        <v>410</v>
      </c>
      <c r="F141" s="140" t="s">
        <v>480</v>
      </c>
      <c r="G141" s="140"/>
      <c r="H141" s="140" t="s">
        <v>486</v>
      </c>
      <c r="I141" s="140">
        <v>100</v>
      </c>
      <c r="J141" s="141">
        <v>4.59</v>
      </c>
      <c r="K141" s="140">
        <v>15</v>
      </c>
      <c r="L141" s="140" t="s">
        <v>104</v>
      </c>
      <c r="M141" s="140">
        <v>3</v>
      </c>
      <c r="Q141" s="108">
        <v>10</v>
      </c>
      <c r="R141" s="53">
        <v>8</v>
      </c>
      <c r="S141" s="53">
        <f t="shared" si="43"/>
        <v>2</v>
      </c>
      <c r="T141" s="82">
        <v>68</v>
      </c>
      <c r="U141" s="82" t="s">
        <v>337</v>
      </c>
      <c r="V141" s="83">
        <v>10.180700999999999</v>
      </c>
      <c r="W141" s="83">
        <v>941.86038906049953</v>
      </c>
      <c r="X141" s="81">
        <v>5.5727824999999998</v>
      </c>
      <c r="Y141" s="81">
        <v>-15.664823587300564</v>
      </c>
      <c r="Z141" s="154" t="s">
        <v>54</v>
      </c>
      <c r="AA141" s="75">
        <v>2.9111787500000004</v>
      </c>
      <c r="AB141" s="75">
        <v>7.1289713486518078</v>
      </c>
      <c r="AC141" s="75">
        <v>2.0592423593750002</v>
      </c>
      <c r="AD141" s="75">
        <v>-26.716135928040213</v>
      </c>
      <c r="AE141" s="75">
        <v>2.375375</v>
      </c>
      <c r="AF141" s="75">
        <v>2.375375</v>
      </c>
      <c r="AG141" s="32">
        <f t="shared" si="44"/>
        <v>2.3009777396870598E-2</v>
      </c>
      <c r="AH141" s="32">
        <f t="shared" si="45"/>
        <v>0.53073405008612418</v>
      </c>
      <c r="AI141" s="33">
        <f t="shared" si="46"/>
        <v>0.23425566375409787</v>
      </c>
      <c r="AJ141" s="34">
        <f t="shared" si="47"/>
        <v>2.957665426474076</v>
      </c>
      <c r="AK141" s="16">
        <f t="shared" si="48"/>
        <v>0.19911731419098319</v>
      </c>
      <c r="AL141" s="16">
        <f t="shared" si="49"/>
        <v>2.5140156125029645</v>
      </c>
      <c r="AM141" s="27">
        <f t="shared" si="67"/>
        <v>199.11731419098319</v>
      </c>
      <c r="AN141" s="27">
        <f t="shared" si="67"/>
        <v>2514.0156125029644</v>
      </c>
      <c r="AO141" s="29" t="e">
        <f t="shared" si="61"/>
        <v>#VALUE!</v>
      </c>
      <c r="AP141" s="29" t="e">
        <f t="shared" si="62"/>
        <v>#VALUE!</v>
      </c>
      <c r="AQ141" s="27">
        <f t="shared" si="52"/>
        <v>12.625801139983482</v>
      </c>
      <c r="AR141" s="14">
        <f t="shared" si="53"/>
        <v>936.71141771184773</v>
      </c>
      <c r="AS141" s="25">
        <v>0.36620000000000003</v>
      </c>
      <c r="AT141" s="22">
        <f t="shared" si="54"/>
        <v>0.70690243050412327</v>
      </c>
      <c r="AU141" s="22">
        <f t="shared" si="55"/>
        <v>0.34070243050412324</v>
      </c>
      <c r="AV141" s="15"/>
      <c r="AW141" s="22"/>
      <c r="AX141" s="34">
        <f t="shared" si="56"/>
        <v>3407.0243050412328</v>
      </c>
      <c r="AY141" s="14">
        <f t="shared" si="57"/>
        <v>-14.978687659260352</v>
      </c>
      <c r="AZ141" s="25">
        <v>1.0819000000000001</v>
      </c>
      <c r="BA141" s="22">
        <f t="shared" si="63"/>
        <v>1.0947509953185279</v>
      </c>
      <c r="BB141" s="38">
        <f t="shared" si="64"/>
        <v>1.2850995318527847E-2</v>
      </c>
      <c r="BC141" s="58">
        <f t="shared" si="40"/>
        <v>2.8349870979769589</v>
      </c>
      <c r="BD141" s="32">
        <f t="shared" si="65"/>
        <v>0.36432405924188743</v>
      </c>
      <c r="BE141" s="38">
        <f t="shared" si="66"/>
        <v>128.50995318527848</v>
      </c>
    </row>
    <row r="142" spans="1:57" ht="15">
      <c r="A142" s="138">
        <v>92</v>
      </c>
      <c r="B142" s="140">
        <v>6</v>
      </c>
      <c r="C142" s="140" t="s">
        <v>417</v>
      </c>
      <c r="D142" s="140" t="s">
        <v>409</v>
      </c>
      <c r="E142" s="140" t="s">
        <v>410</v>
      </c>
      <c r="F142" s="140" t="s">
        <v>480</v>
      </c>
      <c r="G142" s="140"/>
      <c r="H142" s="140" t="s">
        <v>486</v>
      </c>
      <c r="I142" s="140">
        <v>100</v>
      </c>
      <c r="J142" s="141">
        <v>6.14</v>
      </c>
      <c r="K142" s="140">
        <v>15</v>
      </c>
      <c r="L142" s="140" t="s">
        <v>105</v>
      </c>
      <c r="M142" s="140">
        <v>3</v>
      </c>
      <c r="Q142" s="108">
        <v>10</v>
      </c>
      <c r="R142" s="53">
        <v>8</v>
      </c>
      <c r="S142" s="53">
        <f t="shared" si="43"/>
        <v>2</v>
      </c>
      <c r="T142" s="80">
        <v>69</v>
      </c>
      <c r="U142" s="80" t="s">
        <v>338</v>
      </c>
      <c r="V142" s="81">
        <v>8.1257064999999997</v>
      </c>
      <c r="W142" s="81">
        <v>2896.4757649319213</v>
      </c>
      <c r="X142" s="83">
        <v>4.3340759999999996</v>
      </c>
      <c r="Y142" s="83">
        <v>17.830952351519304</v>
      </c>
      <c r="Z142" s="154" t="s">
        <v>54</v>
      </c>
      <c r="AA142" s="75">
        <v>2.9111787500000004</v>
      </c>
      <c r="AB142" s="75">
        <v>7.1289713486518078</v>
      </c>
      <c r="AC142" s="75">
        <v>2.0592423593750002</v>
      </c>
      <c r="AD142" s="75">
        <v>-26.716135928040213</v>
      </c>
      <c r="AE142" s="75">
        <v>2.375375</v>
      </c>
      <c r="AF142" s="75">
        <v>2.375375</v>
      </c>
      <c r="AG142" s="32">
        <f t="shared" si="44"/>
        <v>2.3009777396870598E-2</v>
      </c>
      <c r="AH142" s="32">
        <f t="shared" si="45"/>
        <v>0.53073405008612418</v>
      </c>
      <c r="AI142" s="33">
        <f t="shared" si="46"/>
        <v>0.18697069775730449</v>
      </c>
      <c r="AJ142" s="34">
        <f t="shared" si="47"/>
        <v>2.3002417088610687</v>
      </c>
      <c r="AK142" s="16">
        <f t="shared" si="48"/>
        <v>0.15892509309370884</v>
      </c>
      <c r="AL142" s="16">
        <f t="shared" si="49"/>
        <v>1.9552054525319083</v>
      </c>
      <c r="AM142" s="27">
        <f t="shared" si="67"/>
        <v>158.92509309370882</v>
      </c>
      <c r="AN142" s="27">
        <f t="shared" si="67"/>
        <v>1955.2054525319083</v>
      </c>
      <c r="AO142" s="29" t="e">
        <f t="shared" si="61"/>
        <v>#VALUE!</v>
      </c>
      <c r="AP142" s="29" t="e">
        <f t="shared" si="62"/>
        <v>#VALUE!</v>
      </c>
      <c r="AQ142" s="27">
        <f t="shared" si="52"/>
        <v>12.302685588983977</v>
      </c>
      <c r="AR142" s="14">
        <f t="shared" si="53"/>
        <v>2891.3267935832696</v>
      </c>
      <c r="AS142" s="25">
        <v>0.36620000000000003</v>
      </c>
      <c r="AT142" s="22">
        <f t="shared" si="54"/>
        <v>1.4102783778766304</v>
      </c>
      <c r="AU142" s="22">
        <f t="shared" si="55"/>
        <v>1.0440783778766303</v>
      </c>
      <c r="AV142" s="15"/>
      <c r="AW142" s="22"/>
      <c r="AX142" s="34">
        <f t="shared" si="56"/>
        <v>10440.783778766303</v>
      </c>
      <c r="AY142" s="14">
        <f t="shared" si="57"/>
        <v>18.517088279559516</v>
      </c>
      <c r="AZ142" s="25">
        <v>1.0819000000000001</v>
      </c>
      <c r="BA142" s="22">
        <f t="shared" si="63"/>
        <v>1.1315568968276859</v>
      </c>
      <c r="BB142" s="38">
        <f t="shared" si="64"/>
        <v>4.9656896827685815E-2</v>
      </c>
      <c r="BC142" s="58">
        <f t="shared" si="40"/>
        <v>2.2065436039719093</v>
      </c>
      <c r="BD142" s="32">
        <f t="shared" si="65"/>
        <v>1.0957010808822314</v>
      </c>
      <c r="BE142" s="38">
        <f t="shared" si="66"/>
        <v>496.56896827685819</v>
      </c>
    </row>
    <row r="143" spans="1:57" ht="15">
      <c r="A143" s="138">
        <v>93</v>
      </c>
      <c r="B143" s="140">
        <v>6</v>
      </c>
      <c r="C143" s="140" t="s">
        <v>419</v>
      </c>
      <c r="D143" s="140" t="s">
        <v>416</v>
      </c>
      <c r="E143" s="140" t="s">
        <v>410</v>
      </c>
      <c r="F143" s="140" t="s">
        <v>480</v>
      </c>
      <c r="G143" s="140"/>
      <c r="H143" s="140" t="s">
        <v>486</v>
      </c>
      <c r="I143" s="140">
        <v>100</v>
      </c>
      <c r="J143" s="141">
        <v>4.51</v>
      </c>
      <c r="K143" s="140">
        <v>15</v>
      </c>
      <c r="L143" s="140" t="s">
        <v>433</v>
      </c>
      <c r="M143" s="140">
        <v>3</v>
      </c>
      <c r="Q143" s="108">
        <v>10</v>
      </c>
      <c r="R143" s="53">
        <v>8</v>
      </c>
      <c r="S143" s="53">
        <f t="shared" si="43"/>
        <v>2</v>
      </c>
      <c r="T143" s="80">
        <v>71</v>
      </c>
      <c r="U143" s="80" t="s">
        <v>340</v>
      </c>
      <c r="V143" s="81">
        <v>3.6670595000000001</v>
      </c>
      <c r="W143" s="81">
        <v>2949.0405762328173</v>
      </c>
      <c r="X143" s="83">
        <v>2.1167194999999999</v>
      </c>
      <c r="Y143" s="83">
        <v>40.682465148940366</v>
      </c>
      <c r="Z143" s="154" t="s">
        <v>54</v>
      </c>
      <c r="AA143" s="75">
        <v>2.9111787500000004</v>
      </c>
      <c r="AB143" s="75">
        <v>7.1289713486518078</v>
      </c>
      <c r="AC143" s="75">
        <v>2.0592423593750002</v>
      </c>
      <c r="AD143" s="75">
        <v>-26.716135928040213</v>
      </c>
      <c r="AE143" s="75">
        <v>2.375375</v>
      </c>
      <c r="AF143" s="75">
        <v>2.375375</v>
      </c>
      <c r="AG143" s="32">
        <f t="shared" si="44"/>
        <v>2.3009777396870598E-2</v>
      </c>
      <c r="AH143" s="32">
        <f t="shared" si="45"/>
        <v>0.53073405008612418</v>
      </c>
      <c r="AI143" s="33">
        <f t="shared" si="46"/>
        <v>8.4378222796079594E-2</v>
      </c>
      <c r="AJ143" s="34">
        <f t="shared" si="47"/>
        <v>1.1234151131312757</v>
      </c>
      <c r="AK143" s="16">
        <f t="shared" si="48"/>
        <v>7.1721489376667655E-2</v>
      </c>
      <c r="AL143" s="16">
        <f t="shared" si="49"/>
        <v>0.95490284616158438</v>
      </c>
      <c r="AM143" s="27">
        <f t="shared" si="67"/>
        <v>71.721489376667648</v>
      </c>
      <c r="AN143" s="27">
        <f t="shared" si="67"/>
        <v>954.90284616158442</v>
      </c>
      <c r="AO143" s="29" t="e">
        <f t="shared" si="61"/>
        <v>#VALUE!</v>
      </c>
      <c r="AP143" s="29" t="e">
        <f t="shared" si="62"/>
        <v>#VALUE!</v>
      </c>
      <c r="AQ143" s="27">
        <f t="shared" si="52"/>
        <v>13.314040944501526</v>
      </c>
      <c r="AR143" s="14">
        <f t="shared" si="53"/>
        <v>2943.8916048841656</v>
      </c>
      <c r="AS143" s="25">
        <v>0.36620000000000003</v>
      </c>
      <c r="AT143" s="22">
        <f t="shared" si="54"/>
        <v>1.4290564570790305</v>
      </c>
      <c r="AU143" s="22">
        <f t="shared" si="55"/>
        <v>1.0628564570790304</v>
      </c>
      <c r="AV143" s="15"/>
      <c r="AW143" s="22"/>
      <c r="AX143" s="34">
        <f t="shared" si="56"/>
        <v>10628.564570790304</v>
      </c>
      <c r="AY143" s="14">
        <f t="shared" si="57"/>
        <v>41.368601076980582</v>
      </c>
      <c r="AZ143" s="25">
        <v>1.0819000000000001</v>
      </c>
      <c r="BA143" s="22">
        <f t="shared" si="63"/>
        <v>1.1566509309582611</v>
      </c>
      <c r="BB143" s="38">
        <f t="shared" si="64"/>
        <v>7.4750930958261019E-2</v>
      </c>
      <c r="BC143" s="58">
        <f t="shared" si="40"/>
        <v>1.0815932898217795</v>
      </c>
      <c r="BD143" s="32">
        <f t="shared" si="65"/>
        <v>0.80850105332386246</v>
      </c>
      <c r="BE143" s="38">
        <f t="shared" si="66"/>
        <v>747.50930958261017</v>
      </c>
    </row>
    <row r="144" spans="1:57" ht="15">
      <c r="A144" s="138">
        <v>94</v>
      </c>
      <c r="B144" s="140">
        <v>6</v>
      </c>
      <c r="C144" s="140" t="s">
        <v>421</v>
      </c>
      <c r="D144" s="140" t="s">
        <v>414</v>
      </c>
      <c r="E144" s="140" t="s">
        <v>410</v>
      </c>
      <c r="F144" s="140" t="s">
        <v>480</v>
      </c>
      <c r="G144" s="140"/>
      <c r="H144" s="140" t="s">
        <v>486</v>
      </c>
      <c r="I144" s="140">
        <v>100</v>
      </c>
      <c r="J144" s="141">
        <v>3.38</v>
      </c>
      <c r="K144" s="140">
        <v>15</v>
      </c>
      <c r="L144" s="140" t="s">
        <v>434</v>
      </c>
      <c r="M144" s="140">
        <v>3</v>
      </c>
      <c r="Q144" s="108">
        <v>10</v>
      </c>
      <c r="R144" s="53">
        <v>8</v>
      </c>
      <c r="S144" s="53">
        <f t="shared" si="43"/>
        <v>2</v>
      </c>
      <c r="T144" s="82">
        <v>72</v>
      </c>
      <c r="U144" s="82" t="s">
        <v>341</v>
      </c>
      <c r="V144" s="83">
        <v>5.7678989999999999</v>
      </c>
      <c r="W144" s="83">
        <v>1468.2645382116266</v>
      </c>
      <c r="X144" s="81">
        <v>2.8299829999999999</v>
      </c>
      <c r="Y144" s="81">
        <v>12.550341327016069</v>
      </c>
      <c r="Z144" s="154" t="s">
        <v>54</v>
      </c>
      <c r="AA144" s="75">
        <v>2.9111787500000004</v>
      </c>
      <c r="AB144" s="75">
        <v>7.1289713486518078</v>
      </c>
      <c r="AC144" s="75">
        <v>2.0592423593750002</v>
      </c>
      <c r="AD144" s="75">
        <v>-26.716135928040213</v>
      </c>
      <c r="AE144" s="75">
        <v>2.375375</v>
      </c>
      <c r="AF144" s="75">
        <v>2.375375</v>
      </c>
      <c r="AG144" s="32">
        <f t="shared" si="44"/>
        <v>2.3009777396870598E-2</v>
      </c>
      <c r="AH144" s="32">
        <f t="shared" si="45"/>
        <v>0.53073405008612418</v>
      </c>
      <c r="AI144" s="33">
        <f t="shared" si="46"/>
        <v>0.13271807203763253</v>
      </c>
      <c r="AJ144" s="34">
        <f t="shared" si="47"/>
        <v>1.5019683392648799</v>
      </c>
      <c r="AK144" s="16">
        <f t="shared" si="48"/>
        <v>0.11281036123198766</v>
      </c>
      <c r="AL144" s="16">
        <f t="shared" si="49"/>
        <v>1.276673088375148</v>
      </c>
      <c r="AM144" s="27">
        <f t="shared" si="67"/>
        <v>112.81036123198766</v>
      </c>
      <c r="AN144" s="27">
        <f t="shared" si="67"/>
        <v>1276.6730883751479</v>
      </c>
      <c r="AO144" s="29" t="e">
        <f t="shared" si="61"/>
        <v>#VALUE!</v>
      </c>
      <c r="AP144" s="29" t="e">
        <f t="shared" si="62"/>
        <v>#VALUE!</v>
      </c>
      <c r="AQ144" s="27">
        <f t="shared" si="52"/>
        <v>11.316984312724141</v>
      </c>
      <c r="AR144" s="14">
        <f t="shared" si="53"/>
        <v>1463.1155668629747</v>
      </c>
      <c r="AS144" s="25">
        <v>0.36620000000000003</v>
      </c>
      <c r="AT144" s="22">
        <f t="shared" si="54"/>
        <v>0.89731660738195196</v>
      </c>
      <c r="AU144" s="22">
        <f t="shared" si="55"/>
        <v>0.53111660738195199</v>
      </c>
      <c r="AV144" s="15"/>
      <c r="AW144" s="22"/>
      <c r="AX144" s="34">
        <f t="shared" si="56"/>
        <v>5311.1660738195205</v>
      </c>
      <c r="AY144" s="14">
        <f t="shared" si="57"/>
        <v>13.236477255056281</v>
      </c>
      <c r="AZ144" s="25">
        <v>1.0819000000000001</v>
      </c>
      <c r="BA144" s="22">
        <f t="shared" si="63"/>
        <v>1.1257562632937828</v>
      </c>
      <c r="BB144" s="38">
        <f t="shared" si="64"/>
        <v>4.3856263293782671E-2</v>
      </c>
      <c r="BC144" s="58">
        <f t="shared" si="40"/>
        <v>1.4434593219175753</v>
      </c>
      <c r="BD144" s="32">
        <f t="shared" si="65"/>
        <v>0.63304732075882186</v>
      </c>
      <c r="BE144" s="38">
        <f t="shared" si="66"/>
        <v>438.56263293782672</v>
      </c>
    </row>
    <row r="145" spans="1:57" ht="15">
      <c r="A145" s="138">
        <v>95</v>
      </c>
      <c r="B145" s="140">
        <v>6</v>
      </c>
      <c r="C145" s="140" t="s">
        <v>423</v>
      </c>
      <c r="D145" s="140" t="s">
        <v>420</v>
      </c>
      <c r="E145" s="140" t="s">
        <v>410</v>
      </c>
      <c r="F145" s="140" t="s">
        <v>480</v>
      </c>
      <c r="G145" s="140"/>
      <c r="H145" s="140" t="s">
        <v>486</v>
      </c>
      <c r="I145" s="140">
        <v>100</v>
      </c>
      <c r="J145" s="141">
        <v>9.94</v>
      </c>
      <c r="K145" s="140">
        <v>15</v>
      </c>
      <c r="L145" s="140" t="s">
        <v>435</v>
      </c>
      <c r="M145" s="140">
        <v>3</v>
      </c>
      <c r="Q145" s="108">
        <v>10</v>
      </c>
      <c r="R145" s="53">
        <v>8</v>
      </c>
      <c r="S145" s="53">
        <f t="shared" si="43"/>
        <v>2</v>
      </c>
      <c r="T145" s="80">
        <v>73</v>
      </c>
      <c r="U145" s="80" t="s">
        <v>342</v>
      </c>
      <c r="V145" s="81">
        <v>6.1623844999999999</v>
      </c>
      <c r="W145" s="81">
        <v>1822.1203564735963</v>
      </c>
      <c r="X145" s="83">
        <v>4.5126739999999996</v>
      </c>
      <c r="Y145" s="83">
        <v>-7.0109828899778792</v>
      </c>
      <c r="Z145" s="154" t="s">
        <v>54</v>
      </c>
      <c r="AA145" s="75">
        <v>2.9111787500000004</v>
      </c>
      <c r="AB145" s="75">
        <v>7.1289713486518078</v>
      </c>
      <c r="AC145" s="75">
        <v>2.0592423593750002</v>
      </c>
      <c r="AD145" s="75">
        <v>-26.716135928040213</v>
      </c>
      <c r="AE145" s="75">
        <v>2.375375</v>
      </c>
      <c r="AF145" s="75">
        <v>2.375375</v>
      </c>
      <c r="AG145" s="32">
        <f t="shared" si="44"/>
        <v>2.3009777396870598E-2</v>
      </c>
      <c r="AH145" s="32">
        <f t="shared" si="45"/>
        <v>0.53073405008612418</v>
      </c>
      <c r="AI145" s="33">
        <f t="shared" si="46"/>
        <v>0.14179509557892572</v>
      </c>
      <c r="AJ145" s="34">
        <f t="shared" si="47"/>
        <v>2.3950297487383501</v>
      </c>
      <c r="AK145" s="16">
        <f t="shared" si="48"/>
        <v>0.12052583124208688</v>
      </c>
      <c r="AL145" s="16">
        <f t="shared" si="49"/>
        <v>2.0357752864275973</v>
      </c>
      <c r="AM145" s="27">
        <f t="shared" si="67"/>
        <v>120.52583124208688</v>
      </c>
      <c r="AN145" s="27">
        <f t="shared" si="67"/>
        <v>2035.7752864275974</v>
      </c>
      <c r="AO145" s="29" t="e">
        <f t="shared" si="61"/>
        <v>#VALUE!</v>
      </c>
      <c r="AP145" s="29" t="e">
        <f t="shared" si="62"/>
        <v>#VALUE!</v>
      </c>
      <c r="AQ145" s="27">
        <f t="shared" si="52"/>
        <v>16.89077988882368</v>
      </c>
      <c r="AR145" s="14">
        <f t="shared" si="53"/>
        <v>1816.9713851249444</v>
      </c>
      <c r="AS145" s="25">
        <v>0.36620000000000003</v>
      </c>
      <c r="AT145" s="22">
        <f t="shared" si="54"/>
        <v>1.0249055922992945</v>
      </c>
      <c r="AU145" s="22">
        <f t="shared" si="55"/>
        <v>0.65870559229929437</v>
      </c>
      <c r="AV145" s="15"/>
      <c r="AW145" s="22"/>
      <c r="AX145" s="34">
        <f t="shared" si="56"/>
        <v>6587.055922992944</v>
      </c>
      <c r="AY145" s="14">
        <f t="shared" si="57"/>
        <v>-6.3248469619376673</v>
      </c>
      <c r="AZ145" s="25">
        <v>1.0819000000000001</v>
      </c>
      <c r="BA145" s="22">
        <f t="shared" si="63"/>
        <v>1.1042626525347228</v>
      </c>
      <c r="BB145" s="38">
        <f t="shared" si="64"/>
        <v>2.2362652534722693E-2</v>
      </c>
      <c r="BC145" s="58">
        <f t="shared" ref="BC145:BC194" si="68">1.12461*AL145+0.0077</f>
        <v>2.2971532448693401</v>
      </c>
      <c r="BD145" s="32">
        <f t="shared" si="65"/>
        <v>0.51370439834023807</v>
      </c>
      <c r="BE145" s="38">
        <f t="shared" si="66"/>
        <v>223.62652534722693</v>
      </c>
    </row>
    <row r="146" spans="1:57" ht="15">
      <c r="A146" s="138">
        <v>96</v>
      </c>
      <c r="B146" s="140">
        <v>6</v>
      </c>
      <c r="C146" s="140" t="s">
        <v>425</v>
      </c>
      <c r="D146" s="140" t="s">
        <v>418</v>
      </c>
      <c r="E146" s="140" t="s">
        <v>410</v>
      </c>
      <c r="F146" s="140" t="s">
        <v>480</v>
      </c>
      <c r="G146" s="140"/>
      <c r="H146" s="140" t="s">
        <v>486</v>
      </c>
      <c r="I146" s="140">
        <v>100</v>
      </c>
      <c r="J146" s="141">
        <v>2.27</v>
      </c>
      <c r="K146" s="140">
        <v>15</v>
      </c>
      <c r="L146" s="140" t="s">
        <v>436</v>
      </c>
      <c r="M146" s="140">
        <v>3</v>
      </c>
      <c r="Q146" s="108">
        <v>10</v>
      </c>
      <c r="R146" s="53">
        <v>8</v>
      </c>
      <c r="S146" s="53">
        <f t="shared" si="43"/>
        <v>2</v>
      </c>
      <c r="T146" s="82">
        <v>74</v>
      </c>
      <c r="U146" s="82" t="s">
        <v>343</v>
      </c>
      <c r="V146" s="83">
        <v>3.7837737499999999</v>
      </c>
      <c r="W146" s="83">
        <v>39.013315687894242</v>
      </c>
      <c r="X146" s="81">
        <v>2.3351600000000001</v>
      </c>
      <c r="Y146" s="81">
        <v>-29.644183917682593</v>
      </c>
      <c r="Z146" s="154" t="s">
        <v>54</v>
      </c>
      <c r="AA146" s="75">
        <v>2.9111787500000004</v>
      </c>
      <c r="AB146" s="75">
        <v>7.1289713486518078</v>
      </c>
      <c r="AC146" s="75">
        <v>2.0592423593750002</v>
      </c>
      <c r="AD146" s="75">
        <v>-26.716135928040213</v>
      </c>
      <c r="AE146" s="75">
        <v>2.375375</v>
      </c>
      <c r="AF146" s="75">
        <v>2.375375</v>
      </c>
      <c r="AG146" s="32">
        <f t="shared" si="44"/>
        <v>2.3009777396870598E-2</v>
      </c>
      <c r="AH146" s="32">
        <f t="shared" si="45"/>
        <v>0.53073405008612418</v>
      </c>
      <c r="AI146" s="33">
        <f t="shared" si="46"/>
        <v>8.7063791707622296E-2</v>
      </c>
      <c r="AJ146" s="34">
        <f t="shared" si="47"/>
        <v>1.2393489243991138</v>
      </c>
      <c r="AK146" s="16">
        <f t="shared" si="48"/>
        <v>7.4004222951478946E-2</v>
      </c>
      <c r="AL146" s="16">
        <f t="shared" si="49"/>
        <v>1.0534465857392468</v>
      </c>
      <c r="AM146" s="27">
        <f t="shared" si="67"/>
        <v>74.004222951478951</v>
      </c>
      <c r="AN146" s="27">
        <f t="shared" si="67"/>
        <v>1053.4465857392468</v>
      </c>
      <c r="AO146" s="29" t="e">
        <f t="shared" si="61"/>
        <v>#VALUE!</v>
      </c>
      <c r="AP146" s="29" t="e">
        <f t="shared" si="62"/>
        <v>#VALUE!</v>
      </c>
      <c r="AQ146" s="27">
        <f t="shared" si="52"/>
        <v>14.234952327381933</v>
      </c>
      <c r="AR146" s="14">
        <f t="shared" si="53"/>
        <v>33.864344339242436</v>
      </c>
      <c r="AS146" s="25">
        <v>0.36620000000000003</v>
      </c>
      <c r="AT146" s="22">
        <f t="shared" si="54"/>
        <v>0.37860963262459807</v>
      </c>
      <c r="AU146" s="22">
        <f t="shared" si="55"/>
        <v>1.2409632624598044E-2</v>
      </c>
      <c r="AV146" s="15"/>
      <c r="AW146" s="22"/>
      <c r="AX146" s="34">
        <f t="shared" si="56"/>
        <v>124.09632624598042</v>
      </c>
      <c r="AY146" s="14">
        <f t="shared" si="57"/>
        <v>-28.958047989642381</v>
      </c>
      <c r="AZ146" s="25">
        <v>1.0819000000000001</v>
      </c>
      <c r="BA146" s="22">
        <f t="shared" si="63"/>
        <v>1.0793820579219189</v>
      </c>
      <c r="BB146" s="38">
        <f t="shared" si="64"/>
        <v>-2.5179420780812034E-3</v>
      </c>
      <c r="BC146" s="58">
        <f t="shared" si="68"/>
        <v>1.1924165647882146</v>
      </c>
      <c r="BD146" s="32">
        <f t="shared" si="65"/>
        <v>-3.0024358430812869E-2</v>
      </c>
      <c r="BE146" s="38">
        <f t="shared" si="66"/>
        <v>-25.179420780812034</v>
      </c>
    </row>
    <row r="147" spans="1:57" ht="15">
      <c r="A147" s="138">
        <v>145</v>
      </c>
      <c r="B147" s="139">
        <v>1</v>
      </c>
      <c r="C147" s="140" t="s">
        <v>408</v>
      </c>
      <c r="D147" s="140" t="s">
        <v>409</v>
      </c>
      <c r="E147" s="140" t="s">
        <v>437</v>
      </c>
      <c r="F147" s="140" t="s">
        <v>480</v>
      </c>
      <c r="G147" s="140"/>
      <c r="H147" s="140" t="s">
        <v>481</v>
      </c>
      <c r="I147" s="140">
        <v>50</v>
      </c>
      <c r="J147" s="140">
        <v>10</v>
      </c>
      <c r="K147" s="140">
        <v>15</v>
      </c>
      <c r="L147" s="140" t="s">
        <v>438</v>
      </c>
      <c r="M147" s="140">
        <v>3</v>
      </c>
      <c r="Q147" s="108">
        <v>10</v>
      </c>
      <c r="R147" s="53">
        <v>8</v>
      </c>
      <c r="S147" s="53">
        <f t="shared" si="43"/>
        <v>2</v>
      </c>
      <c r="T147" s="80">
        <v>75</v>
      </c>
      <c r="U147" s="80" t="s">
        <v>344</v>
      </c>
      <c r="V147" s="81">
        <v>6.0582364999999996</v>
      </c>
      <c r="W147" s="81">
        <v>7.3264870575441456</v>
      </c>
      <c r="X147" s="83">
        <v>2.5085082500000002</v>
      </c>
      <c r="Y147" s="83">
        <v>-25.640945510771385</v>
      </c>
      <c r="Z147" s="154" t="s">
        <v>54</v>
      </c>
      <c r="AA147" s="75">
        <v>2.9111787500000004</v>
      </c>
      <c r="AB147" s="75">
        <v>7.1289713486518078</v>
      </c>
      <c r="AC147" s="75">
        <v>2.0592423593750002</v>
      </c>
      <c r="AD147" s="75">
        <v>-26.716135928040213</v>
      </c>
      <c r="AE147" s="75">
        <v>2.375375</v>
      </c>
      <c r="AF147" s="75">
        <v>2.375375</v>
      </c>
      <c r="AG147" s="32">
        <f t="shared" si="44"/>
        <v>2.3009777396870598E-2</v>
      </c>
      <c r="AH147" s="32">
        <f t="shared" si="45"/>
        <v>0.53073405008612418</v>
      </c>
      <c r="AI147" s="33">
        <f t="shared" si="46"/>
        <v>0.13939867328259642</v>
      </c>
      <c r="AJ147" s="34">
        <f t="shared" si="47"/>
        <v>1.3313507431969558</v>
      </c>
      <c r="AK147" s="16">
        <f t="shared" si="48"/>
        <v>0.11848887229020695</v>
      </c>
      <c r="AL147" s="16">
        <f t="shared" si="49"/>
        <v>1.1316481317174125</v>
      </c>
      <c r="AM147" s="27">
        <f t="shared" si="67"/>
        <v>118.48887229020696</v>
      </c>
      <c r="AN147" s="27">
        <f t="shared" si="67"/>
        <v>1131.6481317174125</v>
      </c>
      <c r="AO147" s="29" t="e">
        <f t="shared" si="61"/>
        <v>#VALUE!</v>
      </c>
      <c r="AP147" s="29" t="e">
        <f t="shared" si="62"/>
        <v>#VALUE!</v>
      </c>
      <c r="AQ147" s="27">
        <f t="shared" si="52"/>
        <v>9.5506701164793046</v>
      </c>
      <c r="AR147" s="14">
        <f t="shared" si="53"/>
        <v>2.1775157088923383</v>
      </c>
      <c r="AS147" s="25">
        <v>0.36620000000000003</v>
      </c>
      <c r="AT147" s="22">
        <f t="shared" si="54"/>
        <v>0.36704824736206476</v>
      </c>
      <c r="AU147" s="22">
        <f t="shared" si="55"/>
        <v>8.4824736206473572E-4</v>
      </c>
      <c r="AV147" s="15"/>
      <c r="AW147" s="22"/>
      <c r="AX147" s="34">
        <f t="shared" si="56"/>
        <v>8.4824736206473581</v>
      </c>
      <c r="AY147" s="14">
        <f t="shared" si="57"/>
        <v>-24.954809582731173</v>
      </c>
      <c r="AZ147" s="25">
        <v>1.0819000000000001</v>
      </c>
      <c r="BA147" s="22">
        <f t="shared" si="63"/>
        <v>1.0837837144619766</v>
      </c>
      <c r="BB147" s="38">
        <f t="shared" si="64"/>
        <v>1.8837144619765489E-3</v>
      </c>
      <c r="BC147" s="58">
        <f t="shared" si="68"/>
        <v>1.2803628054107195</v>
      </c>
      <c r="BD147" s="32">
        <f t="shared" si="65"/>
        <v>2.4118379331290383E-2</v>
      </c>
      <c r="BE147" s="38">
        <f t="shared" si="66"/>
        <v>18.837144619765489</v>
      </c>
    </row>
    <row r="148" spans="1:57" ht="15">
      <c r="A148" s="138">
        <v>146</v>
      </c>
      <c r="B148" s="139">
        <v>1</v>
      </c>
      <c r="C148" s="140" t="s">
        <v>413</v>
      </c>
      <c r="D148" s="140" t="s">
        <v>414</v>
      </c>
      <c r="E148" s="140" t="s">
        <v>437</v>
      </c>
      <c r="F148" s="140" t="s">
        <v>480</v>
      </c>
      <c r="G148" s="140"/>
      <c r="H148" s="140" t="s">
        <v>481</v>
      </c>
      <c r="I148" s="140">
        <v>50</v>
      </c>
      <c r="J148" s="140">
        <v>10</v>
      </c>
      <c r="K148" s="140">
        <v>15</v>
      </c>
      <c r="L148" s="140" t="s">
        <v>439</v>
      </c>
      <c r="M148" s="140">
        <v>3</v>
      </c>
      <c r="Q148" s="108">
        <v>10</v>
      </c>
      <c r="R148" s="53">
        <v>8</v>
      </c>
      <c r="S148" s="53">
        <f t="shared" si="43"/>
        <v>2</v>
      </c>
      <c r="T148" s="82">
        <v>76</v>
      </c>
      <c r="U148" s="82" t="s">
        <v>345</v>
      </c>
      <c r="V148" s="83">
        <v>2.4866212499999998</v>
      </c>
      <c r="W148" s="83">
        <v>13.817266823565378</v>
      </c>
      <c r="X148" s="81">
        <v>1.1468769999999999</v>
      </c>
      <c r="Y148" s="81">
        <v>-24.950632079540071</v>
      </c>
      <c r="Z148" s="154" t="s">
        <v>54</v>
      </c>
      <c r="AA148" s="75">
        <v>2.9111787500000004</v>
      </c>
      <c r="AB148" s="75">
        <v>7.1289713486518078</v>
      </c>
      <c r="AC148" s="75">
        <v>2.0592423593750002</v>
      </c>
      <c r="AD148" s="75">
        <v>-26.716135928040213</v>
      </c>
      <c r="AE148" s="75">
        <v>2.375375</v>
      </c>
      <c r="AF148" s="75">
        <v>2.375375</v>
      </c>
      <c r="AG148" s="32">
        <f t="shared" si="44"/>
        <v>2.3009777396870598E-2</v>
      </c>
      <c r="AH148" s="32">
        <f t="shared" si="45"/>
        <v>0.53073405008612418</v>
      </c>
      <c r="AI148" s="33">
        <f t="shared" si="46"/>
        <v>5.7216601432828106E-2</v>
      </c>
      <c r="AJ148" s="34">
        <f t="shared" si="47"/>
        <v>0.6086866751606238</v>
      </c>
      <c r="AK148" s="16">
        <f t="shared" si="48"/>
        <v>4.863411121790389E-2</v>
      </c>
      <c r="AL148" s="16">
        <f t="shared" si="49"/>
        <v>0.51738367388653028</v>
      </c>
      <c r="AM148" s="27">
        <f t="shared" si="67"/>
        <v>48.634111217903893</v>
      </c>
      <c r="AN148" s="27">
        <f t="shared" si="67"/>
        <v>517.38367388653023</v>
      </c>
      <c r="AO148" s="29" t="e">
        <f t="shared" si="61"/>
        <v>#VALUE!</v>
      </c>
      <c r="AP148" s="29" t="e">
        <f t="shared" si="62"/>
        <v>#VALUE!</v>
      </c>
      <c r="AQ148" s="27">
        <f t="shared" si="52"/>
        <v>10.638287838106178</v>
      </c>
      <c r="AR148" s="14">
        <f t="shared" si="53"/>
        <v>8.6682954749135703</v>
      </c>
      <c r="AS148" s="25">
        <v>0.36620000000000003</v>
      </c>
      <c r="AT148" s="22">
        <f t="shared" si="54"/>
        <v>0.36941671822441602</v>
      </c>
      <c r="AU148" s="22">
        <f t="shared" si="55"/>
        <v>3.2167182244159931E-3</v>
      </c>
      <c r="AV148" s="15"/>
      <c r="AW148" s="22"/>
      <c r="AX148" s="34">
        <f t="shared" si="56"/>
        <v>32.167182244159932</v>
      </c>
      <c r="AY148" s="14">
        <f t="shared" si="57"/>
        <v>-24.264496151499859</v>
      </c>
      <c r="AZ148" s="25">
        <v>1.0819000000000001</v>
      </c>
      <c r="BA148" s="22">
        <f t="shared" si="63"/>
        <v>1.0845426910210554</v>
      </c>
      <c r="BB148" s="38">
        <f t="shared" si="64"/>
        <v>2.642691021055299E-3</v>
      </c>
      <c r="BC148" s="58">
        <f t="shared" si="68"/>
        <v>0.58955485348953096</v>
      </c>
      <c r="BD148" s="32">
        <f t="shared" si="65"/>
        <v>1.5580113177363559E-2</v>
      </c>
      <c r="BE148" s="38">
        <f t="shared" si="66"/>
        <v>26.426910210552986</v>
      </c>
    </row>
    <row r="149" spans="1:57" ht="15">
      <c r="A149" s="138">
        <v>147</v>
      </c>
      <c r="B149" s="139">
        <v>1</v>
      </c>
      <c r="C149" s="140" t="s">
        <v>415</v>
      </c>
      <c r="D149" s="140" t="s">
        <v>416</v>
      </c>
      <c r="E149" s="140" t="s">
        <v>437</v>
      </c>
      <c r="F149" s="140" t="s">
        <v>480</v>
      </c>
      <c r="G149" s="140"/>
      <c r="H149" s="140" t="s">
        <v>481</v>
      </c>
      <c r="I149" s="140">
        <v>50</v>
      </c>
      <c r="J149" s="140">
        <v>10</v>
      </c>
      <c r="K149" s="140">
        <v>15</v>
      </c>
      <c r="L149" s="140" t="s">
        <v>440</v>
      </c>
      <c r="M149" s="140">
        <v>3</v>
      </c>
      <c r="Q149" s="108">
        <v>10</v>
      </c>
      <c r="R149" s="53">
        <v>8</v>
      </c>
      <c r="S149" s="53">
        <f t="shared" si="43"/>
        <v>2</v>
      </c>
      <c r="T149" s="80">
        <v>77</v>
      </c>
      <c r="U149" s="80" t="s">
        <v>346</v>
      </c>
      <c r="V149" s="81">
        <v>1.3193563749999999</v>
      </c>
      <c r="W149" s="81">
        <v>23.275114592734116</v>
      </c>
      <c r="X149" s="83">
        <v>0.67470412499999999</v>
      </c>
      <c r="Y149" s="83">
        <v>-25.135107865324237</v>
      </c>
      <c r="Z149" s="154" t="s">
        <v>54</v>
      </c>
      <c r="AA149" s="75">
        <v>2.9111787500000004</v>
      </c>
      <c r="AB149" s="75">
        <v>7.1289713486518078</v>
      </c>
      <c r="AC149" s="75">
        <v>2.0592423593750002</v>
      </c>
      <c r="AD149" s="75">
        <v>-26.716135928040213</v>
      </c>
      <c r="AE149" s="75">
        <v>2.375375</v>
      </c>
      <c r="AF149" s="75">
        <v>2.375375</v>
      </c>
      <c r="AG149" s="32">
        <f t="shared" si="44"/>
        <v>2.3009777396870598E-2</v>
      </c>
      <c r="AH149" s="32">
        <f t="shared" si="45"/>
        <v>0.53073405008612418</v>
      </c>
      <c r="AI149" s="33">
        <f t="shared" si="46"/>
        <v>3.0358096495892127E-2</v>
      </c>
      <c r="AJ149" s="34">
        <f t="shared" si="47"/>
        <v>0.35808845287106456</v>
      </c>
      <c r="AK149" s="16">
        <f t="shared" si="48"/>
        <v>2.5804382021508306E-2</v>
      </c>
      <c r="AL149" s="16">
        <f t="shared" si="49"/>
        <v>0.30437518494040489</v>
      </c>
      <c r="AM149" s="27">
        <f t="shared" si="67"/>
        <v>25.804382021508307</v>
      </c>
      <c r="AN149" s="27">
        <f t="shared" si="67"/>
        <v>304.37518494040489</v>
      </c>
      <c r="AO149" s="29" t="e">
        <f t="shared" si="61"/>
        <v>#VALUE!</v>
      </c>
      <c r="AP149" s="29" t="e">
        <f t="shared" si="62"/>
        <v>#VALUE!</v>
      </c>
      <c r="AQ149" s="27">
        <f t="shared" si="52"/>
        <v>11.795484374967939</v>
      </c>
      <c r="AR149" s="14">
        <f t="shared" si="53"/>
        <v>18.126143244082307</v>
      </c>
      <c r="AS149" s="25">
        <v>0.36620000000000003</v>
      </c>
      <c r="AT149" s="22">
        <f t="shared" si="54"/>
        <v>0.37286766391668857</v>
      </c>
      <c r="AU149" s="22">
        <f t="shared" si="55"/>
        <v>6.6676639166885487E-3</v>
      </c>
      <c r="AV149" s="15"/>
      <c r="AW149" s="22"/>
      <c r="AX149" s="34">
        <f t="shared" si="56"/>
        <v>66.676639166885494</v>
      </c>
      <c r="AY149" s="14">
        <f t="shared" si="57"/>
        <v>-24.448971937284025</v>
      </c>
      <c r="AZ149" s="25">
        <v>1.0819000000000001</v>
      </c>
      <c r="BA149" s="22">
        <f t="shared" si="63"/>
        <v>1.0843398671970117</v>
      </c>
      <c r="BB149" s="38">
        <f t="shared" si="64"/>
        <v>2.4398671970116137E-3</v>
      </c>
      <c r="BC149" s="58">
        <f t="shared" si="68"/>
        <v>0.35000337673582876</v>
      </c>
      <c r="BD149" s="32">
        <f t="shared" si="65"/>
        <v>8.5396175774104625E-3</v>
      </c>
      <c r="BE149" s="38">
        <f t="shared" si="66"/>
        <v>24.398671970116137</v>
      </c>
    </row>
    <row r="150" spans="1:57" ht="15">
      <c r="A150" s="138">
        <v>148</v>
      </c>
      <c r="B150" s="139">
        <v>1</v>
      </c>
      <c r="C150" s="140" t="s">
        <v>417</v>
      </c>
      <c r="D150" s="140" t="s">
        <v>418</v>
      </c>
      <c r="E150" s="140" t="s">
        <v>437</v>
      </c>
      <c r="F150" s="140" t="s">
        <v>480</v>
      </c>
      <c r="G150" s="140"/>
      <c r="H150" s="140" t="s">
        <v>481</v>
      </c>
      <c r="I150" s="140">
        <v>50</v>
      </c>
      <c r="J150" s="140">
        <v>10</v>
      </c>
      <c r="K150" s="140">
        <v>15</v>
      </c>
      <c r="L150" s="140" t="s">
        <v>441</v>
      </c>
      <c r="M150" s="140">
        <v>3</v>
      </c>
      <c r="Q150" s="108">
        <v>10</v>
      </c>
      <c r="R150" s="53">
        <v>8</v>
      </c>
      <c r="S150" s="53">
        <f t="shared" si="43"/>
        <v>2</v>
      </c>
      <c r="T150" s="82">
        <v>78</v>
      </c>
      <c r="U150" s="82" t="s">
        <v>347</v>
      </c>
      <c r="V150" s="83">
        <v>2.29418225</v>
      </c>
      <c r="W150" s="83">
        <v>13.386351734888363</v>
      </c>
      <c r="X150" s="81">
        <v>0.99549500000000002</v>
      </c>
      <c r="Y150" s="81">
        <v>-25.109268150276193</v>
      </c>
      <c r="Z150" s="154" t="s">
        <v>54</v>
      </c>
      <c r="AA150" s="75">
        <v>2.9111787500000004</v>
      </c>
      <c r="AB150" s="75">
        <v>7.1289713486518078</v>
      </c>
      <c r="AC150" s="75">
        <v>2.0592423593750002</v>
      </c>
      <c r="AD150" s="75">
        <v>-26.716135928040213</v>
      </c>
      <c r="AE150" s="75">
        <v>2.375375</v>
      </c>
      <c r="AF150" s="75">
        <v>2.375375</v>
      </c>
      <c r="AG150" s="32">
        <f t="shared" si="44"/>
        <v>2.3009777396870598E-2</v>
      </c>
      <c r="AH150" s="32">
        <f t="shared" si="45"/>
        <v>0.53073405008612418</v>
      </c>
      <c r="AI150" s="33">
        <f t="shared" si="46"/>
        <v>5.2788622880351729E-2</v>
      </c>
      <c r="AJ150" s="34">
        <f t="shared" si="47"/>
        <v>0.52834309319048622</v>
      </c>
      <c r="AK150" s="16">
        <f t="shared" si="48"/>
        <v>4.4870329448298975E-2</v>
      </c>
      <c r="AL150" s="16">
        <f t="shared" si="49"/>
        <v>0.44909162921191331</v>
      </c>
      <c r="AM150" s="27">
        <f t="shared" si="67"/>
        <v>44.870329448298975</v>
      </c>
      <c r="AN150" s="27">
        <f t="shared" si="67"/>
        <v>449.0916292119133</v>
      </c>
      <c r="AO150" s="29" t="e">
        <f t="shared" si="61"/>
        <v>#VALUE!</v>
      </c>
      <c r="AP150" s="29" t="e">
        <f t="shared" si="62"/>
        <v>#VALUE!</v>
      </c>
      <c r="AQ150" s="27">
        <f t="shared" si="52"/>
        <v>10.008654599458001</v>
      </c>
      <c r="AR150" s="14">
        <f t="shared" si="53"/>
        <v>8.2373803862365556</v>
      </c>
      <c r="AS150" s="25">
        <v>0.36620000000000003</v>
      </c>
      <c r="AT150" s="22">
        <f t="shared" si="54"/>
        <v>0.36925948177251766</v>
      </c>
      <c r="AU150" s="22">
        <f t="shared" si="55"/>
        <v>3.059481772517636E-3</v>
      </c>
      <c r="AV150" s="15"/>
      <c r="AW150" s="22"/>
      <c r="AX150" s="34">
        <f t="shared" si="56"/>
        <v>30.594817725176362</v>
      </c>
      <c r="AY150" s="14">
        <f t="shared" si="57"/>
        <v>-24.423132222235981</v>
      </c>
      <c r="AZ150" s="25">
        <v>1.0819000000000001</v>
      </c>
      <c r="BA150" s="22">
        <f t="shared" si="63"/>
        <v>1.0843682769909424</v>
      </c>
      <c r="BB150" s="38">
        <f t="shared" si="64"/>
        <v>2.4682769909423197E-3</v>
      </c>
      <c r="BC150" s="58">
        <f t="shared" si="68"/>
        <v>0.51275293712800996</v>
      </c>
      <c r="BD150" s="32">
        <f t="shared" si="65"/>
        <v>1.2656162767511608E-2</v>
      </c>
      <c r="BE150" s="38">
        <f t="shared" si="66"/>
        <v>24.682769909423197</v>
      </c>
    </row>
    <row r="151" spans="1:57" ht="15">
      <c r="A151" s="138">
        <v>149</v>
      </c>
      <c r="B151" s="139">
        <v>1</v>
      </c>
      <c r="C151" s="140" t="s">
        <v>419</v>
      </c>
      <c r="D151" s="140" t="s">
        <v>420</v>
      </c>
      <c r="E151" s="140" t="s">
        <v>437</v>
      </c>
      <c r="F151" s="140" t="s">
        <v>480</v>
      </c>
      <c r="G151" s="140"/>
      <c r="H151" s="140" t="s">
        <v>481</v>
      </c>
      <c r="I151" s="140">
        <v>50</v>
      </c>
      <c r="J151" s="140">
        <v>10</v>
      </c>
      <c r="K151" s="140">
        <v>15</v>
      </c>
      <c r="L151" s="140" t="s">
        <v>442</v>
      </c>
      <c r="M151" s="140">
        <v>3</v>
      </c>
      <c r="Q151" s="108">
        <v>10</v>
      </c>
      <c r="R151" s="53">
        <v>8</v>
      </c>
      <c r="S151" s="53">
        <f t="shared" si="43"/>
        <v>2</v>
      </c>
      <c r="T151" s="80">
        <v>79</v>
      </c>
      <c r="U151" s="80" t="s">
        <v>348</v>
      </c>
      <c r="V151" s="81">
        <v>2.5504715</v>
      </c>
      <c r="W151" s="81">
        <v>14.861810109343438</v>
      </c>
      <c r="X151" s="83">
        <v>1.2854239999999999</v>
      </c>
      <c r="Y151" s="83">
        <v>-25.520493423003902</v>
      </c>
      <c r="Z151" s="154" t="s">
        <v>54</v>
      </c>
      <c r="AA151" s="75">
        <v>2.9111787500000004</v>
      </c>
      <c r="AB151" s="75">
        <v>7.1289713486518078</v>
      </c>
      <c r="AC151" s="75">
        <v>2.0592423593750002</v>
      </c>
      <c r="AD151" s="75">
        <v>-26.716135928040213</v>
      </c>
      <c r="AE151" s="75">
        <v>2.375375</v>
      </c>
      <c r="AF151" s="75">
        <v>2.375375</v>
      </c>
      <c r="AG151" s="32">
        <f t="shared" si="44"/>
        <v>2.3009777396870598E-2</v>
      </c>
      <c r="AH151" s="32">
        <f t="shared" si="45"/>
        <v>0.53073405008612418</v>
      </c>
      <c r="AI151" s="33">
        <f t="shared" si="46"/>
        <v>5.8685781472062645E-2</v>
      </c>
      <c r="AJ151" s="34">
        <f t="shared" si="47"/>
        <v>0.68221828559790598</v>
      </c>
      <c r="AK151" s="16">
        <f t="shared" si="48"/>
        <v>4.9882914251253255E-2</v>
      </c>
      <c r="AL151" s="16">
        <f t="shared" si="49"/>
        <v>0.57988554275822002</v>
      </c>
      <c r="AM151" s="27">
        <f t="shared" si="67"/>
        <v>49.882914251253254</v>
      </c>
      <c r="AN151" s="27">
        <f t="shared" si="67"/>
        <v>579.88554275822003</v>
      </c>
      <c r="AO151" s="29" t="e">
        <f t="shared" si="61"/>
        <v>#VALUE!</v>
      </c>
      <c r="AP151" s="29" t="e">
        <f t="shared" si="62"/>
        <v>#VALUE!</v>
      </c>
      <c r="AQ151" s="27">
        <f t="shared" si="52"/>
        <v>11.624933135169647</v>
      </c>
      <c r="AR151" s="14">
        <f t="shared" si="53"/>
        <v>9.7128387606916302</v>
      </c>
      <c r="AS151" s="25">
        <v>0.36620000000000003</v>
      </c>
      <c r="AT151" s="22">
        <f t="shared" si="54"/>
        <v>0.36979785918911129</v>
      </c>
      <c r="AU151" s="22">
        <f t="shared" si="55"/>
        <v>3.5978591891112632E-3</v>
      </c>
      <c r="AV151" s="15"/>
      <c r="AW151" s="22"/>
      <c r="AX151" s="34">
        <f t="shared" si="56"/>
        <v>35.978591891112629</v>
      </c>
      <c r="AY151" s="14">
        <f t="shared" si="57"/>
        <v>-24.83435749496369</v>
      </c>
      <c r="AZ151" s="25">
        <v>1.0819000000000001</v>
      </c>
      <c r="BA151" s="22">
        <f t="shared" si="63"/>
        <v>1.0839161483478594</v>
      </c>
      <c r="BB151" s="38">
        <f t="shared" si="64"/>
        <v>2.0161483478593478E-3</v>
      </c>
      <c r="BC151" s="58">
        <f t="shared" si="68"/>
        <v>0.65984508024132194</v>
      </c>
      <c r="BD151" s="32">
        <f t="shared" si="65"/>
        <v>1.3303455683716598E-2</v>
      </c>
      <c r="BE151" s="38">
        <f t="shared" si="66"/>
        <v>20.161483478593478</v>
      </c>
    </row>
    <row r="152" spans="1:57" ht="15">
      <c r="A152" s="138">
        <v>150</v>
      </c>
      <c r="B152" s="139">
        <v>1</v>
      </c>
      <c r="C152" s="140" t="s">
        <v>421</v>
      </c>
      <c r="D152" s="140" t="s">
        <v>422</v>
      </c>
      <c r="E152" s="140" t="s">
        <v>437</v>
      </c>
      <c r="F152" s="140" t="s">
        <v>480</v>
      </c>
      <c r="G152" s="140"/>
      <c r="H152" s="140" t="s">
        <v>481</v>
      </c>
      <c r="I152" s="140">
        <v>50</v>
      </c>
      <c r="J152" s="140">
        <v>10</v>
      </c>
      <c r="K152" s="140">
        <v>15</v>
      </c>
      <c r="L152" s="140" t="s">
        <v>443</v>
      </c>
      <c r="M152" s="140">
        <v>3</v>
      </c>
      <c r="Q152" s="108">
        <v>10</v>
      </c>
      <c r="R152" s="53">
        <v>8</v>
      </c>
      <c r="S152" s="53">
        <f t="shared" si="43"/>
        <v>2</v>
      </c>
      <c r="T152" s="82">
        <v>80</v>
      </c>
      <c r="U152" s="82" t="s">
        <v>349</v>
      </c>
      <c r="V152" s="83">
        <v>3.3193917499999999</v>
      </c>
      <c r="W152" s="83">
        <v>11.761535839635888</v>
      </c>
      <c r="X152" s="81">
        <v>1.6739961249999999</v>
      </c>
      <c r="Y152" s="81">
        <v>-25.678454603552964</v>
      </c>
      <c r="Z152" s="154" t="s">
        <v>54</v>
      </c>
      <c r="AA152" s="75">
        <v>2.9111787500000004</v>
      </c>
      <c r="AB152" s="75">
        <v>7.1289713486518078</v>
      </c>
      <c r="AC152" s="75">
        <v>2.0592423593750002</v>
      </c>
      <c r="AD152" s="75">
        <v>-26.716135928040213</v>
      </c>
      <c r="AE152" s="75">
        <v>2.375375</v>
      </c>
      <c r="AF152" s="75">
        <v>2.375375</v>
      </c>
      <c r="AG152" s="32">
        <f t="shared" si="44"/>
        <v>2.3009777396870598E-2</v>
      </c>
      <c r="AH152" s="32">
        <f t="shared" si="45"/>
        <v>0.53073405008612418</v>
      </c>
      <c r="AI152" s="33">
        <f t="shared" si="46"/>
        <v>7.6378465260508732E-2</v>
      </c>
      <c r="AJ152" s="34">
        <f t="shared" si="47"/>
        <v>0.88844674324972772</v>
      </c>
      <c r="AK152" s="16">
        <f t="shared" si="48"/>
        <v>6.4921695471432422E-2</v>
      </c>
      <c r="AL152" s="16">
        <f t="shared" si="49"/>
        <v>0.75517973176226849</v>
      </c>
      <c r="AM152" s="27">
        <f t="shared" si="67"/>
        <v>64.921695471432429</v>
      </c>
      <c r="AN152" s="27">
        <f t="shared" si="67"/>
        <v>755.17973176226849</v>
      </c>
      <c r="AO152" s="29" t="e">
        <f t="shared" si="61"/>
        <v>#VALUE!</v>
      </c>
      <c r="AP152" s="29" t="e">
        <f t="shared" si="62"/>
        <v>#VALUE!</v>
      </c>
      <c r="AQ152" s="27">
        <f t="shared" si="52"/>
        <v>11.63216281211527</v>
      </c>
      <c r="AR152" s="14">
        <f t="shared" si="53"/>
        <v>6.6125644909840808</v>
      </c>
      <c r="AS152" s="25">
        <v>0.36620000000000003</v>
      </c>
      <c r="AT152" s="22">
        <f t="shared" si="54"/>
        <v>0.36866659882043828</v>
      </c>
      <c r="AU152" s="22">
        <f t="shared" si="55"/>
        <v>2.4665988204382594E-3</v>
      </c>
      <c r="AV152" s="15"/>
      <c r="AW152" s="22"/>
      <c r="AX152" s="34">
        <f t="shared" si="56"/>
        <v>24.665988204382593</v>
      </c>
      <c r="AY152" s="14">
        <f t="shared" si="57"/>
        <v>-24.992318675512752</v>
      </c>
      <c r="AZ152" s="25">
        <v>1.0819000000000001</v>
      </c>
      <c r="BA152" s="22">
        <f t="shared" si="63"/>
        <v>1.0837424741337529</v>
      </c>
      <c r="BB152" s="38">
        <f t="shared" si="64"/>
        <v>1.842474133752825E-3</v>
      </c>
      <c r="BC152" s="58">
        <f t="shared" si="68"/>
        <v>0.85698267813716489</v>
      </c>
      <c r="BD152" s="32">
        <f t="shared" si="65"/>
        <v>1.578968417541949E-2</v>
      </c>
      <c r="BE152" s="38">
        <f t="shared" si="66"/>
        <v>18.42474133752825</v>
      </c>
    </row>
    <row r="153" spans="1:57" ht="15">
      <c r="A153" s="138">
        <v>151</v>
      </c>
      <c r="B153" s="139">
        <v>1</v>
      </c>
      <c r="C153" s="140" t="s">
        <v>423</v>
      </c>
      <c r="D153" s="140" t="s">
        <v>424</v>
      </c>
      <c r="E153" s="140" t="s">
        <v>437</v>
      </c>
      <c r="F153" s="140" t="s">
        <v>480</v>
      </c>
      <c r="G153" s="140"/>
      <c r="H153" s="140" t="s">
        <v>481</v>
      </c>
      <c r="I153" s="140">
        <v>50</v>
      </c>
      <c r="J153" s="140">
        <v>10</v>
      </c>
      <c r="K153" s="140">
        <v>15</v>
      </c>
      <c r="L153" s="140" t="s">
        <v>444</v>
      </c>
      <c r="M153" s="140">
        <v>3</v>
      </c>
      <c r="Q153" s="108">
        <v>10</v>
      </c>
      <c r="R153" s="53">
        <v>8</v>
      </c>
      <c r="S153" s="53">
        <f t="shared" si="43"/>
        <v>2</v>
      </c>
      <c r="T153" s="80">
        <v>81</v>
      </c>
      <c r="U153" s="80" t="s">
        <v>350</v>
      </c>
      <c r="V153" s="81">
        <v>7.0501984999999996</v>
      </c>
      <c r="W153" s="81">
        <v>5.186349704887423</v>
      </c>
      <c r="X153" s="83">
        <v>3.1417107500000001</v>
      </c>
      <c r="Y153" s="83">
        <v>-26.124315684547394</v>
      </c>
      <c r="Z153" s="154" t="s">
        <v>54</v>
      </c>
      <c r="AA153" s="75">
        <v>2.9111787500000004</v>
      </c>
      <c r="AB153" s="75">
        <v>7.1289713486518078</v>
      </c>
      <c r="AC153" s="75">
        <v>2.0592423593750002</v>
      </c>
      <c r="AD153" s="75">
        <v>-26.716135928040213</v>
      </c>
      <c r="AE153" s="75">
        <v>2.375375</v>
      </c>
      <c r="AF153" s="75">
        <v>2.375375</v>
      </c>
      <c r="AG153" s="32">
        <f t="shared" si="44"/>
        <v>2.3009777396870598E-2</v>
      </c>
      <c r="AH153" s="32">
        <f t="shared" si="45"/>
        <v>0.53073405008612418</v>
      </c>
      <c r="AI153" s="33">
        <f t="shared" si="46"/>
        <v>0.16222349808875097</v>
      </c>
      <c r="AJ153" s="34">
        <f t="shared" si="47"/>
        <v>1.6674128705466149</v>
      </c>
      <c r="AK153" s="16">
        <f t="shared" si="48"/>
        <v>0.13788997337543835</v>
      </c>
      <c r="AL153" s="16">
        <f t="shared" si="49"/>
        <v>1.4173009399646226</v>
      </c>
      <c r="AM153" s="27">
        <f t="shared" si="67"/>
        <v>137.88997337543836</v>
      </c>
      <c r="AN153" s="27">
        <f t="shared" si="67"/>
        <v>1417.3009399646226</v>
      </c>
      <c r="AO153" s="29" t="e">
        <f t="shared" si="61"/>
        <v>#VALUE!</v>
      </c>
      <c r="AP153" s="29" t="e">
        <f t="shared" si="62"/>
        <v>#VALUE!</v>
      </c>
      <c r="AQ153" s="27">
        <f t="shared" si="52"/>
        <v>10.278491650046831</v>
      </c>
      <c r="AR153" s="14">
        <f t="shared" si="53"/>
        <v>3.7378356235615584E-2</v>
      </c>
      <c r="AS153" s="25">
        <v>0.36620000000000003</v>
      </c>
      <c r="AT153" s="22">
        <f t="shared" si="54"/>
        <v>0.3662672913944211</v>
      </c>
      <c r="AU153" s="22">
        <f t="shared" si="55"/>
        <v>6.7291394421076234E-5</v>
      </c>
      <c r="AV153" s="15"/>
      <c r="AW153" s="22"/>
      <c r="AX153" s="34">
        <f t="shared" si="56"/>
        <v>0.67291394421076234</v>
      </c>
      <c r="AY153" s="14">
        <f t="shared" si="57"/>
        <v>-25.438179756507182</v>
      </c>
      <c r="AZ153" s="25">
        <v>1.0819000000000001</v>
      </c>
      <c r="BA153" s="22">
        <f t="shared" si="63"/>
        <v>1.0832522581687478</v>
      </c>
      <c r="BB153" s="38">
        <f t="shared" si="64"/>
        <v>1.3522581687477331E-3</v>
      </c>
      <c r="BC153" s="58">
        <f t="shared" si="68"/>
        <v>1.6016108100936144</v>
      </c>
      <c r="BD153" s="32">
        <f t="shared" si="65"/>
        <v>2.1657913011037644E-2</v>
      </c>
      <c r="BE153" s="38">
        <f t="shared" si="66"/>
        <v>13.522581687477331</v>
      </c>
    </row>
    <row r="154" spans="1:57" ht="15">
      <c r="A154" s="138">
        <v>152</v>
      </c>
      <c r="B154" s="139">
        <v>1</v>
      </c>
      <c r="C154" s="140" t="s">
        <v>425</v>
      </c>
      <c r="D154" s="140" t="s">
        <v>426</v>
      </c>
      <c r="E154" s="140" t="s">
        <v>437</v>
      </c>
      <c r="F154" s="140" t="s">
        <v>480</v>
      </c>
      <c r="G154" s="140"/>
      <c r="H154" s="140" t="s">
        <v>481</v>
      </c>
      <c r="I154" s="140">
        <v>50</v>
      </c>
      <c r="J154" s="140">
        <v>10</v>
      </c>
      <c r="K154" s="140">
        <v>15</v>
      </c>
      <c r="L154" s="140" t="s">
        <v>445</v>
      </c>
      <c r="M154" s="140">
        <v>3</v>
      </c>
      <c r="Q154" s="108">
        <v>10</v>
      </c>
      <c r="R154" s="53">
        <v>8</v>
      </c>
      <c r="S154" s="53">
        <f t="shared" si="43"/>
        <v>2</v>
      </c>
      <c r="T154" s="80">
        <v>83</v>
      </c>
      <c r="U154" s="80" t="s">
        <v>352</v>
      </c>
      <c r="V154" s="81">
        <v>4.1734987500000003</v>
      </c>
      <c r="W154" s="81">
        <v>8.2264204190502248</v>
      </c>
      <c r="X154" s="83">
        <v>2.2512222500000001</v>
      </c>
      <c r="Y154" s="83">
        <v>-25.614568856335474</v>
      </c>
      <c r="Z154" s="154" t="s">
        <v>54</v>
      </c>
      <c r="AA154" s="75">
        <v>2.9111787500000004</v>
      </c>
      <c r="AB154" s="75">
        <v>7.1289713486518078</v>
      </c>
      <c r="AC154" s="75">
        <v>2.0592423593750002</v>
      </c>
      <c r="AD154" s="75">
        <v>-26.716135928040213</v>
      </c>
      <c r="AE154" s="75">
        <v>2.375375</v>
      </c>
      <c r="AF154" s="75">
        <v>2.375375</v>
      </c>
      <c r="AG154" s="32">
        <f t="shared" si="44"/>
        <v>2.3009777396870598E-2</v>
      </c>
      <c r="AH154" s="32">
        <f t="shared" si="45"/>
        <v>0.53073405008612418</v>
      </c>
      <c r="AI154" s="33">
        <f t="shared" si="46"/>
        <v>9.6031277203617704E-2</v>
      </c>
      <c r="AJ154" s="34">
        <f t="shared" si="47"/>
        <v>1.1948003023864973</v>
      </c>
      <c r="AK154" s="16">
        <f t="shared" si="48"/>
        <v>8.1626585623075051E-2</v>
      </c>
      <c r="AL154" s="16">
        <f t="shared" si="49"/>
        <v>1.0155802570285226</v>
      </c>
      <c r="AM154" s="27">
        <f t="shared" si="67"/>
        <v>81.626585623075044</v>
      </c>
      <c r="AN154" s="27">
        <f t="shared" si="67"/>
        <v>1015.5802570285226</v>
      </c>
      <c r="AO154" s="29" t="e">
        <f t="shared" si="61"/>
        <v>#VALUE!</v>
      </c>
      <c r="AP154" s="29" t="e">
        <f t="shared" si="62"/>
        <v>#VALUE!</v>
      </c>
      <c r="AQ154" s="27">
        <f t="shared" si="52"/>
        <v>12.441782898014884</v>
      </c>
      <c r="AR154" s="14">
        <f t="shared" si="53"/>
        <v>3.0774490703984174</v>
      </c>
      <c r="AS154" s="25">
        <v>0.36620000000000003</v>
      </c>
      <c r="AT154" s="22">
        <f t="shared" si="54"/>
        <v>0.36737663773525164</v>
      </c>
      <c r="AU154" s="22">
        <f t="shared" si="55"/>
        <v>1.1766377352516177E-3</v>
      </c>
      <c r="AV154" s="15"/>
      <c r="AW154" s="22"/>
      <c r="AX154" s="34">
        <f t="shared" si="56"/>
        <v>11.766377352516178</v>
      </c>
      <c r="AY154" s="14">
        <f t="shared" si="57"/>
        <v>-24.928432928295262</v>
      </c>
      <c r="AZ154" s="25">
        <v>1.0819000000000001</v>
      </c>
      <c r="BA154" s="22">
        <f t="shared" si="63"/>
        <v>1.0838127149264849</v>
      </c>
      <c r="BB154" s="38">
        <f t="shared" si="64"/>
        <v>1.9127149264848153E-3</v>
      </c>
      <c r="BC154" s="58">
        <f t="shared" si="68"/>
        <v>1.1498317128568469</v>
      </c>
      <c r="BD154" s="32">
        <f t="shared" si="65"/>
        <v>2.1993002801268934E-2</v>
      </c>
      <c r="BE154" s="38">
        <f t="shared" si="66"/>
        <v>19.127149264848153</v>
      </c>
    </row>
    <row r="155" spans="1:57" ht="15">
      <c r="A155" s="138">
        <v>153</v>
      </c>
      <c r="B155" s="139">
        <v>2</v>
      </c>
      <c r="C155" s="140" t="s">
        <v>408</v>
      </c>
      <c r="D155" s="140" t="s">
        <v>426</v>
      </c>
      <c r="E155" s="140" t="s">
        <v>437</v>
      </c>
      <c r="F155" s="140" t="s">
        <v>480</v>
      </c>
      <c r="G155" s="140"/>
      <c r="H155" s="140" t="s">
        <v>482</v>
      </c>
      <c r="I155" s="140">
        <v>100</v>
      </c>
      <c r="J155" s="140">
        <v>10</v>
      </c>
      <c r="K155" s="140">
        <v>15</v>
      </c>
      <c r="L155" s="140" t="s">
        <v>446</v>
      </c>
      <c r="M155" s="140">
        <v>3</v>
      </c>
      <c r="Q155" s="108">
        <v>10</v>
      </c>
      <c r="R155" s="53">
        <v>8</v>
      </c>
      <c r="S155" s="53">
        <f t="shared" si="43"/>
        <v>2</v>
      </c>
      <c r="T155" s="82">
        <v>84</v>
      </c>
      <c r="U155" s="82" t="s">
        <v>353</v>
      </c>
      <c r="V155" s="83">
        <v>0.630446375</v>
      </c>
      <c r="W155" s="83">
        <v>7257.4136827089515</v>
      </c>
      <c r="X155" s="81">
        <v>0.35023975000000002</v>
      </c>
      <c r="Y155" s="81">
        <v>351.92844193120823</v>
      </c>
      <c r="Z155" s="154" t="s">
        <v>54</v>
      </c>
      <c r="AA155" s="75">
        <v>2.9111787500000004</v>
      </c>
      <c r="AB155" s="75">
        <v>7.1289713486518078</v>
      </c>
      <c r="AC155" s="75">
        <v>2.0592423593750002</v>
      </c>
      <c r="AD155" s="75">
        <v>-26.716135928040213</v>
      </c>
      <c r="AE155" s="75">
        <v>2.375375</v>
      </c>
      <c r="AF155" s="75">
        <v>2.375375</v>
      </c>
      <c r="AG155" s="32">
        <f t="shared" si="44"/>
        <v>2.3009777396870598E-2</v>
      </c>
      <c r="AH155" s="32">
        <f t="shared" si="45"/>
        <v>0.53073405008612418</v>
      </c>
      <c r="AI155" s="33">
        <f t="shared" si="46"/>
        <v>1.4506430749414004E-2</v>
      </c>
      <c r="AJ155" s="34">
        <f t="shared" si="47"/>
        <v>0.18588416101865163</v>
      </c>
      <c r="AK155" s="16">
        <f t="shared" si="48"/>
        <v>1.2330466137001903E-2</v>
      </c>
      <c r="AL155" s="16">
        <f t="shared" si="49"/>
        <v>0.15800153686585389</v>
      </c>
      <c r="AM155" s="27">
        <f t="shared" si="67"/>
        <v>12.330466137001903</v>
      </c>
      <c r="AN155" s="27">
        <f t="shared" si="67"/>
        <v>158.00153686585389</v>
      </c>
      <c r="AO155" s="29" t="e">
        <f t="shared" si="61"/>
        <v>#VALUE!</v>
      </c>
      <c r="AP155" s="29" t="e">
        <f t="shared" si="62"/>
        <v>#VALUE!</v>
      </c>
      <c r="AQ155" s="27">
        <f t="shared" si="52"/>
        <v>12.813914341138707</v>
      </c>
      <c r="AR155" s="14">
        <f t="shared" si="53"/>
        <v>7252.2647113602998</v>
      </c>
      <c r="AS155" s="25">
        <v>0.36620000000000003</v>
      </c>
      <c r="AT155" s="22">
        <f t="shared" si="54"/>
        <v>2.9442186772190593</v>
      </c>
      <c r="AU155" s="22">
        <f t="shared" si="55"/>
        <v>2.5780186772190592</v>
      </c>
      <c r="AV155" s="15"/>
      <c r="AW155" s="22"/>
      <c r="AX155" s="34">
        <f t="shared" si="56"/>
        <v>25780.186772190595</v>
      </c>
      <c r="AY155" s="14">
        <f t="shared" si="57"/>
        <v>352.61457785924841</v>
      </c>
      <c r="AZ155" s="25">
        <v>1.0819000000000001</v>
      </c>
      <c r="BA155" s="22">
        <f t="shared" si="63"/>
        <v>1.4971769151220415</v>
      </c>
      <c r="BB155" s="38">
        <f t="shared" si="64"/>
        <v>0.41527691512204146</v>
      </c>
      <c r="BC155" s="58">
        <f t="shared" si="68"/>
        <v>0.18539010837470796</v>
      </c>
      <c r="BD155" s="32">
        <f t="shared" si="65"/>
        <v>0.76988232299989667</v>
      </c>
      <c r="BE155" s="38">
        <f t="shared" si="66"/>
        <v>4152.7691512204137</v>
      </c>
    </row>
    <row r="156" spans="1:57" ht="15">
      <c r="A156" s="138">
        <v>154</v>
      </c>
      <c r="B156" s="139">
        <v>2</v>
      </c>
      <c r="C156" s="140" t="s">
        <v>413</v>
      </c>
      <c r="D156" s="140" t="s">
        <v>418</v>
      </c>
      <c r="E156" s="140" t="s">
        <v>437</v>
      </c>
      <c r="F156" s="140" t="s">
        <v>480</v>
      </c>
      <c r="G156" s="140"/>
      <c r="H156" s="140" t="s">
        <v>482</v>
      </c>
      <c r="I156" s="140">
        <v>100</v>
      </c>
      <c r="J156" s="140">
        <v>10</v>
      </c>
      <c r="K156" s="140">
        <v>15</v>
      </c>
      <c r="L156" s="140" t="s">
        <v>447</v>
      </c>
      <c r="M156" s="140">
        <v>3</v>
      </c>
      <c r="Q156" s="108">
        <v>10</v>
      </c>
      <c r="R156" s="53">
        <v>8</v>
      </c>
      <c r="S156" s="53">
        <f t="shared" si="43"/>
        <v>2</v>
      </c>
      <c r="T156" s="80">
        <v>85</v>
      </c>
      <c r="U156" s="80" t="s">
        <v>354</v>
      </c>
      <c r="V156" s="81">
        <v>0.42552071875000003</v>
      </c>
      <c r="W156" s="81">
        <v>646.5493634210726</v>
      </c>
      <c r="X156" s="83">
        <v>0.181785671875</v>
      </c>
      <c r="Y156" s="83">
        <v>8.980863660842541</v>
      </c>
      <c r="Z156" s="154" t="s">
        <v>54</v>
      </c>
      <c r="AA156" s="75">
        <v>2.9111787500000004</v>
      </c>
      <c r="AB156" s="75">
        <v>7.1289713486518078</v>
      </c>
      <c r="AC156" s="75">
        <v>2.0592423593750002</v>
      </c>
      <c r="AD156" s="75">
        <v>-26.716135928040213</v>
      </c>
      <c r="AE156" s="75">
        <v>2.375375</v>
      </c>
      <c r="AF156" s="75">
        <v>2.375375</v>
      </c>
      <c r="AG156" s="32">
        <f t="shared" si="44"/>
        <v>2.3009777396870598E-2</v>
      </c>
      <c r="AH156" s="32">
        <f t="shared" si="45"/>
        <v>0.53073405008612418</v>
      </c>
      <c r="AI156" s="33">
        <f t="shared" si="46"/>
        <v>9.7911370161938814E-3</v>
      </c>
      <c r="AJ156" s="34">
        <f t="shared" si="47"/>
        <v>9.647984588184598E-2</v>
      </c>
      <c r="AK156" s="16">
        <f t="shared" si="48"/>
        <v>8.322466463764798E-3</v>
      </c>
      <c r="AL156" s="16">
        <f t="shared" si="49"/>
        <v>8.2007868999569092E-2</v>
      </c>
      <c r="AM156" s="27">
        <f t="shared" si="67"/>
        <v>8.3224664637647976</v>
      </c>
      <c r="AN156" s="27">
        <f t="shared" si="67"/>
        <v>82.007868999569098</v>
      </c>
      <c r="AO156" s="29" t="e">
        <f t="shared" si="61"/>
        <v>#VALUE!</v>
      </c>
      <c r="AP156" s="29" t="e">
        <f t="shared" si="62"/>
        <v>#VALUE!</v>
      </c>
      <c r="AQ156" s="27">
        <f t="shared" si="52"/>
        <v>9.8537938670733354</v>
      </c>
      <c r="AR156" s="14">
        <f t="shared" si="53"/>
        <v>641.4003920724208</v>
      </c>
      <c r="AS156" s="25">
        <v>0.36620000000000003</v>
      </c>
      <c r="AT156" s="22">
        <f t="shared" si="54"/>
        <v>0.59975995977287078</v>
      </c>
      <c r="AU156" s="22">
        <f t="shared" si="55"/>
        <v>0.23355995977287075</v>
      </c>
      <c r="AV156" s="15"/>
      <c r="AW156" s="22"/>
      <c r="AX156" s="34">
        <f t="shared" si="56"/>
        <v>2335.5995977287075</v>
      </c>
      <c r="AY156" s="14">
        <f t="shared" si="57"/>
        <v>9.6669995888827529</v>
      </c>
      <c r="AZ156" s="25">
        <v>1.0819000000000001</v>
      </c>
      <c r="BA156" s="22">
        <f t="shared" si="63"/>
        <v>1.121834886059927</v>
      </c>
      <c r="BB156" s="38">
        <f t="shared" si="64"/>
        <v>3.99348860599269E-2</v>
      </c>
      <c r="BC156" s="58">
        <f t="shared" si="68"/>
        <v>9.992686955560541E-2</v>
      </c>
      <c r="BD156" s="32">
        <f t="shared" si="65"/>
        <v>3.99056815002828E-2</v>
      </c>
      <c r="BE156" s="38">
        <f t="shared" si="66"/>
        <v>399.34886059926902</v>
      </c>
    </row>
    <row r="157" spans="1:57" ht="15">
      <c r="A157" s="138">
        <v>155</v>
      </c>
      <c r="B157" s="139">
        <v>2</v>
      </c>
      <c r="C157" s="140" t="s">
        <v>415</v>
      </c>
      <c r="D157" s="140" t="s">
        <v>416</v>
      </c>
      <c r="E157" s="140" t="s">
        <v>437</v>
      </c>
      <c r="F157" s="140" t="s">
        <v>480</v>
      </c>
      <c r="G157" s="140"/>
      <c r="H157" s="140" t="s">
        <v>482</v>
      </c>
      <c r="I157" s="140">
        <v>100</v>
      </c>
      <c r="J157" s="140">
        <v>10</v>
      </c>
      <c r="K157" s="140">
        <v>15</v>
      </c>
      <c r="L157" s="140" t="s">
        <v>448</v>
      </c>
      <c r="M157" s="140">
        <v>3</v>
      </c>
      <c r="Q157" s="108">
        <v>10</v>
      </c>
      <c r="R157" s="53">
        <v>8</v>
      </c>
      <c r="S157" s="53">
        <f t="shared" si="43"/>
        <v>2</v>
      </c>
      <c r="T157" s="82">
        <v>86</v>
      </c>
      <c r="U157" s="82" t="s">
        <v>355</v>
      </c>
      <c r="V157" s="83">
        <v>0.77774068750000003</v>
      </c>
      <c r="W157" s="83">
        <v>2654.0944566187559</v>
      </c>
      <c r="X157" s="81">
        <v>0.37642562499999999</v>
      </c>
      <c r="Y157" s="81">
        <v>96.200853864567719</v>
      </c>
      <c r="Z157" s="154" t="s">
        <v>54</v>
      </c>
      <c r="AA157" s="75">
        <v>2.9111787500000004</v>
      </c>
      <c r="AB157" s="75">
        <v>7.1289713486518078</v>
      </c>
      <c r="AC157" s="75">
        <v>2.0592423593750002</v>
      </c>
      <c r="AD157" s="75">
        <v>-26.716135928040213</v>
      </c>
      <c r="AE157" s="75">
        <v>2.375375</v>
      </c>
      <c r="AF157" s="75">
        <v>2.375375</v>
      </c>
      <c r="AG157" s="32">
        <f t="shared" si="44"/>
        <v>2.3009777396870598E-2</v>
      </c>
      <c r="AH157" s="32">
        <f t="shared" si="45"/>
        <v>0.53073405008612418</v>
      </c>
      <c r="AI157" s="33">
        <f t="shared" si="46"/>
        <v>1.7895640091864101E-2</v>
      </c>
      <c r="AJ157" s="34">
        <f t="shared" si="47"/>
        <v>0.1997818965124506</v>
      </c>
      <c r="AK157" s="16">
        <f t="shared" si="48"/>
        <v>1.5211294078084485E-2</v>
      </c>
      <c r="AL157" s="16">
        <f t="shared" si="49"/>
        <v>0.16981461203558301</v>
      </c>
      <c r="AM157" s="27">
        <f t="shared" si="67"/>
        <v>15.211294078084485</v>
      </c>
      <c r="AN157" s="27">
        <f t="shared" si="67"/>
        <v>169.81461203558302</v>
      </c>
      <c r="AO157" s="29" t="e">
        <f t="shared" si="61"/>
        <v>#VALUE!</v>
      </c>
      <c r="AP157" s="29" t="e">
        <f t="shared" si="62"/>
        <v>#VALUE!</v>
      </c>
      <c r="AQ157" s="27">
        <f t="shared" si="52"/>
        <v>11.163718955393916</v>
      </c>
      <c r="AR157" s="14">
        <f t="shared" si="53"/>
        <v>2648.9454852701042</v>
      </c>
      <c r="AS157" s="25">
        <v>0.36620000000000003</v>
      </c>
      <c r="AT157" s="22">
        <f t="shared" si="54"/>
        <v>1.3235982440960892</v>
      </c>
      <c r="AU157" s="22">
        <f t="shared" si="55"/>
        <v>0.95739824409608909</v>
      </c>
      <c r="AV157" s="15"/>
      <c r="AW157" s="22"/>
      <c r="AX157" s="34">
        <f t="shared" si="56"/>
        <v>9573.9824409608918</v>
      </c>
      <c r="AY157" s="14">
        <f t="shared" si="57"/>
        <v>96.886989792607935</v>
      </c>
      <c r="AZ157" s="25">
        <v>1.0819000000000001</v>
      </c>
      <c r="BA157" s="22">
        <f t="shared" si="63"/>
        <v>1.2175645517734419</v>
      </c>
      <c r="BB157" s="38">
        <f t="shared" si="64"/>
        <v>0.13566455177344183</v>
      </c>
      <c r="BC157" s="58">
        <f t="shared" si="68"/>
        <v>0.19867521084133705</v>
      </c>
      <c r="BD157" s="32">
        <f t="shared" si="65"/>
        <v>0.26953183427284044</v>
      </c>
      <c r="BE157" s="38">
        <f t="shared" si="66"/>
        <v>1356.6455177344183</v>
      </c>
    </row>
    <row r="158" spans="1:57" ht="15">
      <c r="A158" s="138">
        <v>156</v>
      </c>
      <c r="B158" s="139">
        <v>2</v>
      </c>
      <c r="C158" s="140" t="s">
        <v>417</v>
      </c>
      <c r="D158" s="140" t="s">
        <v>422</v>
      </c>
      <c r="E158" s="140" t="s">
        <v>437</v>
      </c>
      <c r="F158" s="140" t="s">
        <v>480</v>
      </c>
      <c r="G158" s="140"/>
      <c r="H158" s="140" t="s">
        <v>482</v>
      </c>
      <c r="I158" s="140">
        <v>100</v>
      </c>
      <c r="J158" s="140">
        <v>10</v>
      </c>
      <c r="K158" s="140">
        <v>15</v>
      </c>
      <c r="L158" s="140" t="s">
        <v>449</v>
      </c>
      <c r="M158" s="140">
        <v>3</v>
      </c>
      <c r="Q158" s="108">
        <v>10</v>
      </c>
      <c r="R158" s="53">
        <v>8</v>
      </c>
      <c r="S158" s="53">
        <f t="shared" si="43"/>
        <v>2</v>
      </c>
      <c r="T158" s="80">
        <v>87</v>
      </c>
      <c r="U158" s="80" t="s">
        <v>356</v>
      </c>
      <c r="V158" s="81">
        <v>1.408279375</v>
      </c>
      <c r="W158" s="81">
        <v>1452.3555755124275</v>
      </c>
      <c r="X158" s="83">
        <v>0.69073062500000004</v>
      </c>
      <c r="Y158" s="83">
        <v>30.991483556746555</v>
      </c>
      <c r="Z158" s="154" t="s">
        <v>54</v>
      </c>
      <c r="AA158" s="75">
        <v>2.9111787500000004</v>
      </c>
      <c r="AB158" s="75">
        <v>7.1289713486518078</v>
      </c>
      <c r="AC158" s="75">
        <v>2.0592423593750002</v>
      </c>
      <c r="AD158" s="75">
        <v>-26.716135928040213</v>
      </c>
      <c r="AE158" s="75">
        <v>2.375375</v>
      </c>
      <c r="AF158" s="75">
        <v>2.375375</v>
      </c>
      <c r="AG158" s="32">
        <f t="shared" si="44"/>
        <v>2.3009777396870598E-2</v>
      </c>
      <c r="AH158" s="32">
        <f t="shared" si="45"/>
        <v>0.53073405008612418</v>
      </c>
      <c r="AI158" s="33">
        <f t="shared" si="46"/>
        <v>3.2404194931354054E-2</v>
      </c>
      <c r="AJ158" s="34">
        <f t="shared" si="47"/>
        <v>0.36659426212476987</v>
      </c>
      <c r="AK158" s="16">
        <f t="shared" si="48"/>
        <v>2.7543565691650947E-2</v>
      </c>
      <c r="AL158" s="16">
        <f t="shared" si="49"/>
        <v>0.31160512280605435</v>
      </c>
      <c r="AM158" s="27">
        <f t="shared" si="67"/>
        <v>27.543565691650947</v>
      </c>
      <c r="AN158" s="27">
        <f t="shared" si="67"/>
        <v>311.60512280605434</v>
      </c>
      <c r="AO158" s="29" t="e">
        <f t="shared" si="61"/>
        <v>#VALUE!</v>
      </c>
      <c r="AP158" s="29" t="e">
        <f t="shared" si="62"/>
        <v>#VALUE!</v>
      </c>
      <c r="AQ158" s="27">
        <f t="shared" si="52"/>
        <v>11.313172967307885</v>
      </c>
      <c r="AR158" s="14">
        <f t="shared" si="53"/>
        <v>1447.2066041637756</v>
      </c>
      <c r="AS158" s="25">
        <v>0.36620000000000003</v>
      </c>
      <c r="AT158" s="22">
        <f t="shared" si="54"/>
        <v>0.89157262148107452</v>
      </c>
      <c r="AU158" s="22">
        <f t="shared" si="55"/>
        <v>0.52537262148107455</v>
      </c>
      <c r="AV158" s="15"/>
      <c r="AW158" s="22"/>
      <c r="AX158" s="34">
        <f t="shared" si="56"/>
        <v>5253.7262148107457</v>
      </c>
      <c r="AY158" s="14">
        <f t="shared" si="57"/>
        <v>31.677619484786767</v>
      </c>
      <c r="AZ158" s="25">
        <v>1.0819000000000001</v>
      </c>
      <c r="BA158" s="22">
        <f t="shared" si="63"/>
        <v>1.146010485678951</v>
      </c>
      <c r="BB158" s="38">
        <f t="shared" si="64"/>
        <v>6.4110485678950946E-2</v>
      </c>
      <c r="BC158" s="58">
        <f t="shared" si="68"/>
        <v>0.35813423715891679</v>
      </c>
      <c r="BD158" s="32">
        <f t="shared" si="65"/>
        <v>0.22960159882518755</v>
      </c>
      <c r="BE158" s="38">
        <f t="shared" si="66"/>
        <v>641.10485678950943</v>
      </c>
    </row>
    <row r="159" spans="1:57" ht="15">
      <c r="A159" s="138">
        <v>157</v>
      </c>
      <c r="B159" s="139">
        <v>2</v>
      </c>
      <c r="C159" s="140" t="s">
        <v>419</v>
      </c>
      <c r="D159" s="140" t="s">
        <v>409</v>
      </c>
      <c r="E159" s="140" t="s">
        <v>437</v>
      </c>
      <c r="F159" s="140" t="s">
        <v>480</v>
      </c>
      <c r="G159" s="140"/>
      <c r="H159" s="140" t="s">
        <v>482</v>
      </c>
      <c r="I159" s="140">
        <v>100</v>
      </c>
      <c r="J159" s="140">
        <v>10</v>
      </c>
      <c r="K159" s="140">
        <v>15</v>
      </c>
      <c r="L159" s="140" t="s">
        <v>450</v>
      </c>
      <c r="M159" s="140">
        <v>3</v>
      </c>
      <c r="Q159" s="108">
        <v>10</v>
      </c>
      <c r="R159" s="53">
        <v>8</v>
      </c>
      <c r="S159" s="53">
        <f t="shared" si="43"/>
        <v>2</v>
      </c>
      <c r="T159" s="82">
        <v>88</v>
      </c>
      <c r="U159" s="82" t="s">
        <v>357</v>
      </c>
      <c r="V159" s="83">
        <v>1.626209625</v>
      </c>
      <c r="W159" s="83">
        <v>2351.4572536701116</v>
      </c>
      <c r="X159" s="81">
        <v>0.70805962499999997</v>
      </c>
      <c r="Y159" s="81">
        <v>73.302566686557071</v>
      </c>
      <c r="Z159" s="154" t="s">
        <v>54</v>
      </c>
      <c r="AA159" s="75">
        <v>2.9111787500000004</v>
      </c>
      <c r="AB159" s="75">
        <v>7.1289713486518078</v>
      </c>
      <c r="AC159" s="75">
        <v>2.0592423593750002</v>
      </c>
      <c r="AD159" s="75">
        <v>-26.716135928040213</v>
      </c>
      <c r="AE159" s="75">
        <v>2.375375</v>
      </c>
      <c r="AF159" s="75">
        <v>2.375375</v>
      </c>
      <c r="AG159" s="32">
        <f t="shared" si="44"/>
        <v>2.3009777396870598E-2</v>
      </c>
      <c r="AH159" s="32">
        <f t="shared" si="45"/>
        <v>0.53073405008612418</v>
      </c>
      <c r="AI159" s="33">
        <f t="shared" si="46"/>
        <v>3.7418721471898411E-2</v>
      </c>
      <c r="AJ159" s="34">
        <f t="shared" si="47"/>
        <v>0.37579135247871226</v>
      </c>
      <c r="AK159" s="16">
        <f t="shared" si="48"/>
        <v>3.1805913251113649E-2</v>
      </c>
      <c r="AL159" s="16">
        <f t="shared" si="49"/>
        <v>0.31942264960690542</v>
      </c>
      <c r="AM159" s="27">
        <f t="shared" si="67"/>
        <v>31.805913251113648</v>
      </c>
      <c r="AN159" s="27">
        <f t="shared" si="67"/>
        <v>319.4226496069054</v>
      </c>
      <c r="AO159" s="29" t="e">
        <f t="shared" si="61"/>
        <v>#VALUE!</v>
      </c>
      <c r="AP159" s="29" t="e">
        <f t="shared" si="62"/>
        <v>#VALUE!</v>
      </c>
      <c r="AQ159" s="27">
        <f t="shared" si="52"/>
        <v>10.042869924375498</v>
      </c>
      <c r="AR159" s="14">
        <f t="shared" si="53"/>
        <v>2346.30828232146</v>
      </c>
      <c r="AS159" s="25">
        <v>0.36620000000000003</v>
      </c>
      <c r="AT159" s="22">
        <f t="shared" si="54"/>
        <v>1.2151552641389904</v>
      </c>
      <c r="AU159" s="22">
        <f t="shared" si="55"/>
        <v>0.84895526413899036</v>
      </c>
      <c r="AV159" s="15"/>
      <c r="AW159" s="22"/>
      <c r="AX159" s="34">
        <f t="shared" si="56"/>
        <v>8489.5526413899042</v>
      </c>
      <c r="AY159" s="14">
        <f t="shared" si="57"/>
        <v>73.988702614597287</v>
      </c>
      <c r="AZ159" s="25">
        <v>1.0819000000000001</v>
      </c>
      <c r="BA159" s="22">
        <f t="shared" si="63"/>
        <v>1.1924501268391767</v>
      </c>
      <c r="BB159" s="38">
        <f t="shared" si="64"/>
        <v>0.11055012683917664</v>
      </c>
      <c r="BC159" s="58">
        <f t="shared" si="68"/>
        <v>0.36692590597442193</v>
      </c>
      <c r="BD159" s="32">
        <f t="shared" si="65"/>
        <v>0.4056370544605214</v>
      </c>
      <c r="BE159" s="38">
        <f t="shared" si="66"/>
        <v>1105.5012683917664</v>
      </c>
    </row>
    <row r="160" spans="1:57" ht="15">
      <c r="A160" s="138">
        <v>158</v>
      </c>
      <c r="B160" s="139">
        <v>2</v>
      </c>
      <c r="C160" s="140" t="s">
        <v>421</v>
      </c>
      <c r="D160" s="140" t="s">
        <v>424</v>
      </c>
      <c r="E160" s="140" t="s">
        <v>437</v>
      </c>
      <c r="F160" s="140" t="s">
        <v>480</v>
      </c>
      <c r="G160" s="140"/>
      <c r="H160" s="140" t="s">
        <v>482</v>
      </c>
      <c r="I160" s="140">
        <v>100</v>
      </c>
      <c r="J160" s="140">
        <v>10</v>
      </c>
      <c r="K160" s="140">
        <v>15</v>
      </c>
      <c r="L160" s="140" t="s">
        <v>451</v>
      </c>
      <c r="M160" s="140">
        <v>3</v>
      </c>
      <c r="Q160" s="108">
        <v>10</v>
      </c>
      <c r="R160" s="53">
        <v>8</v>
      </c>
      <c r="S160" s="53">
        <f t="shared" si="43"/>
        <v>2</v>
      </c>
      <c r="T160" s="80">
        <v>89</v>
      </c>
      <c r="U160" s="80" t="s">
        <v>358</v>
      </c>
      <c r="V160" s="81">
        <v>1.1817314999999999</v>
      </c>
      <c r="W160" s="81">
        <v>776.61954418216953</v>
      </c>
      <c r="X160" s="83">
        <v>0.50158965624999996</v>
      </c>
      <c r="Y160" s="83">
        <v>18.455801494886799</v>
      </c>
      <c r="Z160" s="154" t="s">
        <v>54</v>
      </c>
      <c r="AA160" s="75">
        <v>2.9111787500000004</v>
      </c>
      <c r="AB160" s="75">
        <v>7.1289713486518078</v>
      </c>
      <c r="AC160" s="75">
        <v>2.0592423593750002</v>
      </c>
      <c r="AD160" s="75">
        <v>-26.716135928040213</v>
      </c>
      <c r="AE160" s="75">
        <v>2.375375</v>
      </c>
      <c r="AF160" s="75">
        <v>2.375375</v>
      </c>
      <c r="AG160" s="32">
        <f t="shared" si="44"/>
        <v>2.3009777396870598E-2</v>
      </c>
      <c r="AH160" s="32">
        <f t="shared" si="45"/>
        <v>0.53073405008612418</v>
      </c>
      <c r="AI160" s="33">
        <f t="shared" si="46"/>
        <v>2.7191378757869984E-2</v>
      </c>
      <c r="AJ160" s="34">
        <f t="shared" si="47"/>
        <v>0.26621070974286931</v>
      </c>
      <c r="AK160" s="16">
        <f t="shared" si="48"/>
        <v>2.3112671944189485E-2</v>
      </c>
      <c r="AL160" s="16">
        <f t="shared" si="49"/>
        <v>0.22627910328143894</v>
      </c>
      <c r="AM160" s="27">
        <f t="shared" si="67"/>
        <v>23.112671944189486</v>
      </c>
      <c r="AN160" s="27">
        <f t="shared" si="67"/>
        <v>226.27910328143895</v>
      </c>
      <c r="AO160" s="29" t="e">
        <f t="shared" si="61"/>
        <v>#VALUE!</v>
      </c>
      <c r="AP160" s="29" t="e">
        <f t="shared" si="62"/>
        <v>#VALUE!</v>
      </c>
      <c r="AQ160" s="27">
        <f t="shared" si="52"/>
        <v>9.7902615425788255</v>
      </c>
      <c r="AR160" s="14">
        <f t="shared" si="53"/>
        <v>771.47057283351774</v>
      </c>
      <c r="AS160" s="25">
        <v>0.36620000000000003</v>
      </c>
      <c r="AT160" s="22">
        <f t="shared" si="54"/>
        <v>0.64697950005844873</v>
      </c>
      <c r="AU160" s="22">
        <f t="shared" si="55"/>
        <v>0.28077950005844871</v>
      </c>
      <c r="AV160" s="15"/>
      <c r="AW160" s="22"/>
      <c r="AX160" s="34">
        <f t="shared" si="56"/>
        <v>2807.7950005844873</v>
      </c>
      <c r="AY160" s="14">
        <f t="shared" si="57"/>
        <v>19.141937422927011</v>
      </c>
      <c r="AZ160" s="25">
        <v>1.0819000000000001</v>
      </c>
      <c r="BA160" s="22">
        <f t="shared" si="63"/>
        <v>1.1322432346547224</v>
      </c>
      <c r="BB160" s="38">
        <f t="shared" si="64"/>
        <v>5.0343234654722346E-2</v>
      </c>
      <c r="BC160" s="58">
        <f t="shared" si="68"/>
        <v>0.26217574234133906</v>
      </c>
      <c r="BD160" s="32">
        <f t="shared" si="65"/>
        <v>0.13198774917466058</v>
      </c>
      <c r="BE160" s="38">
        <f t="shared" si="66"/>
        <v>503.43234654722346</v>
      </c>
    </row>
    <row r="161" spans="1:57" ht="15">
      <c r="A161" s="138">
        <v>159</v>
      </c>
      <c r="B161" s="139">
        <v>2</v>
      </c>
      <c r="C161" s="140" t="s">
        <v>423</v>
      </c>
      <c r="D161" s="140" t="s">
        <v>414</v>
      </c>
      <c r="E161" s="140" t="s">
        <v>437</v>
      </c>
      <c r="F161" s="140" t="s">
        <v>480</v>
      </c>
      <c r="G161" s="140"/>
      <c r="H161" s="140" t="s">
        <v>482</v>
      </c>
      <c r="I161" s="140">
        <v>100</v>
      </c>
      <c r="J161" s="140">
        <v>10</v>
      </c>
      <c r="K161" s="140">
        <v>15</v>
      </c>
      <c r="L161" s="140" t="s">
        <v>452</v>
      </c>
      <c r="M161" s="140">
        <v>3</v>
      </c>
      <c r="Q161" s="108">
        <v>10</v>
      </c>
      <c r="R161" s="53">
        <v>8</v>
      </c>
      <c r="S161" s="53">
        <f t="shared" si="43"/>
        <v>2</v>
      </c>
      <c r="T161" s="82">
        <v>90</v>
      </c>
      <c r="U161" s="82" t="s">
        <v>359</v>
      </c>
      <c r="V161" s="83">
        <v>0.54489656249999996</v>
      </c>
      <c r="W161" s="83">
        <v>3400.8175805222695</v>
      </c>
      <c r="X161" s="81">
        <v>0.29881228124999998</v>
      </c>
      <c r="Y161" s="81">
        <v>161.43237947087044</v>
      </c>
      <c r="Z161" s="154" t="s">
        <v>54</v>
      </c>
      <c r="AA161" s="75">
        <v>2.9111787500000004</v>
      </c>
      <c r="AB161" s="75">
        <v>7.1289713486518078</v>
      </c>
      <c r="AC161" s="75">
        <v>2.0592423593750002</v>
      </c>
      <c r="AD161" s="75">
        <v>-26.716135928040213</v>
      </c>
      <c r="AE161" s="75">
        <v>2.375375</v>
      </c>
      <c r="AF161" s="75">
        <v>2.375375</v>
      </c>
      <c r="AG161" s="32">
        <f t="shared" si="44"/>
        <v>2.3009777396870598E-2</v>
      </c>
      <c r="AH161" s="32">
        <f t="shared" si="45"/>
        <v>0.53073405008612418</v>
      </c>
      <c r="AI161" s="33">
        <f t="shared" si="46"/>
        <v>1.2537948607444985E-2</v>
      </c>
      <c r="AJ161" s="34">
        <f t="shared" si="47"/>
        <v>0.15858985224328651</v>
      </c>
      <c r="AK161" s="16">
        <f t="shared" si="48"/>
        <v>1.0657256316328237E-2</v>
      </c>
      <c r="AL161" s="16">
        <f t="shared" si="49"/>
        <v>0.13480137440679354</v>
      </c>
      <c r="AM161" s="27">
        <f t="shared" si="67"/>
        <v>10.657256316328237</v>
      </c>
      <c r="AN161" s="27">
        <f t="shared" si="67"/>
        <v>134.80137440679354</v>
      </c>
      <c r="AO161" s="29" t="e">
        <f t="shared" si="61"/>
        <v>#VALUE!</v>
      </c>
      <c r="AP161" s="29" t="e">
        <f t="shared" si="62"/>
        <v>#VALUE!</v>
      </c>
      <c r="AQ161" s="27">
        <f t="shared" si="52"/>
        <v>12.648787868624416</v>
      </c>
      <c r="AR161" s="14">
        <f t="shared" si="53"/>
        <v>3395.6686091736178</v>
      </c>
      <c r="AS161" s="25">
        <v>0.36620000000000003</v>
      </c>
      <c r="AT161" s="22">
        <f t="shared" si="54"/>
        <v>1.5901533235435044</v>
      </c>
      <c r="AU161" s="22">
        <f t="shared" si="55"/>
        <v>1.2239533235435043</v>
      </c>
      <c r="AV161" s="15"/>
      <c r="AW161" s="22"/>
      <c r="AX161" s="34">
        <f t="shared" si="56"/>
        <v>12239.533235435045</v>
      </c>
      <c r="AY161" s="14">
        <f t="shared" si="57"/>
        <v>162.11851539891066</v>
      </c>
      <c r="AZ161" s="25">
        <v>1.0819000000000001</v>
      </c>
      <c r="BA161" s="22">
        <f t="shared" si="63"/>
        <v>1.2890393642059204</v>
      </c>
      <c r="BB161" s="38">
        <f t="shared" si="64"/>
        <v>0.20713936420592027</v>
      </c>
      <c r="BC161" s="58">
        <f t="shared" si="68"/>
        <v>0.15929897367162413</v>
      </c>
      <c r="BD161" s="32">
        <f t="shared" si="65"/>
        <v>0.32997088124995855</v>
      </c>
      <c r="BE161" s="38">
        <f t="shared" si="66"/>
        <v>2071.3936420592026</v>
      </c>
    </row>
    <row r="162" spans="1:57" ht="15">
      <c r="A162" s="138">
        <v>160</v>
      </c>
      <c r="B162" s="139">
        <v>2</v>
      </c>
      <c r="C162" s="140" t="s">
        <v>425</v>
      </c>
      <c r="D162" s="140" t="s">
        <v>420</v>
      </c>
      <c r="E162" s="140" t="s">
        <v>437</v>
      </c>
      <c r="F162" s="140" t="s">
        <v>480</v>
      </c>
      <c r="G162" s="140"/>
      <c r="H162" s="140" t="s">
        <v>482</v>
      </c>
      <c r="I162" s="140">
        <v>100</v>
      </c>
      <c r="J162" s="140">
        <v>10</v>
      </c>
      <c r="K162" s="140">
        <v>15</v>
      </c>
      <c r="L162" s="140" t="s">
        <v>453</v>
      </c>
      <c r="M162" s="140">
        <v>3</v>
      </c>
      <c r="Q162" s="108">
        <v>10</v>
      </c>
      <c r="R162" s="53">
        <v>8</v>
      </c>
      <c r="S162" s="53">
        <f t="shared" si="43"/>
        <v>2</v>
      </c>
      <c r="T162" s="80">
        <v>91</v>
      </c>
      <c r="U162" s="80" t="s">
        <v>360</v>
      </c>
      <c r="V162" s="81">
        <v>1.4272646250000001</v>
      </c>
      <c r="W162" s="81">
        <v>2004.6529135262306</v>
      </c>
      <c r="X162" s="83">
        <v>0.81350187500000004</v>
      </c>
      <c r="Y162" s="83">
        <v>56.949327744146487</v>
      </c>
      <c r="Z162" s="154" t="s">
        <v>54</v>
      </c>
      <c r="AA162" s="75">
        <v>2.9111787500000004</v>
      </c>
      <c r="AB162" s="75">
        <v>7.1289713486518078</v>
      </c>
      <c r="AC162" s="75">
        <v>2.0592423593750002</v>
      </c>
      <c r="AD162" s="75">
        <v>-26.716135928040213</v>
      </c>
      <c r="AE162" s="75">
        <v>2.375375</v>
      </c>
      <c r="AF162" s="75">
        <v>2.375375</v>
      </c>
      <c r="AG162" s="32">
        <f t="shared" si="44"/>
        <v>2.3009777396870598E-2</v>
      </c>
      <c r="AH162" s="32">
        <f t="shared" si="45"/>
        <v>0.53073405008612418</v>
      </c>
      <c r="AI162" s="33">
        <f t="shared" si="46"/>
        <v>3.2841041307677989E-2</v>
      </c>
      <c r="AJ162" s="34">
        <f t="shared" si="47"/>
        <v>0.43175314487140593</v>
      </c>
      <c r="AK162" s="16">
        <f t="shared" si="48"/>
        <v>2.7914885111526292E-2</v>
      </c>
      <c r="AL162" s="16">
        <f t="shared" si="49"/>
        <v>0.36699017314069504</v>
      </c>
      <c r="AM162" s="27">
        <f t="shared" si="67"/>
        <v>27.914885111526292</v>
      </c>
      <c r="AN162" s="27">
        <f t="shared" si="67"/>
        <v>366.99017314069505</v>
      </c>
      <c r="AO162" s="29" t="e">
        <f t="shared" si="61"/>
        <v>#VALUE!</v>
      </c>
      <c r="AP162" s="29" t="e">
        <f t="shared" si="62"/>
        <v>#VALUE!</v>
      </c>
      <c r="AQ162" s="27">
        <f t="shared" si="52"/>
        <v>13.146755635012866</v>
      </c>
      <c r="AR162" s="14">
        <f t="shared" si="53"/>
        <v>1999.5039421775787</v>
      </c>
      <c r="AS162" s="25">
        <v>0.36620000000000003</v>
      </c>
      <c r="AT162" s="22">
        <f t="shared" si="54"/>
        <v>1.0905925828457597</v>
      </c>
      <c r="AU162" s="22">
        <f t="shared" si="55"/>
        <v>0.72439258284575958</v>
      </c>
      <c r="AV162" s="15"/>
      <c r="AW162" s="22"/>
      <c r="AX162" s="34">
        <f t="shared" si="56"/>
        <v>7243.9258284575963</v>
      </c>
      <c r="AY162" s="14">
        <f t="shared" si="57"/>
        <v>57.635463672186702</v>
      </c>
      <c r="AZ162" s="25">
        <v>1.0819000000000001</v>
      </c>
      <c r="BA162" s="22">
        <f t="shared" si="63"/>
        <v>1.1745063737003836</v>
      </c>
      <c r="BB162" s="38">
        <f t="shared" si="64"/>
        <v>9.2606373700383493E-2</v>
      </c>
      <c r="BC162" s="58">
        <f t="shared" si="68"/>
        <v>0.42042081861575709</v>
      </c>
      <c r="BD162" s="32">
        <f t="shared" si="65"/>
        <v>0.38933647440151942</v>
      </c>
      <c r="BE162" s="38">
        <f t="shared" si="66"/>
        <v>926.06373700383494</v>
      </c>
    </row>
    <row r="163" spans="1:57" ht="15">
      <c r="A163" s="138">
        <v>161</v>
      </c>
      <c r="B163" s="139">
        <v>3</v>
      </c>
      <c r="C163" s="140" t="s">
        <v>408</v>
      </c>
      <c r="D163" s="140" t="s">
        <v>418</v>
      </c>
      <c r="E163" s="140" t="s">
        <v>437</v>
      </c>
      <c r="F163" s="140" t="s">
        <v>480</v>
      </c>
      <c r="G163" s="140"/>
      <c r="H163" s="140" t="s">
        <v>483</v>
      </c>
      <c r="I163" s="140">
        <v>50</v>
      </c>
      <c r="J163" s="140">
        <v>10</v>
      </c>
      <c r="K163" s="140">
        <v>15</v>
      </c>
      <c r="L163" s="140" t="s">
        <v>454</v>
      </c>
      <c r="M163" s="140">
        <v>3</v>
      </c>
      <c r="Q163" s="108">
        <v>10</v>
      </c>
      <c r="R163" s="53">
        <v>8</v>
      </c>
      <c r="S163" s="53">
        <f t="shared" si="43"/>
        <v>2</v>
      </c>
      <c r="T163" s="82">
        <v>92</v>
      </c>
      <c r="U163" s="82" t="s">
        <v>361</v>
      </c>
      <c r="V163" s="83">
        <v>2.5942177499999999</v>
      </c>
      <c r="W163" s="83">
        <v>430.78063830501804</v>
      </c>
      <c r="X163" s="81">
        <v>1.208936875</v>
      </c>
      <c r="Y163" s="81">
        <v>-8.3298846358997665</v>
      </c>
      <c r="Z163" s="154" t="s">
        <v>54</v>
      </c>
      <c r="AA163" s="75">
        <v>2.9111787500000004</v>
      </c>
      <c r="AB163" s="75">
        <v>7.1289713486518078</v>
      </c>
      <c r="AC163" s="75">
        <v>2.0592423593750002</v>
      </c>
      <c r="AD163" s="75">
        <v>-26.716135928040213</v>
      </c>
      <c r="AE163" s="75">
        <v>2.375375</v>
      </c>
      <c r="AF163" s="75">
        <v>2.375375</v>
      </c>
      <c r="AG163" s="32">
        <f t="shared" si="44"/>
        <v>2.3009777396870598E-2</v>
      </c>
      <c r="AH163" s="32">
        <f t="shared" si="45"/>
        <v>0.53073405008612418</v>
      </c>
      <c r="AI163" s="33">
        <f t="shared" si="46"/>
        <v>5.9692372946510495E-2</v>
      </c>
      <c r="AJ163" s="34">
        <f t="shared" si="47"/>
        <v>0.64162396396721244</v>
      </c>
      <c r="AK163" s="16">
        <f t="shared" si="48"/>
        <v>5.0738517004533919E-2</v>
      </c>
      <c r="AL163" s="16">
        <f t="shared" si="49"/>
        <v>0.54538036937213052</v>
      </c>
      <c r="AM163" s="27">
        <f t="shared" si="67"/>
        <v>50.738517004533918</v>
      </c>
      <c r="AN163" s="27">
        <f t="shared" si="67"/>
        <v>545.38036937213053</v>
      </c>
      <c r="AO163" s="29" t="e">
        <f t="shared" si="61"/>
        <v>#VALUE!</v>
      </c>
      <c r="AP163" s="29" t="e">
        <f t="shared" si="62"/>
        <v>#VALUE!</v>
      </c>
      <c r="AQ163" s="27">
        <f t="shared" si="52"/>
        <v>10.748843316082654</v>
      </c>
      <c r="AR163" s="14">
        <f t="shared" si="53"/>
        <v>425.63166695636625</v>
      </c>
      <c r="AS163" s="25">
        <v>0.36620000000000003</v>
      </c>
      <c r="AT163" s="22">
        <f t="shared" si="54"/>
        <v>0.52133010674247249</v>
      </c>
      <c r="AU163" s="22">
        <f t="shared" si="55"/>
        <v>0.15513010674247246</v>
      </c>
      <c r="AV163" s="15"/>
      <c r="AW163" s="22"/>
      <c r="AX163" s="34">
        <f t="shared" si="56"/>
        <v>1551.3010674247246</v>
      </c>
      <c r="AY163" s="14">
        <f t="shared" si="57"/>
        <v>-7.6437487078595545</v>
      </c>
      <c r="AZ163" s="25">
        <v>1.0819000000000001</v>
      </c>
      <c r="BA163" s="22">
        <f t="shared" si="63"/>
        <v>1.1028131321237635</v>
      </c>
      <c r="BB163" s="38">
        <f t="shared" si="64"/>
        <v>2.0913132123763445E-2</v>
      </c>
      <c r="BC163" s="58">
        <f t="shared" si="68"/>
        <v>0.62104021719959179</v>
      </c>
      <c r="BD163" s="32">
        <f t="shared" si="65"/>
        <v>0.12987896116465811</v>
      </c>
      <c r="BE163" s="38">
        <f t="shared" si="66"/>
        <v>209.13132123763444</v>
      </c>
    </row>
    <row r="164" spans="1:57" ht="15">
      <c r="A164" s="138">
        <v>162</v>
      </c>
      <c r="B164" s="139">
        <v>3</v>
      </c>
      <c r="C164" s="140" t="s">
        <v>413</v>
      </c>
      <c r="D164" s="140" t="s">
        <v>416</v>
      </c>
      <c r="E164" s="140" t="s">
        <v>437</v>
      </c>
      <c r="F164" s="140" t="s">
        <v>480</v>
      </c>
      <c r="G164" s="140"/>
      <c r="H164" s="140" t="s">
        <v>483</v>
      </c>
      <c r="I164" s="140">
        <v>50</v>
      </c>
      <c r="J164" s="140">
        <v>10</v>
      </c>
      <c r="K164" s="140">
        <v>15</v>
      </c>
      <c r="L164" s="140" t="s">
        <v>455</v>
      </c>
      <c r="M164" s="140">
        <v>3</v>
      </c>
      <c r="Q164" s="108">
        <v>10</v>
      </c>
      <c r="R164" s="53">
        <v>8</v>
      </c>
      <c r="S164" s="53">
        <f t="shared" si="43"/>
        <v>2</v>
      </c>
      <c r="T164" s="80">
        <v>93</v>
      </c>
      <c r="U164" s="80" t="s">
        <v>362</v>
      </c>
      <c r="V164" s="81">
        <v>1.2364833749999999</v>
      </c>
      <c r="W164" s="81">
        <v>3599.1053261193329</v>
      </c>
      <c r="X164" s="83">
        <v>0.65517499999999995</v>
      </c>
      <c r="Y164" s="83">
        <v>148.10941166264863</v>
      </c>
      <c r="Z164" s="154" t="s">
        <v>54</v>
      </c>
      <c r="AA164" s="75">
        <v>2.9111787500000004</v>
      </c>
      <c r="AB164" s="75">
        <v>7.1289713486518078</v>
      </c>
      <c r="AC164" s="75">
        <v>2.0592423593750002</v>
      </c>
      <c r="AD164" s="75">
        <v>-26.716135928040213</v>
      </c>
      <c r="AE164" s="75">
        <v>2.375375</v>
      </c>
      <c r="AF164" s="75">
        <v>2.375375</v>
      </c>
      <c r="AG164" s="32">
        <f t="shared" si="44"/>
        <v>2.3009777396870598E-2</v>
      </c>
      <c r="AH164" s="32">
        <f t="shared" si="45"/>
        <v>0.53073405008612418</v>
      </c>
      <c r="AI164" s="33">
        <f t="shared" si="46"/>
        <v>2.845120721368127E-2</v>
      </c>
      <c r="AJ164" s="34">
        <f t="shared" si="47"/>
        <v>0.34772368126517639</v>
      </c>
      <c r="AK164" s="16">
        <f t="shared" si="48"/>
        <v>2.4183526131629079E-2</v>
      </c>
      <c r="AL164" s="16">
        <f t="shared" si="49"/>
        <v>0.29556512907539989</v>
      </c>
      <c r="AM164" s="27">
        <f t="shared" si="67"/>
        <v>24.18352613162908</v>
      </c>
      <c r="AN164" s="27">
        <f t="shared" si="67"/>
        <v>295.56512907539991</v>
      </c>
      <c r="AO164" s="29" t="e">
        <f t="shared" si="61"/>
        <v>#VALUE!</v>
      </c>
      <c r="AP164" s="29" t="e">
        <f t="shared" si="62"/>
        <v>#VALUE!</v>
      </c>
      <c r="AQ164" s="27">
        <f t="shared" si="52"/>
        <v>12.221754903179196</v>
      </c>
      <c r="AR164" s="14">
        <f t="shared" si="53"/>
        <v>3593.9563547706812</v>
      </c>
      <c r="AS164" s="25">
        <v>0.36620000000000003</v>
      </c>
      <c r="AT164" s="22">
        <f t="shared" si="54"/>
        <v>1.6606935864435699</v>
      </c>
      <c r="AU164" s="22">
        <f t="shared" si="55"/>
        <v>1.2944935864435698</v>
      </c>
      <c r="AV164" s="15"/>
      <c r="AW164" s="22"/>
      <c r="AX164" s="34">
        <f t="shared" si="56"/>
        <v>12944.935864435698</v>
      </c>
      <c r="AY164" s="14">
        <f t="shared" si="57"/>
        <v>148.79554759068884</v>
      </c>
      <c r="AZ164" s="25">
        <v>1.0819000000000001</v>
      </c>
      <c r="BA164" s="22">
        <f t="shared" si="63"/>
        <v>1.2744496662451141</v>
      </c>
      <c r="BB164" s="38">
        <f t="shared" si="64"/>
        <v>0.19254966624511405</v>
      </c>
      <c r="BC164" s="58">
        <f t="shared" si="68"/>
        <v>0.3400954998094855</v>
      </c>
      <c r="BD164" s="32">
        <f t="shared" si="65"/>
        <v>0.65485274979781671</v>
      </c>
      <c r="BE164" s="38">
        <f t="shared" si="66"/>
        <v>1925.4966624511405</v>
      </c>
    </row>
    <row r="165" spans="1:57" ht="15">
      <c r="A165" s="138">
        <v>163</v>
      </c>
      <c r="B165" s="139">
        <v>3</v>
      </c>
      <c r="C165" s="140" t="s">
        <v>415</v>
      </c>
      <c r="D165" s="140" t="s">
        <v>426</v>
      </c>
      <c r="E165" s="140" t="s">
        <v>437</v>
      </c>
      <c r="F165" s="140" t="s">
        <v>480</v>
      </c>
      <c r="G165" s="140"/>
      <c r="H165" s="140" t="s">
        <v>483</v>
      </c>
      <c r="I165" s="140">
        <v>50</v>
      </c>
      <c r="J165" s="140">
        <v>10</v>
      </c>
      <c r="K165" s="140">
        <v>15</v>
      </c>
      <c r="L165" s="140" t="s">
        <v>456</v>
      </c>
      <c r="M165" s="140">
        <v>3</v>
      </c>
      <c r="Q165" s="108">
        <v>10</v>
      </c>
      <c r="R165" s="53">
        <v>8</v>
      </c>
      <c r="S165" s="53">
        <f t="shared" si="43"/>
        <v>2</v>
      </c>
      <c r="T165" s="80">
        <v>95</v>
      </c>
      <c r="U165" s="80" t="s">
        <v>364</v>
      </c>
      <c r="V165" s="81">
        <v>1.670666</v>
      </c>
      <c r="W165" s="81">
        <v>721.44276714058572</v>
      </c>
      <c r="X165" s="83">
        <v>1.08153875</v>
      </c>
      <c r="Y165" s="83">
        <v>-1.1770561817182525</v>
      </c>
      <c r="Z165" s="154" t="s">
        <v>54</v>
      </c>
      <c r="AA165" s="75">
        <v>2.9111787500000004</v>
      </c>
      <c r="AB165" s="75">
        <v>7.1289713486518078</v>
      </c>
      <c r="AC165" s="75">
        <v>2.0592423593750002</v>
      </c>
      <c r="AD165" s="75">
        <v>-26.716135928040213</v>
      </c>
      <c r="AE165" s="75">
        <v>2.375375</v>
      </c>
      <c r="AF165" s="75">
        <v>2.375375</v>
      </c>
      <c r="AG165" s="32">
        <f t="shared" si="44"/>
        <v>2.3009777396870598E-2</v>
      </c>
      <c r="AH165" s="32">
        <f t="shared" si="45"/>
        <v>0.53073405008612418</v>
      </c>
      <c r="AI165" s="33">
        <f t="shared" si="46"/>
        <v>3.8441652764520211E-2</v>
      </c>
      <c r="AJ165" s="34">
        <f t="shared" si="47"/>
        <v>0.57400944111258412</v>
      </c>
      <c r="AK165" s="16">
        <f t="shared" si="48"/>
        <v>3.2675404849842181E-2</v>
      </c>
      <c r="AL165" s="16">
        <f t="shared" si="49"/>
        <v>0.48790802494569646</v>
      </c>
      <c r="AM165" s="27">
        <f t="shared" si="67"/>
        <v>32.675404849842181</v>
      </c>
      <c r="AN165" s="27">
        <f t="shared" si="67"/>
        <v>487.90802494569647</v>
      </c>
      <c r="AO165" s="29" t="e">
        <f t="shared" si="61"/>
        <v>#VALUE!</v>
      </c>
      <c r="AP165" s="29" t="e">
        <f t="shared" si="62"/>
        <v>#VALUE!</v>
      </c>
      <c r="AQ165" s="27">
        <f t="shared" si="52"/>
        <v>14.931965715125733</v>
      </c>
      <c r="AR165" s="14">
        <f t="shared" si="53"/>
        <v>716.29379579193392</v>
      </c>
      <c r="AS165" s="25">
        <v>0.36620000000000003</v>
      </c>
      <c r="AT165" s="22">
        <f t="shared" si="54"/>
        <v>0.62695408582225109</v>
      </c>
      <c r="AU165" s="22">
        <f t="shared" si="55"/>
        <v>0.26075408582225107</v>
      </c>
      <c r="AV165" s="15"/>
      <c r="AW165" s="22"/>
      <c r="AX165" s="34">
        <f t="shared" si="56"/>
        <v>2607.5408582225105</v>
      </c>
      <c r="AY165" s="14">
        <f t="shared" si="57"/>
        <v>-0.4909202536780406</v>
      </c>
      <c r="AZ165" s="25">
        <v>1.0819000000000001</v>
      </c>
      <c r="BA165" s="22">
        <f t="shared" si="63"/>
        <v>1.1106738379933074</v>
      </c>
      <c r="BB165" s="38">
        <f t="shared" si="64"/>
        <v>2.877383799330735E-2</v>
      </c>
      <c r="BC165" s="58">
        <f t="shared" si="68"/>
        <v>0.55640624393417981</v>
      </c>
      <c r="BD165" s="32">
        <f t="shared" si="65"/>
        <v>0.1600994312142674</v>
      </c>
      <c r="BE165" s="38">
        <f t="shared" si="66"/>
        <v>287.73837993307347</v>
      </c>
    </row>
    <row r="166" spans="1:57" ht="15">
      <c r="A166" s="138">
        <v>164</v>
      </c>
      <c r="B166" s="139">
        <v>3</v>
      </c>
      <c r="C166" s="140" t="s">
        <v>417</v>
      </c>
      <c r="D166" s="140" t="s">
        <v>420</v>
      </c>
      <c r="E166" s="140" t="s">
        <v>437</v>
      </c>
      <c r="F166" s="140" t="s">
        <v>480</v>
      </c>
      <c r="G166" s="140"/>
      <c r="H166" s="140" t="s">
        <v>483</v>
      </c>
      <c r="I166" s="140">
        <v>50</v>
      </c>
      <c r="J166" s="140">
        <v>10</v>
      </c>
      <c r="K166" s="140">
        <v>15</v>
      </c>
      <c r="L166" s="140" t="s">
        <v>457</v>
      </c>
      <c r="M166" s="140">
        <v>3</v>
      </c>
      <c r="Q166" s="108">
        <v>10</v>
      </c>
      <c r="R166" s="53">
        <v>8</v>
      </c>
      <c r="S166" s="53">
        <f t="shared" si="43"/>
        <v>2</v>
      </c>
      <c r="T166" s="82">
        <v>96</v>
      </c>
      <c r="U166" s="82" t="s">
        <v>365</v>
      </c>
      <c r="V166" s="83">
        <v>4.7670320000000004</v>
      </c>
      <c r="W166" s="83">
        <v>708.61354447268729</v>
      </c>
      <c r="X166" s="81">
        <v>2.094391125</v>
      </c>
      <c r="Y166" s="81">
        <v>0.4968136537177818</v>
      </c>
      <c r="Z166" s="154" t="s">
        <v>54</v>
      </c>
      <c r="AA166" s="75">
        <v>2.9111787500000004</v>
      </c>
      <c r="AB166" s="75">
        <v>7.1289713486518078</v>
      </c>
      <c r="AC166" s="75">
        <v>2.0592423593750002</v>
      </c>
      <c r="AD166" s="75">
        <v>-26.716135928040213</v>
      </c>
      <c r="AE166" s="75">
        <v>2.375375</v>
      </c>
      <c r="AF166" s="75">
        <v>2.375375</v>
      </c>
      <c r="AG166" s="32">
        <f t="shared" si="44"/>
        <v>2.3009777396870598E-2</v>
      </c>
      <c r="AH166" s="32">
        <f t="shared" si="45"/>
        <v>0.53073405008612418</v>
      </c>
      <c r="AI166" s="33">
        <f t="shared" si="46"/>
        <v>0.10968834516375885</v>
      </c>
      <c r="AJ166" s="34">
        <f t="shared" si="47"/>
        <v>1.1115646842356839</v>
      </c>
      <c r="AK166" s="16">
        <f t="shared" si="48"/>
        <v>9.3235093389195015E-2</v>
      </c>
      <c r="AL166" s="16">
        <f t="shared" si="49"/>
        <v>0.94482998160033138</v>
      </c>
      <c r="AM166" s="27">
        <f t="shared" si="67"/>
        <v>93.235093389195015</v>
      </c>
      <c r="AN166" s="27">
        <f t="shared" si="67"/>
        <v>944.82998160033139</v>
      </c>
      <c r="AO166" s="29" t="e">
        <f t="shared" si="61"/>
        <v>#VALUE!</v>
      </c>
      <c r="AP166" s="29" t="e">
        <f t="shared" si="62"/>
        <v>#VALUE!</v>
      </c>
      <c r="AQ166" s="27">
        <f t="shared" si="52"/>
        <v>10.133844963894543</v>
      </c>
      <c r="AR166" s="14">
        <f t="shared" si="53"/>
        <v>703.4645731240355</v>
      </c>
      <c r="AS166" s="25">
        <v>0.36620000000000003</v>
      </c>
      <c r="AT166" s="22">
        <f t="shared" si="54"/>
        <v>0.62229679452271702</v>
      </c>
      <c r="AU166" s="22">
        <f t="shared" si="55"/>
        <v>0.256096794522717</v>
      </c>
      <c r="AV166" s="15"/>
      <c r="AW166" s="22"/>
      <c r="AX166" s="34">
        <f t="shared" si="56"/>
        <v>2560.9679452271703</v>
      </c>
      <c r="AY166" s="14">
        <f t="shared" si="57"/>
        <v>1.1829495817579938</v>
      </c>
      <c r="AZ166" s="25">
        <v>1.0819000000000001</v>
      </c>
      <c r="BA166" s="22">
        <f t="shared" si="63"/>
        <v>1.1125131814054003</v>
      </c>
      <c r="BB166" s="38">
        <f t="shared" si="64"/>
        <v>3.0613181405400258E-2</v>
      </c>
      <c r="BC166" s="58">
        <f t="shared" si="68"/>
        <v>1.0702652456075488</v>
      </c>
      <c r="BD166" s="32">
        <f t="shared" si="65"/>
        <v>0.32764224115679152</v>
      </c>
      <c r="BE166" s="38">
        <f t="shared" si="66"/>
        <v>306.13181405400258</v>
      </c>
    </row>
    <row r="167" spans="1:57" ht="15">
      <c r="A167" s="138">
        <v>165</v>
      </c>
      <c r="B167" s="139">
        <v>3</v>
      </c>
      <c r="C167" s="140" t="s">
        <v>419</v>
      </c>
      <c r="D167" s="140" t="s">
        <v>422</v>
      </c>
      <c r="E167" s="140" t="s">
        <v>437</v>
      </c>
      <c r="F167" s="140" t="s">
        <v>480</v>
      </c>
      <c r="G167" s="140"/>
      <c r="H167" s="140" t="s">
        <v>483</v>
      </c>
      <c r="I167" s="140">
        <v>50</v>
      </c>
      <c r="J167" s="140">
        <v>10</v>
      </c>
      <c r="K167" s="140">
        <v>15</v>
      </c>
      <c r="L167" s="140" t="s">
        <v>458</v>
      </c>
      <c r="M167" s="140">
        <v>3</v>
      </c>
      <c r="Q167" s="108">
        <v>10</v>
      </c>
      <c r="R167" s="53">
        <v>8</v>
      </c>
      <c r="S167" s="53">
        <f t="shared" si="43"/>
        <v>2</v>
      </c>
      <c r="T167" s="80">
        <v>97</v>
      </c>
      <c r="U167" s="80" t="s">
        <v>366</v>
      </c>
      <c r="V167" s="81">
        <v>2.6004999999999998</v>
      </c>
      <c r="W167" s="81">
        <v>1988.1577616420616</v>
      </c>
      <c r="X167" s="83">
        <v>1.38263475</v>
      </c>
      <c r="Y167" s="83">
        <v>34.665813444253402</v>
      </c>
      <c r="Z167" s="154" t="s">
        <v>54</v>
      </c>
      <c r="AA167" s="75">
        <v>2.9111787500000004</v>
      </c>
      <c r="AB167" s="75">
        <v>7.1289713486518078</v>
      </c>
      <c r="AC167" s="75">
        <v>2.0592423593750002</v>
      </c>
      <c r="AD167" s="75">
        <v>-26.716135928040213</v>
      </c>
      <c r="AE167" s="75">
        <v>2.375375</v>
      </c>
      <c r="AF167" s="75">
        <v>2.375375</v>
      </c>
      <c r="AG167" s="32">
        <f t="shared" si="44"/>
        <v>2.3009777396870598E-2</v>
      </c>
      <c r="AH167" s="32">
        <f t="shared" si="45"/>
        <v>0.53073405008612418</v>
      </c>
      <c r="AI167" s="33">
        <f t="shared" si="46"/>
        <v>5.9836926120561983E-2</v>
      </c>
      <c r="AJ167" s="34">
        <f t="shared" si="47"/>
        <v>0.73381134065731579</v>
      </c>
      <c r="AK167" s="16">
        <f t="shared" si="48"/>
        <v>5.0861387202477688E-2</v>
      </c>
      <c r="AL167" s="16">
        <f t="shared" si="49"/>
        <v>0.62373963955871847</v>
      </c>
      <c r="AM167" s="27">
        <f t="shared" si="67"/>
        <v>50.861387202477687</v>
      </c>
      <c r="AN167" s="27">
        <f t="shared" si="67"/>
        <v>623.73963955871852</v>
      </c>
      <c r="AO167" s="29" t="e">
        <f t="shared" si="61"/>
        <v>#VALUE!</v>
      </c>
      <c r="AP167" s="29" t="e">
        <f t="shared" si="62"/>
        <v>#VALUE!</v>
      </c>
      <c r="AQ167" s="27">
        <f t="shared" si="52"/>
        <v>12.263520007341311</v>
      </c>
      <c r="AR167" s="14">
        <f t="shared" si="53"/>
        <v>1983.0087902934097</v>
      </c>
      <c r="AS167" s="25">
        <v>0.36620000000000003</v>
      </c>
      <c r="AT167" s="22">
        <f t="shared" si="54"/>
        <v>1.0846601467466737</v>
      </c>
      <c r="AU167" s="22">
        <f t="shared" si="55"/>
        <v>0.71846014674667358</v>
      </c>
      <c r="AV167" s="15"/>
      <c r="AW167" s="22"/>
      <c r="AX167" s="34">
        <f t="shared" si="56"/>
        <v>7184.6014674667358</v>
      </c>
      <c r="AY167" s="14">
        <f t="shared" si="57"/>
        <v>35.351949372293618</v>
      </c>
      <c r="AZ167" s="25">
        <v>1.0819000000000001</v>
      </c>
      <c r="BA167" s="22">
        <f t="shared" si="63"/>
        <v>1.1500450737767052</v>
      </c>
      <c r="BB167" s="38">
        <f t="shared" si="64"/>
        <v>6.814507377670509E-2</v>
      </c>
      <c r="BC167" s="58">
        <f t="shared" si="68"/>
        <v>0.70916383604413047</v>
      </c>
      <c r="BD167" s="32">
        <f t="shared" si="65"/>
        <v>0.48326021926998464</v>
      </c>
      <c r="BE167" s="38">
        <f t="shared" si="66"/>
        <v>681.4507377670509</v>
      </c>
    </row>
    <row r="168" spans="1:57" ht="15">
      <c r="A168" s="138">
        <v>166</v>
      </c>
      <c r="B168" s="139">
        <v>3</v>
      </c>
      <c r="C168" s="140" t="s">
        <v>421</v>
      </c>
      <c r="D168" s="140" t="s">
        <v>424</v>
      </c>
      <c r="E168" s="140" t="s">
        <v>437</v>
      </c>
      <c r="F168" s="140" t="s">
        <v>480</v>
      </c>
      <c r="G168" s="140"/>
      <c r="H168" s="140" t="s">
        <v>483</v>
      </c>
      <c r="I168" s="140">
        <v>50</v>
      </c>
      <c r="J168" s="140">
        <v>10</v>
      </c>
      <c r="K168" s="140">
        <v>15</v>
      </c>
      <c r="L168" s="140" t="s">
        <v>459</v>
      </c>
      <c r="M168" s="140">
        <v>3</v>
      </c>
      <c r="Q168" s="108">
        <v>10</v>
      </c>
      <c r="R168" s="53">
        <v>8</v>
      </c>
      <c r="S168" s="53">
        <f t="shared" si="43"/>
        <v>2</v>
      </c>
      <c r="T168" s="82">
        <v>98</v>
      </c>
      <c r="U168" s="82" t="s">
        <v>367</v>
      </c>
      <c r="V168" s="83">
        <v>1.343141125</v>
      </c>
      <c r="W168" s="83">
        <v>2480.9982373276448</v>
      </c>
      <c r="X168" s="81">
        <v>0.80991181249999999</v>
      </c>
      <c r="Y168" s="81">
        <v>66.937033265026813</v>
      </c>
      <c r="Z168" s="154" t="s">
        <v>54</v>
      </c>
      <c r="AA168" s="75">
        <v>2.9111787500000004</v>
      </c>
      <c r="AB168" s="75">
        <v>7.1289713486518078</v>
      </c>
      <c r="AC168" s="75">
        <v>2.0592423593750002</v>
      </c>
      <c r="AD168" s="75">
        <v>-26.716135928040213</v>
      </c>
      <c r="AE168" s="75">
        <v>2.375375</v>
      </c>
      <c r="AF168" s="75">
        <v>2.375375</v>
      </c>
      <c r="AG168" s="32">
        <f t="shared" si="44"/>
        <v>2.3009777396870598E-2</v>
      </c>
      <c r="AH168" s="32">
        <f t="shared" si="45"/>
        <v>0.53073405008612418</v>
      </c>
      <c r="AI168" s="33">
        <f t="shared" si="46"/>
        <v>3.0905378298832348E-2</v>
      </c>
      <c r="AJ168" s="34">
        <f t="shared" si="47"/>
        <v>0.42984777646071859</v>
      </c>
      <c r="AK168" s="16">
        <f t="shared" si="48"/>
        <v>2.6269571554007498E-2</v>
      </c>
      <c r="AL168" s="16">
        <f t="shared" si="49"/>
        <v>0.36537060999161081</v>
      </c>
      <c r="AM168" s="27">
        <f t="shared" si="67"/>
        <v>26.269571554007499</v>
      </c>
      <c r="AN168" s="27">
        <f t="shared" si="67"/>
        <v>365.37060999161082</v>
      </c>
      <c r="AO168" s="29" t="e">
        <f t="shared" si="61"/>
        <v>#VALUE!</v>
      </c>
      <c r="AP168" s="29" t="e">
        <f t="shared" si="62"/>
        <v>#VALUE!</v>
      </c>
      <c r="AQ168" s="27">
        <f t="shared" si="52"/>
        <v>13.908510431563263</v>
      </c>
      <c r="AR168" s="14">
        <f t="shared" si="53"/>
        <v>2475.8492659789931</v>
      </c>
      <c r="AS168" s="25">
        <v>0.36620000000000003</v>
      </c>
      <c r="AT168" s="22">
        <f t="shared" si="54"/>
        <v>1.2616024161509474</v>
      </c>
      <c r="AU168" s="22">
        <f t="shared" si="55"/>
        <v>0.89540241615094729</v>
      </c>
      <c r="AV168" s="15"/>
      <c r="AW168" s="22"/>
      <c r="AX168" s="34">
        <f t="shared" si="56"/>
        <v>8954.0241615094728</v>
      </c>
      <c r="AY168" s="14">
        <f t="shared" si="57"/>
        <v>67.623169193067028</v>
      </c>
      <c r="AZ168" s="25">
        <v>1.0819000000000001</v>
      </c>
      <c r="BA168" s="22">
        <f t="shared" si="63"/>
        <v>1.1854662569534229</v>
      </c>
      <c r="BB168" s="38">
        <f t="shared" si="64"/>
        <v>0.10356625695342281</v>
      </c>
      <c r="BC168" s="58">
        <f t="shared" si="68"/>
        <v>0.41859944170266544</v>
      </c>
      <c r="BD168" s="32">
        <f t="shared" si="65"/>
        <v>0.43352777339937582</v>
      </c>
      <c r="BE168" s="38">
        <f t="shared" si="66"/>
        <v>1035.6625695342282</v>
      </c>
    </row>
    <row r="169" spans="1:57" ht="15">
      <c r="A169" s="138">
        <v>167</v>
      </c>
      <c r="B169" s="139">
        <v>3</v>
      </c>
      <c r="C169" s="140" t="s">
        <v>423</v>
      </c>
      <c r="D169" s="140" t="s">
        <v>414</v>
      </c>
      <c r="E169" s="140" t="s">
        <v>437</v>
      </c>
      <c r="F169" s="140" t="s">
        <v>480</v>
      </c>
      <c r="G169" s="140"/>
      <c r="H169" s="140" t="s">
        <v>483</v>
      </c>
      <c r="I169" s="140">
        <v>50</v>
      </c>
      <c r="J169" s="140">
        <v>10</v>
      </c>
      <c r="K169" s="140">
        <v>15</v>
      </c>
      <c r="L169" s="140" t="s">
        <v>460</v>
      </c>
      <c r="M169" s="140">
        <v>3</v>
      </c>
      <c r="Q169" s="108">
        <v>10</v>
      </c>
      <c r="R169" s="53">
        <v>8</v>
      </c>
      <c r="S169" s="53">
        <f t="shared" si="43"/>
        <v>2</v>
      </c>
      <c r="T169" s="80">
        <v>99</v>
      </c>
      <c r="U169" s="80" t="s">
        <v>368</v>
      </c>
      <c r="V169" s="81">
        <v>1.5980848750000001</v>
      </c>
      <c r="W169" s="81">
        <v>1135.527255781833</v>
      </c>
      <c r="X169" s="83">
        <v>0.98998275000000002</v>
      </c>
      <c r="Y169" s="83">
        <v>13.712621920449296</v>
      </c>
      <c r="Z169" s="154" t="s">
        <v>54</v>
      </c>
      <c r="AA169" s="75">
        <v>2.9111787500000004</v>
      </c>
      <c r="AB169" s="75">
        <v>7.1289713486518078</v>
      </c>
      <c r="AC169" s="75">
        <v>2.0592423593750002</v>
      </c>
      <c r="AD169" s="75">
        <v>-26.716135928040213</v>
      </c>
      <c r="AE169" s="75">
        <v>2.375375</v>
      </c>
      <c r="AF169" s="75">
        <v>2.375375</v>
      </c>
      <c r="AG169" s="32">
        <f t="shared" si="44"/>
        <v>2.3009777396870598E-2</v>
      </c>
      <c r="AH169" s="32">
        <f t="shared" si="45"/>
        <v>0.53073405008612418</v>
      </c>
      <c r="AI169" s="33">
        <f t="shared" si="46"/>
        <v>3.6771577235055773E-2</v>
      </c>
      <c r="AJ169" s="34">
        <f t="shared" si="47"/>
        <v>0.52541755442289895</v>
      </c>
      <c r="AK169" s="16">
        <f t="shared" si="48"/>
        <v>3.125584064979741E-2</v>
      </c>
      <c r="AL169" s="16">
        <f t="shared" si="49"/>
        <v>0.44660492125946405</v>
      </c>
      <c r="AM169" s="27">
        <f t="shared" si="67"/>
        <v>31.25584064979741</v>
      </c>
      <c r="AN169" s="27">
        <f t="shared" si="67"/>
        <v>446.60492125946405</v>
      </c>
      <c r="AO169" s="29" t="e">
        <f t="shared" si="61"/>
        <v>#VALUE!</v>
      </c>
      <c r="AP169" s="29" t="e">
        <f t="shared" si="62"/>
        <v>#VALUE!</v>
      </c>
      <c r="AQ169" s="27">
        <f t="shared" si="52"/>
        <v>14.288686913380424</v>
      </c>
      <c r="AR169" s="14">
        <f t="shared" si="53"/>
        <v>1130.3782844331811</v>
      </c>
      <c r="AS169" s="25">
        <v>0.36620000000000003</v>
      </c>
      <c r="AT169" s="22">
        <f t="shared" si="54"/>
        <v>0.77704183252018422</v>
      </c>
      <c r="AU169" s="22">
        <f t="shared" si="55"/>
        <v>0.41084183252018419</v>
      </c>
      <c r="AV169" s="15"/>
      <c r="AW169" s="22"/>
      <c r="AX169" s="34">
        <f t="shared" si="56"/>
        <v>4108.418325201842</v>
      </c>
      <c r="AY169" s="14">
        <f t="shared" si="57"/>
        <v>14.398757848489508</v>
      </c>
      <c r="AZ169" s="25">
        <v>1.0819000000000001</v>
      </c>
      <c r="BA169" s="22">
        <f t="shared" si="63"/>
        <v>1.1270330610432955</v>
      </c>
      <c r="BB169" s="38">
        <f t="shared" si="64"/>
        <v>4.5133061043295397E-2</v>
      </c>
      <c r="BC169" s="58">
        <f t="shared" si="68"/>
        <v>0.50995636049760595</v>
      </c>
      <c r="BD169" s="32">
        <f t="shared" si="65"/>
        <v>0.23015891547755202</v>
      </c>
      <c r="BE169" s="38">
        <f t="shared" si="66"/>
        <v>451.33061043295396</v>
      </c>
    </row>
    <row r="170" spans="1:57" ht="15">
      <c r="A170" s="138">
        <v>168</v>
      </c>
      <c r="B170" s="139">
        <v>3</v>
      </c>
      <c r="C170" s="140" t="s">
        <v>425</v>
      </c>
      <c r="D170" s="140" t="s">
        <v>409</v>
      </c>
      <c r="E170" s="140" t="s">
        <v>437</v>
      </c>
      <c r="F170" s="140" t="s">
        <v>480</v>
      </c>
      <c r="G170" s="140"/>
      <c r="H170" s="140" t="s">
        <v>483</v>
      </c>
      <c r="I170" s="140">
        <v>50</v>
      </c>
      <c r="J170" s="140">
        <v>10</v>
      </c>
      <c r="K170" s="140">
        <v>15</v>
      </c>
      <c r="L170" s="140" t="s">
        <v>461</v>
      </c>
      <c r="M170" s="140">
        <v>3</v>
      </c>
      <c r="Q170" s="108">
        <v>10</v>
      </c>
      <c r="R170" s="53">
        <v>8</v>
      </c>
      <c r="S170" s="53">
        <f t="shared" si="43"/>
        <v>2</v>
      </c>
      <c r="T170" s="82">
        <v>100</v>
      </c>
      <c r="U170" s="82" t="s">
        <v>369</v>
      </c>
      <c r="V170" s="83">
        <v>1.9032770000000001</v>
      </c>
      <c r="W170" s="83">
        <v>1612.9911391047087</v>
      </c>
      <c r="X170" s="81">
        <v>1.194954375</v>
      </c>
      <c r="Y170" s="81">
        <v>31.96433914939055</v>
      </c>
      <c r="Z170" s="154" t="s">
        <v>54</v>
      </c>
      <c r="AA170" s="75">
        <v>2.9111787500000004</v>
      </c>
      <c r="AB170" s="75">
        <v>7.1289713486518078</v>
      </c>
      <c r="AC170" s="75">
        <v>2.0592423593750002</v>
      </c>
      <c r="AD170" s="75">
        <v>-26.716135928040213</v>
      </c>
      <c r="AE170" s="75">
        <v>2.375375</v>
      </c>
      <c r="AF170" s="75">
        <v>2.375375</v>
      </c>
      <c r="AG170" s="32">
        <f t="shared" si="44"/>
        <v>2.3009777396870598E-2</v>
      </c>
      <c r="AH170" s="32">
        <f t="shared" si="45"/>
        <v>0.53073405008612418</v>
      </c>
      <c r="AI170" s="33">
        <f t="shared" si="46"/>
        <v>4.3793980094583684E-2</v>
      </c>
      <c r="AJ170" s="34">
        <f t="shared" si="47"/>
        <v>0.63420297511188317</v>
      </c>
      <c r="AK170" s="16">
        <f t="shared" si="48"/>
        <v>3.7224883080396128E-2</v>
      </c>
      <c r="AL170" s="16">
        <f t="shared" si="49"/>
        <v>0.53907252884510071</v>
      </c>
      <c r="AM170" s="27">
        <f t="shared" si="67"/>
        <v>37.224883080396125</v>
      </c>
      <c r="AN170" s="27">
        <f t="shared" si="67"/>
        <v>539.07252884510069</v>
      </c>
      <c r="AO170" s="29" t="e">
        <f t="shared" si="61"/>
        <v>#VALUE!</v>
      </c>
      <c r="AP170" s="29" t="e">
        <f t="shared" si="62"/>
        <v>#VALUE!</v>
      </c>
      <c r="AQ170" s="27">
        <f t="shared" si="52"/>
        <v>14.481510329551426</v>
      </c>
      <c r="AR170" s="14">
        <f t="shared" si="53"/>
        <v>1607.8421677560568</v>
      </c>
      <c r="AS170" s="25">
        <v>0.36620000000000003</v>
      </c>
      <c r="AT170" s="22">
        <f t="shared" si="54"/>
        <v>0.94954008340611396</v>
      </c>
      <c r="AU170" s="22">
        <f t="shared" si="55"/>
        <v>0.58334008340611399</v>
      </c>
      <c r="AV170" s="15"/>
      <c r="AW170" s="22"/>
      <c r="AX170" s="34">
        <f t="shared" si="56"/>
        <v>5833.400834061139</v>
      </c>
      <c r="AY170" s="14">
        <f t="shared" si="57"/>
        <v>32.650475077430762</v>
      </c>
      <c r="AZ170" s="25">
        <v>1.0819000000000001</v>
      </c>
      <c r="BA170" s="22">
        <f t="shared" si="63"/>
        <v>1.1470787592144351</v>
      </c>
      <c r="BB170" s="38">
        <f t="shared" si="64"/>
        <v>6.5178759214435056E-2</v>
      </c>
      <c r="BC170" s="58">
        <f t="shared" si="68"/>
        <v>0.61394635666448882</v>
      </c>
      <c r="BD170" s="32">
        <f t="shared" si="65"/>
        <v>0.40016261751614374</v>
      </c>
      <c r="BE170" s="38">
        <f t="shared" si="66"/>
        <v>651.78759214435058</v>
      </c>
    </row>
    <row r="171" spans="1:57" ht="15">
      <c r="A171" s="138">
        <v>169</v>
      </c>
      <c r="B171" s="139">
        <v>4</v>
      </c>
      <c r="C171" s="140" t="s">
        <v>408</v>
      </c>
      <c r="D171" s="140" t="s">
        <v>416</v>
      </c>
      <c r="E171" s="140" t="s">
        <v>437</v>
      </c>
      <c r="F171" s="140" t="s">
        <v>480</v>
      </c>
      <c r="G171" s="140"/>
      <c r="H171" s="140" t="s">
        <v>484</v>
      </c>
      <c r="I171" s="140">
        <v>50</v>
      </c>
      <c r="J171" s="140">
        <v>10</v>
      </c>
      <c r="K171" s="140">
        <v>15</v>
      </c>
      <c r="L171" s="140" t="s">
        <v>462</v>
      </c>
      <c r="M171" s="140">
        <v>3</v>
      </c>
      <c r="Q171" s="108">
        <v>10</v>
      </c>
      <c r="R171" s="53">
        <v>8</v>
      </c>
      <c r="S171" s="53">
        <f t="shared" si="43"/>
        <v>2</v>
      </c>
      <c r="T171" s="80">
        <v>101</v>
      </c>
      <c r="U171" s="80" t="s">
        <v>370</v>
      </c>
      <c r="V171" s="81">
        <v>3.0500335000000001</v>
      </c>
      <c r="W171" s="81">
        <v>3174.6704271666717</v>
      </c>
      <c r="X171" s="83">
        <v>1.3848525</v>
      </c>
      <c r="Y171" s="83">
        <v>122.59815991421837</v>
      </c>
      <c r="Z171" s="154" t="s">
        <v>54</v>
      </c>
      <c r="AA171" s="75">
        <v>2.9111787500000004</v>
      </c>
      <c r="AB171" s="75">
        <v>7.1289713486518078</v>
      </c>
      <c r="AC171" s="75">
        <v>2.0592423593750002</v>
      </c>
      <c r="AD171" s="75">
        <v>-26.716135928040213</v>
      </c>
      <c r="AE171" s="75">
        <v>2.375375</v>
      </c>
      <c r="AF171" s="75">
        <v>2.375375</v>
      </c>
      <c r="AG171" s="32">
        <f t="shared" si="44"/>
        <v>2.3009777396870598E-2</v>
      </c>
      <c r="AH171" s="32">
        <f t="shared" si="45"/>
        <v>0.53073405008612418</v>
      </c>
      <c r="AI171" s="33">
        <f t="shared" si="46"/>
        <v>7.018059188799812E-2</v>
      </c>
      <c r="AJ171" s="34">
        <f t="shared" si="47"/>
        <v>0.73498837609689427</v>
      </c>
      <c r="AK171" s="16">
        <f t="shared" si="48"/>
        <v>5.9653503104798403E-2</v>
      </c>
      <c r="AL171" s="16">
        <f t="shared" si="49"/>
        <v>0.6247401196823601</v>
      </c>
      <c r="AM171" s="27">
        <f t="shared" si="67"/>
        <v>59.653503104798403</v>
      </c>
      <c r="AN171" s="27">
        <f t="shared" si="67"/>
        <v>624.74011968236005</v>
      </c>
      <c r="AO171" s="29" t="e">
        <f t="shared" si="61"/>
        <v>#VALUE!</v>
      </c>
      <c r="AP171" s="29" t="e">
        <f t="shared" si="62"/>
        <v>#VALUE!</v>
      </c>
      <c r="AQ171" s="27">
        <f t="shared" si="52"/>
        <v>10.472815294431674</v>
      </c>
      <c r="AR171" s="14">
        <f t="shared" si="53"/>
        <v>3169.5214558180201</v>
      </c>
      <c r="AS171" s="25">
        <v>0.36620000000000003</v>
      </c>
      <c r="AT171" s="22">
        <f t="shared" si="54"/>
        <v>1.5095785341179833</v>
      </c>
      <c r="AU171" s="22">
        <f t="shared" si="55"/>
        <v>1.1433785341179832</v>
      </c>
      <c r="AV171" s="15"/>
      <c r="AW171" s="22"/>
      <c r="AX171" s="34">
        <f t="shared" si="56"/>
        <v>11433.785341179831</v>
      </c>
      <c r="AY171" s="14">
        <f t="shared" si="57"/>
        <v>123.28429584225859</v>
      </c>
      <c r="AZ171" s="25">
        <v>1.0819000000000001</v>
      </c>
      <c r="BA171" s="22">
        <f t="shared" si="63"/>
        <v>1.246500799317918</v>
      </c>
      <c r="BB171" s="38">
        <f t="shared" si="64"/>
        <v>0.16460079931791793</v>
      </c>
      <c r="BC171" s="58">
        <f t="shared" si="68"/>
        <v>0.71028898599597912</v>
      </c>
      <c r="BD171" s="32">
        <f t="shared" si="65"/>
        <v>1.1691413484165158</v>
      </c>
      <c r="BE171" s="38">
        <f t="shared" si="66"/>
        <v>1646.007993179179</v>
      </c>
    </row>
    <row r="172" spans="1:57" ht="15">
      <c r="A172" s="138">
        <v>170</v>
      </c>
      <c r="B172" s="139">
        <v>4</v>
      </c>
      <c r="C172" s="140" t="s">
        <v>413</v>
      </c>
      <c r="D172" s="140" t="s">
        <v>409</v>
      </c>
      <c r="E172" s="140" t="s">
        <v>437</v>
      </c>
      <c r="F172" s="140" t="s">
        <v>480</v>
      </c>
      <c r="G172" s="140"/>
      <c r="H172" s="140" t="s">
        <v>484</v>
      </c>
      <c r="I172" s="140">
        <v>50</v>
      </c>
      <c r="J172" s="140">
        <v>10</v>
      </c>
      <c r="K172" s="140">
        <v>15</v>
      </c>
      <c r="L172" s="140" t="s">
        <v>463</v>
      </c>
      <c r="M172" s="140">
        <v>3</v>
      </c>
      <c r="Q172" s="108">
        <v>10</v>
      </c>
      <c r="R172" s="53">
        <v>8</v>
      </c>
      <c r="S172" s="53">
        <f t="shared" si="43"/>
        <v>2</v>
      </c>
      <c r="T172" s="82">
        <v>102</v>
      </c>
      <c r="U172" s="82" t="s">
        <v>371</v>
      </c>
      <c r="V172" s="83">
        <v>4.4292685000000001</v>
      </c>
      <c r="W172" s="83">
        <v>1585.397596320199</v>
      </c>
      <c r="X172" s="81">
        <v>2.0564260000000001</v>
      </c>
      <c r="Y172" s="81">
        <v>18.333963226024718</v>
      </c>
      <c r="Z172" s="154" t="s">
        <v>54</v>
      </c>
      <c r="AA172" s="75">
        <v>2.9111787500000004</v>
      </c>
      <c r="AB172" s="75">
        <v>7.1289713486518078</v>
      </c>
      <c r="AC172" s="75">
        <v>2.0592423593750002</v>
      </c>
      <c r="AD172" s="75">
        <v>-26.716135928040213</v>
      </c>
      <c r="AE172" s="75">
        <v>2.375375</v>
      </c>
      <c r="AF172" s="75">
        <v>2.375375</v>
      </c>
      <c r="AG172" s="32">
        <f t="shared" si="44"/>
        <v>2.3009777396870598E-2</v>
      </c>
      <c r="AH172" s="32">
        <f t="shared" si="45"/>
        <v>0.53073405008612418</v>
      </c>
      <c r="AI172" s="33">
        <f t="shared" si="46"/>
        <v>0.10191648221597094</v>
      </c>
      <c r="AJ172" s="34">
        <f t="shared" si="47"/>
        <v>1.091415299682408</v>
      </c>
      <c r="AK172" s="16">
        <f t="shared" si="48"/>
        <v>8.6629009883575303E-2</v>
      </c>
      <c r="AL172" s="16">
        <f t="shared" si="49"/>
        <v>0.92770300473004674</v>
      </c>
      <c r="AM172" s="27">
        <f t="shared" si="67"/>
        <v>86.629009883575307</v>
      </c>
      <c r="AN172" s="27">
        <f t="shared" si="67"/>
        <v>927.7030047300467</v>
      </c>
      <c r="AO172" s="29" t="e">
        <f t="shared" si="61"/>
        <v>#VALUE!</v>
      </c>
      <c r="AP172" s="29" t="e">
        <f t="shared" si="62"/>
        <v>#VALUE!</v>
      </c>
      <c r="AQ172" s="27">
        <f t="shared" si="52"/>
        <v>10.708918478657779</v>
      </c>
      <c r="AR172" s="14">
        <f t="shared" si="53"/>
        <v>1580.2486249715471</v>
      </c>
      <c r="AS172" s="25">
        <v>0.36620000000000003</v>
      </c>
      <c r="AT172" s="22">
        <f t="shared" si="54"/>
        <v>0.93958741361027753</v>
      </c>
      <c r="AU172" s="22">
        <f t="shared" si="55"/>
        <v>0.57338741361027745</v>
      </c>
      <c r="AV172" s="15"/>
      <c r="AW172" s="22"/>
      <c r="AX172" s="34">
        <f t="shared" si="56"/>
        <v>5733.8741361027742</v>
      </c>
      <c r="AY172" s="14">
        <f t="shared" si="57"/>
        <v>19.02009915406493</v>
      </c>
      <c r="AZ172" s="25">
        <v>1.0819000000000001</v>
      </c>
      <c r="BA172" s="22">
        <f t="shared" si="63"/>
        <v>1.132109407560169</v>
      </c>
      <c r="BB172" s="38">
        <f t="shared" si="64"/>
        <v>5.0209407560168895E-2</v>
      </c>
      <c r="BC172" s="58">
        <f t="shared" si="68"/>
        <v>1.0510040761494579</v>
      </c>
      <c r="BD172" s="32">
        <f t="shared" si="65"/>
        <v>0.52770292006786923</v>
      </c>
      <c r="BE172" s="38">
        <f t="shared" si="66"/>
        <v>502.09407560168893</v>
      </c>
    </row>
    <row r="173" spans="1:57" ht="15">
      <c r="A173" s="138">
        <v>171</v>
      </c>
      <c r="B173" s="139">
        <v>4</v>
      </c>
      <c r="C173" s="140" t="s">
        <v>415</v>
      </c>
      <c r="D173" s="140" t="s">
        <v>418</v>
      </c>
      <c r="E173" s="140" t="s">
        <v>437</v>
      </c>
      <c r="F173" s="140" t="s">
        <v>480</v>
      </c>
      <c r="G173" s="140"/>
      <c r="H173" s="140" t="s">
        <v>484</v>
      </c>
      <c r="I173" s="140">
        <v>50</v>
      </c>
      <c r="J173" s="140">
        <v>10</v>
      </c>
      <c r="K173" s="140">
        <v>15</v>
      </c>
      <c r="L173" s="140" t="s">
        <v>464</v>
      </c>
      <c r="M173" s="140">
        <v>3</v>
      </c>
      <c r="Q173" s="108">
        <v>10</v>
      </c>
      <c r="R173" s="53">
        <v>8</v>
      </c>
      <c r="S173" s="53">
        <f t="shared" si="43"/>
        <v>2</v>
      </c>
      <c r="T173" s="80">
        <v>103</v>
      </c>
      <c r="U173" s="80" t="s">
        <v>372</v>
      </c>
      <c r="V173" s="81">
        <v>2.66353975</v>
      </c>
      <c r="W173" s="81">
        <v>2731.8936550468984</v>
      </c>
      <c r="X173" s="83">
        <v>1.395845625</v>
      </c>
      <c r="Y173" s="83">
        <v>80.351429930506569</v>
      </c>
      <c r="Z173" s="154" t="s">
        <v>54</v>
      </c>
      <c r="AA173" s="75">
        <v>2.9111787500000004</v>
      </c>
      <c r="AB173" s="75">
        <v>7.1289713486518078</v>
      </c>
      <c r="AC173" s="75">
        <v>2.0592423593750002</v>
      </c>
      <c r="AD173" s="75">
        <v>-26.716135928040213</v>
      </c>
      <c r="AE173" s="75">
        <v>2.375375</v>
      </c>
      <c r="AF173" s="75">
        <v>2.375375</v>
      </c>
      <c r="AG173" s="32">
        <f t="shared" si="44"/>
        <v>2.3009777396870598E-2</v>
      </c>
      <c r="AH173" s="32">
        <f t="shared" si="45"/>
        <v>0.53073405008612418</v>
      </c>
      <c r="AI173" s="33">
        <f t="shared" si="46"/>
        <v>6.1287456735216364E-2</v>
      </c>
      <c r="AJ173" s="34">
        <f t="shared" si="47"/>
        <v>0.74082280185124727</v>
      </c>
      <c r="AK173" s="16">
        <f t="shared" si="48"/>
        <v>5.2094338224933909E-2</v>
      </c>
      <c r="AL173" s="16">
        <f t="shared" si="49"/>
        <v>0.6296993815735602</v>
      </c>
      <c r="AM173" s="27">
        <f t="shared" si="67"/>
        <v>52.094338224933907</v>
      </c>
      <c r="AN173" s="27">
        <f t="shared" si="67"/>
        <v>629.69938157356023</v>
      </c>
      <c r="AO173" s="29" t="e">
        <f t="shared" si="61"/>
        <v>#VALUE!</v>
      </c>
      <c r="AP173" s="29" t="e">
        <f t="shared" si="62"/>
        <v>#VALUE!</v>
      </c>
      <c r="AQ173" s="27">
        <f t="shared" si="52"/>
        <v>12.087674074188877</v>
      </c>
      <c r="AR173" s="14">
        <f t="shared" si="53"/>
        <v>2726.7446836982467</v>
      </c>
      <c r="AS173" s="25">
        <v>0.36620000000000003</v>
      </c>
      <c r="AT173" s="22">
        <f t="shared" si="54"/>
        <v>1.3514373120839185</v>
      </c>
      <c r="AU173" s="22">
        <f t="shared" si="55"/>
        <v>0.9852373120839184</v>
      </c>
      <c r="AV173" s="15"/>
      <c r="AW173" s="22"/>
      <c r="AX173" s="34">
        <f t="shared" si="56"/>
        <v>9852.3731208391837</v>
      </c>
      <c r="AY173" s="14">
        <f t="shared" si="57"/>
        <v>81.037565858546785</v>
      </c>
      <c r="AZ173" s="25">
        <v>1.0819000000000001</v>
      </c>
      <c r="BA173" s="22">
        <f t="shared" si="63"/>
        <v>1.2001825522272584</v>
      </c>
      <c r="BB173" s="38">
        <f t="shared" si="64"/>
        <v>0.11828255222725836</v>
      </c>
      <c r="BC173" s="58">
        <f t="shared" si="68"/>
        <v>0.71586622151144164</v>
      </c>
      <c r="BD173" s="32">
        <f t="shared" si="65"/>
        <v>0.84674483733657202</v>
      </c>
      <c r="BE173" s="38">
        <f t="shared" si="66"/>
        <v>1182.8255222725836</v>
      </c>
    </row>
    <row r="174" spans="1:57" ht="15">
      <c r="A174" s="138">
        <v>172</v>
      </c>
      <c r="B174" s="139">
        <v>4</v>
      </c>
      <c r="C174" s="140" t="s">
        <v>417</v>
      </c>
      <c r="D174" s="140" t="s">
        <v>424</v>
      </c>
      <c r="E174" s="140" t="s">
        <v>437</v>
      </c>
      <c r="F174" s="140" t="s">
        <v>480</v>
      </c>
      <c r="G174" s="140"/>
      <c r="H174" s="140" t="s">
        <v>484</v>
      </c>
      <c r="I174" s="140">
        <v>50</v>
      </c>
      <c r="J174" s="140">
        <v>10</v>
      </c>
      <c r="K174" s="140">
        <v>15</v>
      </c>
      <c r="L174" s="140" t="s">
        <v>465</v>
      </c>
      <c r="M174" s="140">
        <v>3</v>
      </c>
      <c r="Q174" s="108">
        <v>10</v>
      </c>
      <c r="R174" s="53">
        <v>8</v>
      </c>
      <c r="S174" s="53">
        <f t="shared" si="43"/>
        <v>2</v>
      </c>
      <c r="T174" s="82">
        <v>104</v>
      </c>
      <c r="U174" s="82" t="s">
        <v>373</v>
      </c>
      <c r="V174" s="83">
        <v>1.554033</v>
      </c>
      <c r="W174" s="83">
        <v>3126.9188855715879</v>
      </c>
      <c r="X174" s="81">
        <v>0.924697875</v>
      </c>
      <c r="Y174" s="81">
        <v>107.05002475539034</v>
      </c>
      <c r="Z174" s="154" t="s">
        <v>54</v>
      </c>
      <c r="AA174" s="75">
        <v>2.9111787500000004</v>
      </c>
      <c r="AB174" s="75">
        <v>7.1289713486518078</v>
      </c>
      <c r="AC174" s="75">
        <v>2.0592423593750002</v>
      </c>
      <c r="AD174" s="75">
        <v>-26.716135928040213</v>
      </c>
      <c r="AE174" s="75">
        <v>2.375375</v>
      </c>
      <c r="AF174" s="75">
        <v>2.375375</v>
      </c>
      <c r="AG174" s="32">
        <f t="shared" si="44"/>
        <v>2.3009777396870598E-2</v>
      </c>
      <c r="AH174" s="32">
        <f t="shared" si="45"/>
        <v>0.53073405008612418</v>
      </c>
      <c r="AI174" s="33">
        <f t="shared" si="46"/>
        <v>3.5757953397391004E-2</v>
      </c>
      <c r="AJ174" s="34">
        <f t="shared" si="47"/>
        <v>0.49076864830478262</v>
      </c>
      <c r="AK174" s="16">
        <f t="shared" si="48"/>
        <v>3.0394260387782354E-2</v>
      </c>
      <c r="AL174" s="16">
        <f t="shared" si="49"/>
        <v>0.41715335105906526</v>
      </c>
      <c r="AM174" s="27">
        <f t="shared" si="67"/>
        <v>30.394260387782353</v>
      </c>
      <c r="AN174" s="27">
        <f t="shared" si="67"/>
        <v>417.15335105906524</v>
      </c>
      <c r="AO174" s="29" t="e">
        <f t="shared" si="61"/>
        <v>#VALUE!</v>
      </c>
      <c r="AP174" s="29" t="e">
        <f t="shared" si="62"/>
        <v>#VALUE!</v>
      </c>
      <c r="AQ174" s="27">
        <f t="shared" si="52"/>
        <v>13.724740978620728</v>
      </c>
      <c r="AR174" s="14">
        <f t="shared" si="53"/>
        <v>3121.7699142229362</v>
      </c>
      <c r="AS174" s="25">
        <v>0.36620000000000003</v>
      </c>
      <c r="AT174" s="22">
        <f t="shared" si="54"/>
        <v>1.4925480897203933</v>
      </c>
      <c r="AU174" s="22">
        <f t="shared" si="55"/>
        <v>1.1263480897203932</v>
      </c>
      <c r="AV174" s="15"/>
      <c r="AW174" s="22"/>
      <c r="AX174" s="34">
        <f t="shared" si="56"/>
        <v>11263.480897203932</v>
      </c>
      <c r="AY174" s="14">
        <f t="shared" si="57"/>
        <v>107.73616068343055</v>
      </c>
      <c r="AZ174" s="25">
        <v>1.0819000000000001</v>
      </c>
      <c r="BA174" s="22">
        <f t="shared" si="63"/>
        <v>1.2294592681681649</v>
      </c>
      <c r="BB174" s="38">
        <f t="shared" si="64"/>
        <v>0.14755926816816478</v>
      </c>
      <c r="BC174" s="58">
        <f t="shared" si="68"/>
        <v>0.47683483013453543</v>
      </c>
      <c r="BD174" s="32">
        <f t="shared" si="65"/>
        <v>0.70361398571743217</v>
      </c>
      <c r="BE174" s="38">
        <f t="shared" si="66"/>
        <v>1475.5926816816475</v>
      </c>
    </row>
    <row r="175" spans="1:57" ht="15">
      <c r="A175" s="138">
        <v>173</v>
      </c>
      <c r="B175" s="139">
        <v>4</v>
      </c>
      <c r="C175" s="140" t="s">
        <v>419</v>
      </c>
      <c r="D175" s="140" t="s">
        <v>414</v>
      </c>
      <c r="E175" s="140" t="s">
        <v>437</v>
      </c>
      <c r="F175" s="140" t="s">
        <v>480</v>
      </c>
      <c r="G175" s="140"/>
      <c r="H175" s="140" t="s">
        <v>484</v>
      </c>
      <c r="I175" s="140">
        <v>50</v>
      </c>
      <c r="J175" s="140">
        <v>10</v>
      </c>
      <c r="K175" s="140">
        <v>15</v>
      </c>
      <c r="L175" s="140" t="s">
        <v>466</v>
      </c>
      <c r="M175" s="140">
        <v>3</v>
      </c>
      <c r="Q175" s="108">
        <v>10</v>
      </c>
      <c r="R175" s="53">
        <v>8</v>
      </c>
      <c r="S175" s="53">
        <f t="shared" si="43"/>
        <v>2</v>
      </c>
      <c r="T175" s="80">
        <v>105</v>
      </c>
      <c r="U175" s="80" t="s">
        <v>374</v>
      </c>
      <c r="V175" s="81">
        <v>1.6594015</v>
      </c>
      <c r="W175" s="81">
        <v>2190.5231135693912</v>
      </c>
      <c r="X175" s="83">
        <v>0.86926387500000002</v>
      </c>
      <c r="Y175" s="83">
        <v>72.998218745599857</v>
      </c>
      <c r="Z175" s="154" t="s">
        <v>54</v>
      </c>
      <c r="AA175" s="75">
        <v>2.9111787500000004</v>
      </c>
      <c r="AB175" s="75">
        <v>7.1289713486518078</v>
      </c>
      <c r="AC175" s="75">
        <v>2.0592423593750002</v>
      </c>
      <c r="AD175" s="75">
        <v>-26.716135928040213</v>
      </c>
      <c r="AE175" s="75">
        <v>2.375375</v>
      </c>
      <c r="AF175" s="75">
        <v>2.375375</v>
      </c>
      <c r="AG175" s="32">
        <f t="shared" si="44"/>
        <v>2.3009777396870598E-2</v>
      </c>
      <c r="AH175" s="32">
        <f t="shared" si="45"/>
        <v>0.53073405008612418</v>
      </c>
      <c r="AI175" s="33">
        <f t="shared" si="46"/>
        <v>3.8182459127033164E-2</v>
      </c>
      <c r="AJ175" s="34">
        <f t="shared" si="47"/>
        <v>0.46134793697230841</v>
      </c>
      <c r="AK175" s="16">
        <f t="shared" si="48"/>
        <v>3.2455090257978193E-2</v>
      </c>
      <c r="AL175" s="16">
        <f t="shared" si="49"/>
        <v>0.39214574642646216</v>
      </c>
      <c r="AM175" s="27">
        <f t="shared" si="67"/>
        <v>32.455090257978192</v>
      </c>
      <c r="AN175" s="27">
        <f t="shared" si="67"/>
        <v>392.14574642646215</v>
      </c>
      <c r="AO175" s="29" t="e">
        <f t="shared" si="61"/>
        <v>#VALUE!</v>
      </c>
      <c r="AP175" s="29" t="e">
        <f t="shared" si="62"/>
        <v>#VALUE!</v>
      </c>
      <c r="AQ175" s="27">
        <f t="shared" si="52"/>
        <v>12.082719330292539</v>
      </c>
      <c r="AR175" s="14">
        <f t="shared" si="53"/>
        <v>2185.3741422207395</v>
      </c>
      <c r="AS175" s="25">
        <v>0.36620000000000003</v>
      </c>
      <c r="AT175" s="22">
        <f t="shared" si="54"/>
        <v>1.157391137979213</v>
      </c>
      <c r="AU175" s="22">
        <f t="shared" si="55"/>
        <v>0.79119113797921292</v>
      </c>
      <c r="AV175" s="15"/>
      <c r="AW175" s="22"/>
      <c r="AX175" s="34">
        <f t="shared" si="56"/>
        <v>7911.9113797921291</v>
      </c>
      <c r="AY175" s="14">
        <f t="shared" si="57"/>
        <v>73.684354673640073</v>
      </c>
      <c r="AZ175" s="25">
        <v>1.0819000000000001</v>
      </c>
      <c r="BA175" s="22">
        <f t="shared" si="63"/>
        <v>1.1921162375582512</v>
      </c>
      <c r="BB175" s="38">
        <f t="shared" si="64"/>
        <v>0.11021623755825116</v>
      </c>
      <c r="BC175" s="58">
        <f t="shared" si="68"/>
        <v>0.44871102788866363</v>
      </c>
      <c r="BD175" s="32">
        <f t="shared" si="65"/>
        <v>0.4945524124478401</v>
      </c>
      <c r="BE175" s="38">
        <f t="shared" si="66"/>
        <v>1102.1623755825117</v>
      </c>
    </row>
    <row r="176" spans="1:57" ht="15">
      <c r="A176" s="138">
        <v>174</v>
      </c>
      <c r="B176" s="139">
        <v>4</v>
      </c>
      <c r="C176" s="140" t="s">
        <v>421</v>
      </c>
      <c r="D176" s="140" t="s">
        <v>420</v>
      </c>
      <c r="E176" s="140" t="s">
        <v>437</v>
      </c>
      <c r="F176" s="140" t="s">
        <v>480</v>
      </c>
      <c r="G176" s="140"/>
      <c r="H176" s="140" t="s">
        <v>484</v>
      </c>
      <c r="I176" s="140">
        <v>50</v>
      </c>
      <c r="J176" s="140">
        <v>10</v>
      </c>
      <c r="K176" s="140">
        <v>15</v>
      </c>
      <c r="L176" s="140" t="s">
        <v>468</v>
      </c>
      <c r="M176" s="140">
        <v>3</v>
      </c>
      <c r="Q176" s="108">
        <v>10</v>
      </c>
      <c r="R176" s="53">
        <v>8</v>
      </c>
      <c r="S176" s="53">
        <f t="shared" si="43"/>
        <v>2</v>
      </c>
      <c r="T176" s="80">
        <v>107</v>
      </c>
      <c r="U176" s="80" t="s">
        <v>376</v>
      </c>
      <c r="V176" s="81">
        <v>2.7294119999999999</v>
      </c>
      <c r="W176" s="81">
        <v>1368.755802846207</v>
      </c>
      <c r="X176" s="83">
        <v>1.27018275</v>
      </c>
      <c r="Y176" s="83">
        <v>22.180848981875091</v>
      </c>
      <c r="Z176" s="154" t="s">
        <v>54</v>
      </c>
      <c r="AA176" s="75">
        <v>2.9111787500000004</v>
      </c>
      <c r="AB176" s="75">
        <v>7.1289713486518078</v>
      </c>
      <c r="AC176" s="75">
        <v>2.0592423593750002</v>
      </c>
      <c r="AD176" s="75">
        <v>-26.716135928040213</v>
      </c>
      <c r="AE176" s="75">
        <v>2.375375</v>
      </c>
      <c r="AF176" s="75">
        <v>2.375375</v>
      </c>
      <c r="AG176" s="32">
        <f t="shared" si="44"/>
        <v>2.3009777396870598E-2</v>
      </c>
      <c r="AH176" s="32">
        <f t="shared" si="45"/>
        <v>0.53073405008612418</v>
      </c>
      <c r="AI176" s="33">
        <f t="shared" si="46"/>
        <v>6.2803162544347368E-2</v>
      </c>
      <c r="AJ176" s="34">
        <f t="shared" si="47"/>
        <v>0.67412923525703095</v>
      </c>
      <c r="AK176" s="16">
        <f t="shared" si="48"/>
        <v>5.3382688162695258E-2</v>
      </c>
      <c r="AL176" s="16">
        <f t="shared" si="49"/>
        <v>0.57300984996847637</v>
      </c>
      <c r="AM176" s="27">
        <f t="shared" si="67"/>
        <v>53.38268816269526</v>
      </c>
      <c r="AN176" s="27">
        <f t="shared" si="67"/>
        <v>573.00984996847637</v>
      </c>
      <c r="AO176" s="29" t="e">
        <f t="shared" si="61"/>
        <v>#VALUE!</v>
      </c>
      <c r="AP176" s="29" t="e">
        <f t="shared" si="62"/>
        <v>#VALUE!</v>
      </c>
      <c r="AQ176" s="27">
        <f t="shared" si="52"/>
        <v>10.734001409260342</v>
      </c>
      <c r="AR176" s="14">
        <f t="shared" si="53"/>
        <v>1363.606831497555</v>
      </c>
      <c r="AS176" s="25">
        <v>0.36620000000000003</v>
      </c>
      <c r="AT176" s="22">
        <f t="shared" si="54"/>
        <v>0.86137768895167255</v>
      </c>
      <c r="AU176" s="22">
        <f t="shared" si="55"/>
        <v>0.49517768895167252</v>
      </c>
      <c r="AV176" s="15"/>
      <c r="AW176" s="22"/>
      <c r="AX176" s="34">
        <f t="shared" si="56"/>
        <v>4951.7768895167255</v>
      </c>
      <c r="AY176" s="14">
        <f t="shared" si="57"/>
        <v>22.866984909915303</v>
      </c>
      <c r="AZ176" s="25">
        <v>1.0819000000000001</v>
      </c>
      <c r="BA176" s="22">
        <f t="shared" si="63"/>
        <v>1.1363346501218765</v>
      </c>
      <c r="BB176" s="38">
        <f t="shared" si="64"/>
        <v>5.4434650121876427E-2</v>
      </c>
      <c r="BC176" s="58">
        <f t="shared" si="68"/>
        <v>0.65211260737304833</v>
      </c>
      <c r="BD176" s="32">
        <f t="shared" si="65"/>
        <v>0.35497521622416456</v>
      </c>
      <c r="BE176" s="38">
        <f t="shared" si="66"/>
        <v>544.34650121876427</v>
      </c>
    </row>
    <row r="177" spans="1:57" ht="15">
      <c r="A177" s="138">
        <v>175</v>
      </c>
      <c r="B177" s="139">
        <v>4</v>
      </c>
      <c r="C177" s="140" t="s">
        <v>423</v>
      </c>
      <c r="D177" s="140" t="s">
        <v>426</v>
      </c>
      <c r="E177" s="140" t="s">
        <v>437</v>
      </c>
      <c r="F177" s="140" t="s">
        <v>480</v>
      </c>
      <c r="G177" s="140"/>
      <c r="H177" s="140" t="s">
        <v>484</v>
      </c>
      <c r="I177" s="140">
        <v>50</v>
      </c>
      <c r="J177" s="140">
        <v>10</v>
      </c>
      <c r="K177" s="140">
        <v>15</v>
      </c>
      <c r="L177" s="140" t="s">
        <v>469</v>
      </c>
      <c r="M177" s="140">
        <v>3</v>
      </c>
      <c r="Q177" s="108">
        <v>10</v>
      </c>
      <c r="R177" s="53">
        <v>8</v>
      </c>
      <c r="S177" s="53">
        <f t="shared" si="43"/>
        <v>2</v>
      </c>
      <c r="T177" s="82">
        <v>108</v>
      </c>
      <c r="U177" s="82" t="s">
        <v>377</v>
      </c>
      <c r="V177" s="83">
        <v>3.9077570000000001</v>
      </c>
      <c r="W177" s="83">
        <v>2416.9884808888487</v>
      </c>
      <c r="X177" s="81">
        <v>2.0981507499999998</v>
      </c>
      <c r="Y177" s="81">
        <v>50.124438767221051</v>
      </c>
      <c r="Z177" s="154" t="s">
        <v>54</v>
      </c>
      <c r="AA177" s="75">
        <v>2.9111787500000004</v>
      </c>
      <c r="AB177" s="75">
        <v>7.1289713486518078</v>
      </c>
      <c r="AC177" s="75">
        <v>2.0592423593750002</v>
      </c>
      <c r="AD177" s="75">
        <v>-26.716135928040213</v>
      </c>
      <c r="AE177" s="75">
        <v>2.375375</v>
      </c>
      <c r="AF177" s="75">
        <v>2.375375</v>
      </c>
      <c r="AG177" s="32">
        <f t="shared" si="44"/>
        <v>2.3009777396870598E-2</v>
      </c>
      <c r="AH177" s="32">
        <f t="shared" si="45"/>
        <v>0.53073405008612418</v>
      </c>
      <c r="AI177" s="33">
        <f t="shared" si="46"/>
        <v>8.9916618691062863E-2</v>
      </c>
      <c r="AJ177" s="34">
        <f t="shared" si="47"/>
        <v>1.1135600452387389</v>
      </c>
      <c r="AK177" s="16">
        <f t="shared" si="48"/>
        <v>7.6429125887403443E-2</v>
      </c>
      <c r="AL177" s="16">
        <f t="shared" si="49"/>
        <v>0.94652603845292804</v>
      </c>
      <c r="AM177" s="27">
        <f t="shared" si="67"/>
        <v>76.429125887403444</v>
      </c>
      <c r="AN177" s="27">
        <f t="shared" si="67"/>
        <v>946.52603845292799</v>
      </c>
      <c r="AO177" s="29" t="e">
        <f t="shared" si="61"/>
        <v>#VALUE!</v>
      </c>
      <c r="AP177" s="29" t="e">
        <f t="shared" si="62"/>
        <v>#VALUE!</v>
      </c>
      <c r="AQ177" s="27">
        <f t="shared" si="52"/>
        <v>12.384362995952156</v>
      </c>
      <c r="AR177" s="14">
        <f t="shared" si="53"/>
        <v>2411.839509540197</v>
      </c>
      <c r="AS177" s="25">
        <v>0.36620000000000003</v>
      </c>
      <c r="AT177" s="22">
        <f t="shared" si="54"/>
        <v>1.2386570633873071</v>
      </c>
      <c r="AU177" s="22">
        <f t="shared" si="55"/>
        <v>0.872457063387307</v>
      </c>
      <c r="AV177" s="15"/>
      <c r="AW177" s="22"/>
      <c r="AX177" s="34">
        <f t="shared" si="56"/>
        <v>8724.5706338730688</v>
      </c>
      <c r="AY177" s="14">
        <f t="shared" si="57"/>
        <v>50.810574695261266</v>
      </c>
      <c r="AZ177" s="25">
        <v>1.0819000000000001</v>
      </c>
      <c r="BA177" s="22">
        <f t="shared" si="63"/>
        <v>1.1670157690988994</v>
      </c>
      <c r="BB177" s="38">
        <f t="shared" si="64"/>
        <v>8.5115769098899285E-2</v>
      </c>
      <c r="BC177" s="58">
        <f t="shared" si="68"/>
        <v>1.0721726481045475</v>
      </c>
      <c r="BD177" s="32">
        <f t="shared" si="65"/>
        <v>0.91258799550222069</v>
      </c>
      <c r="BE177" s="38">
        <f t="shared" si="66"/>
        <v>851.15769098899284</v>
      </c>
    </row>
    <row r="178" spans="1:57" ht="15">
      <c r="A178" s="138">
        <v>176</v>
      </c>
      <c r="B178" s="139">
        <v>4</v>
      </c>
      <c r="C178" s="140" t="s">
        <v>425</v>
      </c>
      <c r="D178" s="140" t="s">
        <v>422</v>
      </c>
      <c r="E178" s="140" t="s">
        <v>437</v>
      </c>
      <c r="F178" s="140" t="s">
        <v>480</v>
      </c>
      <c r="G178" s="140"/>
      <c r="H178" s="140" t="s">
        <v>484</v>
      </c>
      <c r="I178" s="140">
        <v>50</v>
      </c>
      <c r="J178" s="140">
        <v>10</v>
      </c>
      <c r="K178" s="140">
        <v>15</v>
      </c>
      <c r="L178" s="140" t="s">
        <v>470</v>
      </c>
      <c r="M178" s="140">
        <v>3</v>
      </c>
      <c r="Q178" s="108">
        <v>10</v>
      </c>
      <c r="R178" s="53">
        <v>8</v>
      </c>
      <c r="S178" s="53">
        <f t="shared" si="43"/>
        <v>2</v>
      </c>
      <c r="T178" s="80">
        <v>109</v>
      </c>
      <c r="U178" s="80" t="s">
        <v>378</v>
      </c>
      <c r="V178" s="81">
        <v>1.141175125</v>
      </c>
      <c r="W178" s="81">
        <v>1841.1392534529675</v>
      </c>
      <c r="X178" s="83">
        <v>0.66749906250000002</v>
      </c>
      <c r="Y178" s="83">
        <v>49.901508446243888</v>
      </c>
      <c r="Z178" s="154" t="s">
        <v>54</v>
      </c>
      <c r="AA178" s="75">
        <v>2.9111787500000004</v>
      </c>
      <c r="AB178" s="75">
        <v>7.1289713486518078</v>
      </c>
      <c r="AC178" s="75">
        <v>2.0592423593750002</v>
      </c>
      <c r="AD178" s="75">
        <v>-26.716135928040213</v>
      </c>
      <c r="AE178" s="75">
        <v>2.375375</v>
      </c>
      <c r="AF178" s="75">
        <v>2.375375</v>
      </c>
      <c r="AG178" s="32">
        <f t="shared" si="44"/>
        <v>2.3009777396870598E-2</v>
      </c>
      <c r="AH178" s="32">
        <f t="shared" si="45"/>
        <v>0.53073405008612418</v>
      </c>
      <c r="AI178" s="33">
        <f t="shared" si="46"/>
        <v>2.6258185597095977E-2</v>
      </c>
      <c r="AJ178" s="34">
        <f t="shared" si="47"/>
        <v>0.35426448086931595</v>
      </c>
      <c r="AK178" s="16">
        <f t="shared" si="48"/>
        <v>2.231945775753158E-2</v>
      </c>
      <c r="AL178" s="16">
        <f t="shared" si="49"/>
        <v>0.30112480873891856</v>
      </c>
      <c r="AM178" s="27">
        <f t="shared" si="67"/>
        <v>22.31945775753158</v>
      </c>
      <c r="AN178" s="27">
        <f t="shared" si="67"/>
        <v>301.12480873891855</v>
      </c>
      <c r="AO178" s="29" t="e">
        <f t="shared" si="61"/>
        <v>#VALUE!</v>
      </c>
      <c r="AP178" s="29" t="e">
        <f t="shared" si="62"/>
        <v>#VALUE!</v>
      </c>
      <c r="AQ178" s="27">
        <f t="shared" si="52"/>
        <v>13.491582636558705</v>
      </c>
      <c r="AR178" s="14">
        <f t="shared" si="53"/>
        <v>1835.9902821043156</v>
      </c>
      <c r="AS178" s="25">
        <v>0.36620000000000003</v>
      </c>
      <c r="AT178" s="22">
        <f t="shared" si="54"/>
        <v>1.0317538899377448</v>
      </c>
      <c r="AU178" s="22">
        <f t="shared" si="55"/>
        <v>0.66555388993774467</v>
      </c>
      <c r="AV178" s="15"/>
      <c r="AW178" s="22"/>
      <c r="AX178" s="34">
        <f t="shared" si="56"/>
        <v>6655.5388993774459</v>
      </c>
      <c r="AY178" s="14">
        <f t="shared" si="57"/>
        <v>50.587644374284096</v>
      </c>
      <c r="AZ178" s="25">
        <v>1.0819000000000001</v>
      </c>
      <c r="BA178" s="22">
        <f t="shared" si="63"/>
        <v>1.1667710744819833</v>
      </c>
      <c r="BB178" s="38">
        <f t="shared" si="64"/>
        <v>8.4871074481983166E-2</v>
      </c>
      <c r="BC178" s="58">
        <f t="shared" si="68"/>
        <v>0.34634797115587523</v>
      </c>
      <c r="BD178" s="32">
        <f t="shared" si="65"/>
        <v>0.29394924456654048</v>
      </c>
      <c r="BE178" s="38">
        <f t="shared" si="66"/>
        <v>848.71074481983169</v>
      </c>
    </row>
    <row r="179" spans="1:57" ht="15">
      <c r="A179" s="138">
        <v>177</v>
      </c>
      <c r="B179" s="140">
        <v>5</v>
      </c>
      <c r="C179" s="140" t="s">
        <v>408</v>
      </c>
      <c r="D179" s="140" t="s">
        <v>420</v>
      </c>
      <c r="E179" s="140" t="s">
        <v>437</v>
      </c>
      <c r="F179" s="140" t="s">
        <v>480</v>
      </c>
      <c r="G179" s="140"/>
      <c r="H179" s="140" t="s">
        <v>485</v>
      </c>
      <c r="I179" s="140">
        <v>50</v>
      </c>
      <c r="J179" s="140">
        <v>10</v>
      </c>
      <c r="K179" s="140">
        <v>15</v>
      </c>
      <c r="L179" s="140" t="s">
        <v>471</v>
      </c>
      <c r="M179" s="140">
        <v>3</v>
      </c>
      <c r="Q179" s="108">
        <v>10</v>
      </c>
      <c r="R179" s="53">
        <v>8</v>
      </c>
      <c r="S179" s="53">
        <f t="shared" ref="S179:S194" si="69">Q179-R179</f>
        <v>2</v>
      </c>
      <c r="T179" s="82">
        <v>110</v>
      </c>
      <c r="U179" s="82" t="s">
        <v>379</v>
      </c>
      <c r="V179" s="83">
        <v>4.0064942500000003</v>
      </c>
      <c r="W179" s="83">
        <v>3396.214579855844</v>
      </c>
      <c r="X179" s="81">
        <v>2.3249057500000001</v>
      </c>
      <c r="Y179" s="81">
        <v>87.476433431123056</v>
      </c>
      <c r="Z179" s="154" t="s">
        <v>54</v>
      </c>
      <c r="AA179" s="75">
        <v>2.9111787500000004</v>
      </c>
      <c r="AB179" s="75">
        <v>7.1289713486518078</v>
      </c>
      <c r="AC179" s="75">
        <v>2.0592423593750002</v>
      </c>
      <c r="AD179" s="75">
        <v>-26.716135928040213</v>
      </c>
      <c r="AE179" s="75">
        <v>2.375375</v>
      </c>
      <c r="AF179" s="75">
        <v>2.375375</v>
      </c>
      <c r="AG179" s="32">
        <f t="shared" ref="AG179:AG194" si="70">((2.82/100)*AE179)/AA179</f>
        <v>2.3009777396870598E-2</v>
      </c>
      <c r="AH179" s="32">
        <f t="shared" ref="AH179:AH194" si="71">((46.01/100)*AF179)/AC179</f>
        <v>0.53073405008612418</v>
      </c>
      <c r="AI179" s="33">
        <f t="shared" ref="AI179:AI194" si="72">V179*AG179</f>
        <v>9.2188540834342025E-2</v>
      </c>
      <c r="AJ179" s="34">
        <f t="shared" ref="AJ179:AJ194" si="73">X179*AH179</f>
        <v>1.2339066447660181</v>
      </c>
      <c r="AK179" s="16">
        <f t="shared" ref="AK179:AK194" si="74">((AI179/K179)*(100+S179))/(R179)</f>
        <v>7.8360259709190722E-2</v>
      </c>
      <c r="AL179" s="16">
        <f t="shared" si="49"/>
        <v>1.0488206480511153</v>
      </c>
      <c r="AM179" s="27">
        <f t="shared" si="67"/>
        <v>78.360259709190728</v>
      </c>
      <c r="AN179" s="27">
        <f t="shared" si="67"/>
        <v>1048.8206480511153</v>
      </c>
      <c r="AO179" s="29" t="e">
        <f t="shared" si="61"/>
        <v>#VALUE!</v>
      </c>
      <c r="AP179" s="29" t="e">
        <f t="shared" si="62"/>
        <v>#VALUE!</v>
      </c>
      <c r="AQ179" s="27">
        <f t="shared" ref="AQ179:AQ194" si="75">AJ179/AI179</f>
        <v>13.384598927357834</v>
      </c>
      <c r="AR179" s="14">
        <f t="shared" ref="AR179:AR194" si="76">W179+(1.98-AB179)</f>
        <v>3391.0656085071923</v>
      </c>
      <c r="AS179" s="25">
        <v>0.36620000000000003</v>
      </c>
      <c r="AT179" s="22">
        <f t="shared" ref="AT179:AT194" si="77">100*0.003676*(AR179/1000+1)/(1+0.003676*(AR179/1000+1))</f>
        <v>1.5885146181520451</v>
      </c>
      <c r="AU179" s="22">
        <f t="shared" ref="AU179:AU194" si="78">AT179-AS179</f>
        <v>1.222314618152045</v>
      </c>
      <c r="AV179" s="15"/>
      <c r="AW179" s="22"/>
      <c r="AX179" s="34">
        <f t="shared" ref="AX179:AX194" si="79">(((AI179*(AU179%))/AI179)*1000)*1000</f>
        <v>12223.146181520447</v>
      </c>
      <c r="AY179" s="14">
        <f t="shared" ref="AY179:AY194" si="80">Y179+(-26.03-AD179)</f>
        <v>88.162569359163271</v>
      </c>
      <c r="AZ179" s="25">
        <v>1.0819000000000001</v>
      </c>
      <c r="BA179" s="22">
        <f t="shared" si="63"/>
        <v>1.207997271736629</v>
      </c>
      <c r="BB179" s="38">
        <f t="shared" si="64"/>
        <v>0.12609727173662888</v>
      </c>
      <c r="BC179" s="58">
        <f t="shared" si="68"/>
        <v>1.1872141890047649</v>
      </c>
      <c r="BD179" s="32">
        <f t="shared" si="65"/>
        <v>1.4970447020051532</v>
      </c>
      <c r="BE179" s="38">
        <f t="shared" si="66"/>
        <v>1260.9727173662889</v>
      </c>
    </row>
    <row r="180" spans="1:57" ht="15">
      <c r="A180" s="138">
        <v>178</v>
      </c>
      <c r="B180" s="140">
        <v>5</v>
      </c>
      <c r="C180" s="140" t="s">
        <v>413</v>
      </c>
      <c r="D180" s="140" t="s">
        <v>424</v>
      </c>
      <c r="E180" s="140" t="s">
        <v>437</v>
      </c>
      <c r="F180" s="140" t="s">
        <v>480</v>
      </c>
      <c r="G180" s="140"/>
      <c r="H180" s="140" t="s">
        <v>485</v>
      </c>
      <c r="I180" s="140">
        <v>50</v>
      </c>
      <c r="J180" s="140">
        <v>10</v>
      </c>
      <c r="K180" s="140">
        <v>15</v>
      </c>
      <c r="L180" s="140" t="s">
        <v>472</v>
      </c>
      <c r="M180" s="140">
        <v>3</v>
      </c>
      <c r="Q180" s="108">
        <v>10</v>
      </c>
      <c r="R180" s="53">
        <v>8</v>
      </c>
      <c r="S180" s="53">
        <f t="shared" si="69"/>
        <v>2</v>
      </c>
      <c r="T180" s="80">
        <v>111</v>
      </c>
      <c r="U180" s="80" t="s">
        <v>380</v>
      </c>
      <c r="V180" s="81">
        <v>2.4857174999999998</v>
      </c>
      <c r="W180" s="81">
        <v>1914.8557913080431</v>
      </c>
      <c r="X180" s="83">
        <v>1.323766</v>
      </c>
      <c r="Y180" s="83">
        <v>45.252146188609338</v>
      </c>
      <c r="Z180" s="154" t="s">
        <v>54</v>
      </c>
      <c r="AA180" s="75">
        <v>2.9111787500000004</v>
      </c>
      <c r="AB180" s="75">
        <v>7.1289713486518078</v>
      </c>
      <c r="AC180" s="75">
        <v>2.0592423593750002</v>
      </c>
      <c r="AD180" s="75">
        <v>-26.716135928040213</v>
      </c>
      <c r="AE180" s="75">
        <v>2.375375</v>
      </c>
      <c r="AF180" s="75">
        <v>2.375375</v>
      </c>
      <c r="AG180" s="32">
        <f t="shared" si="70"/>
        <v>2.3009777396870598E-2</v>
      </c>
      <c r="AH180" s="32">
        <f t="shared" si="71"/>
        <v>0.53073405008612418</v>
      </c>
      <c r="AI180" s="33">
        <f t="shared" si="72"/>
        <v>5.7195806346505687E-2</v>
      </c>
      <c r="AJ180" s="34">
        <f t="shared" si="73"/>
        <v>0.7025676905463083</v>
      </c>
      <c r="AK180" s="16">
        <f t="shared" si="74"/>
        <v>4.8616435394529832E-2</v>
      </c>
      <c r="AL180" s="16">
        <f t="shared" ref="AL180:AL194" si="81">((AJ180/K180)*(100+S180))/(R180)</f>
        <v>0.59718253696436208</v>
      </c>
      <c r="AM180" s="27">
        <f t="shared" si="67"/>
        <v>48.61643539452983</v>
      </c>
      <c r="AN180" s="27">
        <f t="shared" si="67"/>
        <v>597.18253696436204</v>
      </c>
      <c r="AO180" s="29" t="e">
        <f t="shared" si="61"/>
        <v>#VALUE!</v>
      </c>
      <c r="AP180" s="29" t="e">
        <f t="shared" si="62"/>
        <v>#VALUE!</v>
      </c>
      <c r="AQ180" s="27">
        <f t="shared" si="75"/>
        <v>12.28355250890227</v>
      </c>
      <c r="AR180" s="14">
        <f t="shared" si="76"/>
        <v>1909.7068199593912</v>
      </c>
      <c r="AS180" s="25">
        <v>0.36620000000000003</v>
      </c>
      <c r="AT180" s="22">
        <f t="shared" si="77"/>
        <v>1.058288684185434</v>
      </c>
      <c r="AU180" s="22">
        <f t="shared" si="78"/>
        <v>0.6920886841854339</v>
      </c>
      <c r="AV180" s="15"/>
      <c r="AW180" s="22"/>
      <c r="AX180" s="34">
        <f t="shared" si="79"/>
        <v>6920.8868418543398</v>
      </c>
      <c r="AY180" s="14">
        <f t="shared" si="80"/>
        <v>45.938282116649546</v>
      </c>
      <c r="AZ180" s="25">
        <v>1.0819000000000001</v>
      </c>
      <c r="BA180" s="22">
        <f t="shared" si="63"/>
        <v>1.1616675269898009</v>
      </c>
      <c r="BB180" s="38">
        <f t="shared" si="64"/>
        <v>7.976752698980083E-2</v>
      </c>
      <c r="BC180" s="58">
        <f t="shared" si="68"/>
        <v>0.67929745289549137</v>
      </c>
      <c r="BD180" s="32">
        <f t="shared" si="65"/>
        <v>0.54185877907944069</v>
      </c>
      <c r="BE180" s="38">
        <f t="shared" si="66"/>
        <v>797.67526989800831</v>
      </c>
    </row>
    <row r="181" spans="1:57" ht="15">
      <c r="A181" s="138">
        <v>179</v>
      </c>
      <c r="B181" s="140">
        <v>5</v>
      </c>
      <c r="C181" s="140" t="s">
        <v>415</v>
      </c>
      <c r="D181" s="140" t="s">
        <v>409</v>
      </c>
      <c r="E181" s="140" t="s">
        <v>437</v>
      </c>
      <c r="F181" s="140" t="s">
        <v>480</v>
      </c>
      <c r="G181" s="140"/>
      <c r="H181" s="140" t="s">
        <v>485</v>
      </c>
      <c r="I181" s="140">
        <v>50</v>
      </c>
      <c r="J181" s="140">
        <v>10</v>
      </c>
      <c r="K181" s="140">
        <v>15</v>
      </c>
      <c r="L181" s="140" t="s">
        <v>473</v>
      </c>
      <c r="M181" s="140">
        <v>3</v>
      </c>
      <c r="Q181" s="108">
        <v>10</v>
      </c>
      <c r="R181" s="53">
        <v>8</v>
      </c>
      <c r="S181" s="53">
        <f t="shared" si="69"/>
        <v>2</v>
      </c>
      <c r="T181" s="82">
        <v>112</v>
      </c>
      <c r="U181" s="82" t="s">
        <v>381</v>
      </c>
      <c r="V181" s="83">
        <v>2.3698524999999999</v>
      </c>
      <c r="W181" s="83">
        <v>2662.9440182500807</v>
      </c>
      <c r="X181" s="81">
        <v>1.3530303749999999</v>
      </c>
      <c r="Y181" s="81">
        <v>62.560226418462584</v>
      </c>
      <c r="Z181" s="154" t="s">
        <v>54</v>
      </c>
      <c r="AA181" s="75">
        <v>2.9111787500000004</v>
      </c>
      <c r="AB181" s="75">
        <v>7.1289713486518078</v>
      </c>
      <c r="AC181" s="75">
        <v>2.0592423593750002</v>
      </c>
      <c r="AD181" s="75">
        <v>-26.716135928040213</v>
      </c>
      <c r="AE181" s="75">
        <v>2.375375</v>
      </c>
      <c r="AF181" s="75">
        <v>2.375375</v>
      </c>
      <c r="AG181" s="32">
        <f t="shared" si="70"/>
        <v>2.3009777396870598E-2</v>
      </c>
      <c r="AH181" s="32">
        <f t="shared" si="71"/>
        <v>0.53073405008612418</v>
      </c>
      <c r="AI181" s="33">
        <f t="shared" si="72"/>
        <v>5.4529778488417273E-2</v>
      </c>
      <c r="AJ181" s="34">
        <f t="shared" si="73"/>
        <v>0.71809929081329738</v>
      </c>
      <c r="AK181" s="16">
        <f t="shared" si="74"/>
        <v>4.6350311715154677E-2</v>
      </c>
      <c r="AL181" s="16">
        <f t="shared" si="81"/>
        <v>0.61038439719130277</v>
      </c>
      <c r="AM181" s="27">
        <f t="shared" si="67"/>
        <v>46.350311715154675</v>
      </c>
      <c r="AN181" s="27">
        <f t="shared" si="67"/>
        <v>610.38439719130281</v>
      </c>
      <c r="AO181" s="29" t="e">
        <f t="shared" si="61"/>
        <v>#VALUE!</v>
      </c>
      <c r="AP181" s="29" t="e">
        <f t="shared" si="62"/>
        <v>#VALUE!</v>
      </c>
      <c r="AQ181" s="27">
        <f t="shared" si="75"/>
        <v>13.168938343768067</v>
      </c>
      <c r="AR181" s="14">
        <f t="shared" si="76"/>
        <v>2657.795046901429</v>
      </c>
      <c r="AS181" s="25">
        <v>0.36620000000000003</v>
      </c>
      <c r="AT181" s="22">
        <f t="shared" si="77"/>
        <v>1.326765695271015</v>
      </c>
      <c r="AU181" s="22">
        <f t="shared" si="78"/>
        <v>0.96056569527101487</v>
      </c>
      <c r="AV181" s="15"/>
      <c r="AW181" s="22"/>
      <c r="AX181" s="34">
        <f t="shared" si="79"/>
        <v>9605.6569527101492</v>
      </c>
      <c r="AY181" s="14">
        <f t="shared" si="80"/>
        <v>63.246362346502792</v>
      </c>
      <c r="AZ181" s="25">
        <v>1.0819000000000001</v>
      </c>
      <c r="BA181" s="22">
        <f t="shared" si="63"/>
        <v>1.1806637221550378</v>
      </c>
      <c r="BB181" s="38">
        <f t="shared" si="64"/>
        <v>9.8763722155037703E-2</v>
      </c>
      <c r="BC181" s="58">
        <f t="shared" si="68"/>
        <v>0.69414439692531116</v>
      </c>
      <c r="BD181" s="32">
        <f t="shared" si="65"/>
        <v>0.68556284353407637</v>
      </c>
      <c r="BE181" s="38">
        <f t="shared" si="66"/>
        <v>987.63722155037703</v>
      </c>
    </row>
    <row r="182" spans="1:57" ht="15">
      <c r="A182" s="138">
        <v>180</v>
      </c>
      <c r="B182" s="140">
        <v>5</v>
      </c>
      <c r="C182" s="140" t="s">
        <v>417</v>
      </c>
      <c r="D182" s="140" t="s">
        <v>426</v>
      </c>
      <c r="E182" s="140" t="s">
        <v>437</v>
      </c>
      <c r="F182" s="140" t="s">
        <v>480</v>
      </c>
      <c r="G182" s="140"/>
      <c r="H182" s="140" t="s">
        <v>485</v>
      </c>
      <c r="I182" s="140">
        <v>50</v>
      </c>
      <c r="J182" s="140">
        <v>10</v>
      </c>
      <c r="K182" s="140">
        <v>15</v>
      </c>
      <c r="L182" s="140" t="s">
        <v>474</v>
      </c>
      <c r="M182" s="140">
        <v>3</v>
      </c>
      <c r="Q182" s="108">
        <v>10</v>
      </c>
      <c r="R182" s="53">
        <v>8</v>
      </c>
      <c r="S182" s="53">
        <f t="shared" si="69"/>
        <v>2</v>
      </c>
      <c r="T182" s="80">
        <v>113</v>
      </c>
      <c r="U182" s="80" t="s">
        <v>382</v>
      </c>
      <c r="V182" s="81">
        <v>1.44495825</v>
      </c>
      <c r="W182" s="81">
        <v>3127.5791230628311</v>
      </c>
      <c r="X182" s="83">
        <v>0.82013293750000005</v>
      </c>
      <c r="Y182" s="83">
        <v>115.83618161124382</v>
      </c>
      <c r="Z182" s="154" t="s">
        <v>54</v>
      </c>
      <c r="AA182" s="75">
        <v>2.9111787500000004</v>
      </c>
      <c r="AB182" s="75">
        <v>7.1289713486518078</v>
      </c>
      <c r="AC182" s="75">
        <v>2.0592423593750002</v>
      </c>
      <c r="AD182" s="75">
        <v>-26.716135928040213</v>
      </c>
      <c r="AE182" s="75">
        <v>2.375375</v>
      </c>
      <c r="AF182" s="75">
        <v>2.375375</v>
      </c>
      <c r="AG182" s="32">
        <f t="shared" si="70"/>
        <v>2.3009777396870598E-2</v>
      </c>
      <c r="AH182" s="32">
        <f t="shared" si="71"/>
        <v>0.53073405008612418</v>
      </c>
      <c r="AI182" s="33">
        <f t="shared" si="72"/>
        <v>3.3248167680271695E-2</v>
      </c>
      <c r="AJ182" s="34">
        <f t="shared" si="73"/>
        <v>0.4352724755284052</v>
      </c>
      <c r="AK182" s="16">
        <f t="shared" si="74"/>
        <v>2.8260942528230942E-2</v>
      </c>
      <c r="AL182" s="16">
        <f t="shared" si="81"/>
        <v>0.36998160419914444</v>
      </c>
      <c r="AM182" s="27">
        <f t="shared" si="67"/>
        <v>28.260942528230942</v>
      </c>
      <c r="AN182" s="27">
        <f t="shared" si="67"/>
        <v>369.98160419914444</v>
      </c>
      <c r="AO182" s="29" t="e">
        <f t="shared" si="61"/>
        <v>#VALUE!</v>
      </c>
      <c r="AP182" s="29" t="e">
        <f t="shared" si="62"/>
        <v>#VALUE!</v>
      </c>
      <c r="AQ182" s="27">
        <f t="shared" si="75"/>
        <v>13.09162296443424</v>
      </c>
      <c r="AR182" s="14">
        <f t="shared" si="76"/>
        <v>3122.4301517141794</v>
      </c>
      <c r="AS182" s="25">
        <v>0.36620000000000003</v>
      </c>
      <c r="AT182" s="22">
        <f t="shared" si="77"/>
        <v>1.4927836015991318</v>
      </c>
      <c r="AU182" s="22">
        <f t="shared" si="78"/>
        <v>1.1265836015991317</v>
      </c>
      <c r="AV182" s="15"/>
      <c r="AW182" s="22"/>
      <c r="AX182" s="34">
        <f t="shared" si="79"/>
        <v>11265.836015991317</v>
      </c>
      <c r="AY182" s="14">
        <f t="shared" si="80"/>
        <v>116.52231753928403</v>
      </c>
      <c r="AZ182" s="25">
        <v>1.0819000000000001</v>
      </c>
      <c r="BA182" s="22">
        <f t="shared" si="63"/>
        <v>1.2390900567062884</v>
      </c>
      <c r="BB182" s="38">
        <f t="shared" si="64"/>
        <v>0.15719005670628827</v>
      </c>
      <c r="BC182" s="58">
        <f t="shared" si="68"/>
        <v>0.42378501189839984</v>
      </c>
      <c r="BD182" s="32">
        <f t="shared" si="65"/>
        <v>0.66614790051584527</v>
      </c>
      <c r="BE182" s="38">
        <f t="shared" si="66"/>
        <v>1571.9005670628828</v>
      </c>
    </row>
    <row r="183" spans="1:57" ht="15">
      <c r="A183" s="138">
        <v>181</v>
      </c>
      <c r="B183" s="140">
        <v>5</v>
      </c>
      <c r="C183" s="140" t="s">
        <v>419</v>
      </c>
      <c r="D183" s="140" t="s">
        <v>418</v>
      </c>
      <c r="E183" s="140" t="s">
        <v>437</v>
      </c>
      <c r="F183" s="140" t="s">
        <v>480</v>
      </c>
      <c r="G183" s="140"/>
      <c r="H183" s="140" t="s">
        <v>485</v>
      </c>
      <c r="I183" s="140">
        <v>50</v>
      </c>
      <c r="J183" s="140">
        <v>10</v>
      </c>
      <c r="K183" s="140">
        <v>15</v>
      </c>
      <c r="L183" s="140" t="s">
        <v>475</v>
      </c>
      <c r="M183" s="140">
        <v>3</v>
      </c>
      <c r="Q183" s="108">
        <v>10</v>
      </c>
      <c r="R183" s="53">
        <v>8</v>
      </c>
      <c r="S183" s="53">
        <f t="shared" si="69"/>
        <v>2</v>
      </c>
      <c r="T183" s="82">
        <v>114</v>
      </c>
      <c r="U183" s="82" t="s">
        <v>383</v>
      </c>
      <c r="V183" s="83">
        <v>1.944598125</v>
      </c>
      <c r="W183" s="83">
        <v>148.2685433675542</v>
      </c>
      <c r="X183" s="81">
        <v>0.94722218749999998</v>
      </c>
      <c r="Y183" s="81">
        <v>-20.802742239118519</v>
      </c>
      <c r="Z183" s="154" t="s">
        <v>54</v>
      </c>
      <c r="AA183" s="75">
        <v>2.9111787500000004</v>
      </c>
      <c r="AB183" s="75">
        <v>7.1289713486518078</v>
      </c>
      <c r="AC183" s="75">
        <v>2.0592423593750002</v>
      </c>
      <c r="AD183" s="75">
        <v>-26.716135928040213</v>
      </c>
      <c r="AE183" s="75">
        <v>2.375375</v>
      </c>
      <c r="AF183" s="75">
        <v>2.375375</v>
      </c>
      <c r="AG183" s="32">
        <f t="shared" si="70"/>
        <v>2.3009777396870598E-2</v>
      </c>
      <c r="AH183" s="32">
        <f t="shared" si="71"/>
        <v>0.53073405008612418</v>
      </c>
      <c r="AI183" s="33">
        <f t="shared" si="72"/>
        <v>4.4744769982621946E-2</v>
      </c>
      <c r="AJ183" s="34">
        <f t="shared" si="73"/>
        <v>0.50272306790331311</v>
      </c>
      <c r="AK183" s="16">
        <f t="shared" si="74"/>
        <v>3.8033054485228653E-2</v>
      </c>
      <c r="AL183" s="16">
        <f t="shared" si="81"/>
        <v>0.42731460771781615</v>
      </c>
      <c r="AM183" s="27">
        <f t="shared" si="67"/>
        <v>38.033054485228654</v>
      </c>
      <c r="AN183" s="27">
        <f t="shared" si="67"/>
        <v>427.31460771781616</v>
      </c>
      <c r="AO183" s="29" t="e">
        <f t="shared" si="61"/>
        <v>#VALUE!</v>
      </c>
      <c r="AP183" s="29" t="e">
        <f t="shared" si="62"/>
        <v>#VALUE!</v>
      </c>
      <c r="AQ183" s="27">
        <f t="shared" si="75"/>
        <v>11.235348133392161</v>
      </c>
      <c r="AR183" s="14">
        <f t="shared" si="76"/>
        <v>143.1195720189024</v>
      </c>
      <c r="AS183" s="25">
        <v>0.36620000000000003</v>
      </c>
      <c r="AT183" s="22">
        <f t="shared" si="77"/>
        <v>0.41845237280045183</v>
      </c>
      <c r="AU183" s="22">
        <f t="shared" si="78"/>
        <v>5.2252372800451807E-2</v>
      </c>
      <c r="AV183" s="15"/>
      <c r="AW183" s="22"/>
      <c r="AX183" s="34">
        <f t="shared" si="79"/>
        <v>522.52372800451803</v>
      </c>
      <c r="AY183" s="14">
        <f t="shared" si="80"/>
        <v>-20.116606311078307</v>
      </c>
      <c r="AZ183" s="25">
        <v>1.0819000000000001</v>
      </c>
      <c r="BA183" s="22">
        <f t="shared" si="63"/>
        <v>1.0891029121104434</v>
      </c>
      <c r="BB183" s="38">
        <f t="shared" si="64"/>
        <v>7.2029121104433269E-3</v>
      </c>
      <c r="BC183" s="58">
        <f t="shared" si="68"/>
        <v>0.48826228098553326</v>
      </c>
      <c r="BD183" s="32">
        <f t="shared" si="65"/>
        <v>3.51691029678338E-2</v>
      </c>
      <c r="BE183" s="38">
        <f t="shared" si="66"/>
        <v>72.029121104433273</v>
      </c>
    </row>
    <row r="184" spans="1:57" ht="15">
      <c r="A184" s="138">
        <v>182</v>
      </c>
      <c r="B184" s="140">
        <v>5</v>
      </c>
      <c r="C184" s="140" t="s">
        <v>421</v>
      </c>
      <c r="D184" s="140" t="s">
        <v>416</v>
      </c>
      <c r="E184" s="140" t="s">
        <v>437</v>
      </c>
      <c r="F184" s="140" t="s">
        <v>480</v>
      </c>
      <c r="G184" s="140"/>
      <c r="H184" s="140" t="s">
        <v>485</v>
      </c>
      <c r="I184" s="140">
        <v>50</v>
      </c>
      <c r="J184" s="140">
        <v>10</v>
      </c>
      <c r="K184" s="140">
        <v>15</v>
      </c>
      <c r="L184" s="140" t="s">
        <v>476</v>
      </c>
      <c r="M184" s="140">
        <v>3</v>
      </c>
      <c r="Q184" s="108">
        <v>10</v>
      </c>
      <c r="R184" s="53">
        <v>8</v>
      </c>
      <c r="S184" s="53">
        <f t="shared" si="69"/>
        <v>2</v>
      </c>
      <c r="T184" s="80">
        <v>115</v>
      </c>
      <c r="U184" s="80" t="s">
        <v>384</v>
      </c>
      <c r="V184" s="81">
        <v>1.462021</v>
      </c>
      <c r="W184" s="81">
        <v>1229.8720850354894</v>
      </c>
      <c r="X184" s="83">
        <v>0.80778806250000001</v>
      </c>
      <c r="Y184" s="83">
        <v>25.639980981604019</v>
      </c>
      <c r="Z184" s="154" t="s">
        <v>54</v>
      </c>
      <c r="AA184" s="75">
        <v>2.9111787500000004</v>
      </c>
      <c r="AB184" s="75">
        <v>7.1289713486518078</v>
      </c>
      <c r="AC184" s="75">
        <v>2.0592423593750002</v>
      </c>
      <c r="AD184" s="75">
        <v>-26.716135928040213</v>
      </c>
      <c r="AE184" s="75">
        <v>2.375375</v>
      </c>
      <c r="AF184" s="75">
        <v>2.375375</v>
      </c>
      <c r="AG184" s="32">
        <f t="shared" si="70"/>
        <v>2.3009777396870598E-2</v>
      </c>
      <c r="AH184" s="32">
        <f t="shared" si="71"/>
        <v>0.53073405008612418</v>
      </c>
      <c r="AI184" s="33">
        <f t="shared" si="72"/>
        <v>3.3640777759550149E-2</v>
      </c>
      <c r="AJ184" s="34">
        <f t="shared" si="73"/>
        <v>0.42872063002184824</v>
      </c>
      <c r="AK184" s="16">
        <f t="shared" si="74"/>
        <v>2.8594661095617625E-2</v>
      </c>
      <c r="AL184" s="16">
        <f t="shared" si="81"/>
        <v>0.364412535518571</v>
      </c>
      <c r="AM184" s="27">
        <f t="shared" si="67"/>
        <v>28.594661095617624</v>
      </c>
      <c r="AN184" s="27">
        <f t="shared" si="67"/>
        <v>364.41253551857102</v>
      </c>
      <c r="AO184" s="29" t="e">
        <f t="shared" si="61"/>
        <v>#VALUE!</v>
      </c>
      <c r="AP184" s="29" t="e">
        <f t="shared" si="62"/>
        <v>#VALUE!</v>
      </c>
      <c r="AQ184" s="27">
        <f t="shared" si="75"/>
        <v>12.744076046224597</v>
      </c>
      <c r="AR184" s="14">
        <f t="shared" si="76"/>
        <v>1224.7231136868375</v>
      </c>
      <c r="AS184" s="25">
        <v>0.36620000000000003</v>
      </c>
      <c r="AT184" s="22">
        <f t="shared" si="77"/>
        <v>0.81117436597545212</v>
      </c>
      <c r="AU184" s="22">
        <f t="shared" si="78"/>
        <v>0.44497436597545209</v>
      </c>
      <c r="AV184" s="15"/>
      <c r="AW184" s="22"/>
      <c r="AX184" s="34">
        <f t="shared" si="79"/>
        <v>4449.7436597545211</v>
      </c>
      <c r="AY184" s="14">
        <f t="shared" si="80"/>
        <v>26.326116909644231</v>
      </c>
      <c r="AZ184" s="25">
        <v>1.0819000000000001</v>
      </c>
      <c r="BA184" s="22">
        <f t="shared" si="63"/>
        <v>1.1401336934121176</v>
      </c>
      <c r="BB184" s="38">
        <f t="shared" si="64"/>
        <v>5.8233693412117482E-2</v>
      </c>
      <c r="BC184" s="58">
        <f t="shared" si="68"/>
        <v>0.41752198156954018</v>
      </c>
      <c r="BD184" s="32">
        <f t="shared" si="65"/>
        <v>0.2431384706754037</v>
      </c>
      <c r="BE184" s="38">
        <f t="shared" si="66"/>
        <v>582.33693412117486</v>
      </c>
    </row>
    <row r="185" spans="1:57" ht="15">
      <c r="A185" s="138">
        <v>183</v>
      </c>
      <c r="B185" s="140">
        <v>5</v>
      </c>
      <c r="C185" s="140" t="s">
        <v>423</v>
      </c>
      <c r="D185" s="140" t="s">
        <v>422</v>
      </c>
      <c r="E185" s="140" t="s">
        <v>437</v>
      </c>
      <c r="F185" s="140" t="s">
        <v>480</v>
      </c>
      <c r="G185" s="140"/>
      <c r="H185" s="140" t="s">
        <v>485</v>
      </c>
      <c r="I185" s="140">
        <v>50</v>
      </c>
      <c r="J185" s="140">
        <v>10</v>
      </c>
      <c r="K185" s="140">
        <v>15</v>
      </c>
      <c r="L185" s="140" t="s">
        <v>477</v>
      </c>
      <c r="M185" s="140">
        <v>3</v>
      </c>
      <c r="Q185" s="108">
        <v>10</v>
      </c>
      <c r="R185" s="53">
        <v>8</v>
      </c>
      <c r="S185" s="53">
        <f t="shared" si="69"/>
        <v>2</v>
      </c>
      <c r="T185" s="82">
        <v>116</v>
      </c>
      <c r="U185" s="82" t="s">
        <v>385</v>
      </c>
      <c r="V185" s="83">
        <v>3.4357932500000001</v>
      </c>
      <c r="W185" s="83">
        <v>5980.493083171451</v>
      </c>
      <c r="X185" s="81">
        <v>1.810720125</v>
      </c>
      <c r="Y185" s="81">
        <v>199.97124894771338</v>
      </c>
      <c r="Z185" s="154" t="s">
        <v>54</v>
      </c>
      <c r="AA185" s="75">
        <v>2.9111787500000004</v>
      </c>
      <c r="AB185" s="75">
        <v>7.1289713486518078</v>
      </c>
      <c r="AC185" s="75">
        <v>2.0592423593750002</v>
      </c>
      <c r="AD185" s="75">
        <v>-26.716135928040213</v>
      </c>
      <c r="AE185" s="75">
        <v>2.375375</v>
      </c>
      <c r="AF185" s="75">
        <v>2.375375</v>
      </c>
      <c r="AG185" s="32">
        <f t="shared" si="70"/>
        <v>2.3009777396870598E-2</v>
      </c>
      <c r="AH185" s="32">
        <f t="shared" si="71"/>
        <v>0.53073405008612418</v>
      </c>
      <c r="AI185" s="33">
        <f t="shared" si="72"/>
        <v>7.9056837864170573E-2</v>
      </c>
      <c r="AJ185" s="34">
        <f t="shared" si="73"/>
        <v>0.96101082551370298</v>
      </c>
      <c r="AK185" s="16">
        <f t="shared" si="74"/>
        <v>6.7198312184544987E-2</v>
      </c>
      <c r="AL185" s="16">
        <f t="shared" si="81"/>
        <v>0.81685920168664761</v>
      </c>
      <c r="AM185" s="27">
        <f t="shared" si="67"/>
        <v>67.198312184544989</v>
      </c>
      <c r="AN185" s="27">
        <f t="shared" si="67"/>
        <v>816.85920168664757</v>
      </c>
      <c r="AO185" s="29" t="e">
        <f t="shared" si="61"/>
        <v>#VALUE!</v>
      </c>
      <c r="AP185" s="29" t="e">
        <f t="shared" si="62"/>
        <v>#VALUE!</v>
      </c>
      <c r="AQ185" s="27">
        <f t="shared" si="75"/>
        <v>12.155948194700608</v>
      </c>
      <c r="AR185" s="14">
        <f t="shared" si="76"/>
        <v>5975.3441118227993</v>
      </c>
      <c r="AS185" s="25">
        <v>0.36620000000000003</v>
      </c>
      <c r="AT185" s="22">
        <f t="shared" si="77"/>
        <v>2.5000322560297779</v>
      </c>
      <c r="AU185" s="22">
        <f t="shared" si="78"/>
        <v>2.1338322560297778</v>
      </c>
      <c r="AV185" s="15"/>
      <c r="AW185" s="22"/>
      <c r="AX185" s="34">
        <f t="shared" si="79"/>
        <v>21338.322560297776</v>
      </c>
      <c r="AY185" s="14">
        <f t="shared" si="80"/>
        <v>200.65738487575359</v>
      </c>
      <c r="AZ185" s="25">
        <v>1.0819000000000001</v>
      </c>
      <c r="BA185" s="22">
        <f t="shared" si="63"/>
        <v>1.3312181910555771</v>
      </c>
      <c r="BB185" s="38">
        <f t="shared" si="64"/>
        <v>0.24931819105557707</v>
      </c>
      <c r="BC185" s="58">
        <f t="shared" si="68"/>
        <v>0.92634802680882089</v>
      </c>
      <c r="BD185" s="32">
        <f t="shared" si="65"/>
        <v>2.3095541433187843</v>
      </c>
      <c r="BE185" s="38">
        <f t="shared" si="66"/>
        <v>2493.1819105557706</v>
      </c>
    </row>
    <row r="186" spans="1:57" ht="15">
      <c r="A186" s="138">
        <v>184</v>
      </c>
      <c r="B186" s="140">
        <v>5</v>
      </c>
      <c r="C186" s="140" t="s">
        <v>425</v>
      </c>
      <c r="D186" s="140" t="s">
        <v>414</v>
      </c>
      <c r="E186" s="140" t="s">
        <v>437</v>
      </c>
      <c r="F186" s="140" t="s">
        <v>480</v>
      </c>
      <c r="G186" s="140"/>
      <c r="H186" s="140" t="s">
        <v>485</v>
      </c>
      <c r="I186" s="140">
        <v>50</v>
      </c>
      <c r="J186" s="140">
        <v>10</v>
      </c>
      <c r="K186" s="140">
        <v>15</v>
      </c>
      <c r="L186" s="140" t="s">
        <v>478</v>
      </c>
      <c r="M186" s="140">
        <v>3</v>
      </c>
      <c r="Q186" s="108">
        <v>10</v>
      </c>
      <c r="R186" s="53">
        <v>8</v>
      </c>
      <c r="S186" s="53">
        <f t="shared" si="69"/>
        <v>2</v>
      </c>
      <c r="T186" s="80">
        <v>117</v>
      </c>
      <c r="U186" s="80" t="s">
        <v>386</v>
      </c>
      <c r="V186" s="81">
        <v>2.1080527500000001</v>
      </c>
      <c r="W186" s="81">
        <v>2177.5469631473115</v>
      </c>
      <c r="X186" s="83">
        <v>1.0447834375</v>
      </c>
      <c r="Y186" s="83">
        <v>68.47223956774063</v>
      </c>
      <c r="Z186" s="154" t="s">
        <v>54</v>
      </c>
      <c r="AA186" s="75">
        <v>2.9111787500000004</v>
      </c>
      <c r="AB186" s="75">
        <v>7.1289713486518078</v>
      </c>
      <c r="AC186" s="75">
        <v>2.0592423593750002</v>
      </c>
      <c r="AD186" s="75">
        <v>-26.716135928040213</v>
      </c>
      <c r="AE186" s="75">
        <v>2.375375</v>
      </c>
      <c r="AF186" s="75">
        <v>2.375375</v>
      </c>
      <c r="AG186" s="32">
        <f t="shared" si="70"/>
        <v>2.3009777396870598E-2</v>
      </c>
      <c r="AH186" s="32">
        <f t="shared" si="71"/>
        <v>0.53073405008612418</v>
      </c>
      <c r="AI186" s="33">
        <f t="shared" si="72"/>
        <v>4.8505824518360906E-2</v>
      </c>
      <c r="AJ186" s="34">
        <f t="shared" si="73"/>
        <v>0.55450214524727803</v>
      </c>
      <c r="AK186" s="16">
        <f t="shared" si="74"/>
        <v>4.1229950840606773E-2</v>
      </c>
      <c r="AL186" s="16">
        <f t="shared" si="81"/>
        <v>0.47132682346018634</v>
      </c>
      <c r="AM186" s="27">
        <f t="shared" si="67"/>
        <v>41.229950840606776</v>
      </c>
      <c r="AN186" s="27">
        <f t="shared" si="67"/>
        <v>471.32682346018635</v>
      </c>
      <c r="AO186" s="29" t="e">
        <f t="shared" si="61"/>
        <v>#VALUE!</v>
      </c>
      <c r="AP186" s="29" t="e">
        <f t="shared" si="62"/>
        <v>#VALUE!</v>
      </c>
      <c r="AQ186" s="27">
        <f t="shared" si="75"/>
        <v>11.431661058299966</v>
      </c>
      <c r="AR186" s="14">
        <f t="shared" si="76"/>
        <v>2172.3979917986599</v>
      </c>
      <c r="AS186" s="25">
        <v>0.36620000000000003</v>
      </c>
      <c r="AT186" s="22">
        <f t="shared" si="77"/>
        <v>1.1527306622550164</v>
      </c>
      <c r="AU186" s="22">
        <f t="shared" si="78"/>
        <v>0.78653066225501633</v>
      </c>
      <c r="AV186" s="15"/>
      <c r="AW186" s="22"/>
      <c r="AX186" s="34">
        <f t="shared" si="79"/>
        <v>7865.3066225501625</v>
      </c>
      <c r="AY186" s="14">
        <f t="shared" si="80"/>
        <v>69.158375495780845</v>
      </c>
      <c r="AZ186" s="25">
        <v>1.0819000000000001</v>
      </c>
      <c r="BA186" s="22">
        <f t="shared" si="63"/>
        <v>1.1871506807719401</v>
      </c>
      <c r="BB186" s="38">
        <f t="shared" si="64"/>
        <v>0.10525068077194</v>
      </c>
      <c r="BC186" s="58">
        <f t="shared" si="68"/>
        <v>0.53775885893156028</v>
      </c>
      <c r="BD186" s="32">
        <f t="shared" si="65"/>
        <v>0.56599485993688359</v>
      </c>
      <c r="BE186" s="38">
        <f t="shared" si="66"/>
        <v>1052.5068077194001</v>
      </c>
    </row>
    <row r="187" spans="1:57" ht="15">
      <c r="A187" s="138">
        <v>185</v>
      </c>
      <c r="B187" s="140">
        <v>6</v>
      </c>
      <c r="C187" s="140" t="s">
        <v>408</v>
      </c>
      <c r="D187" s="140" t="s">
        <v>422</v>
      </c>
      <c r="E187" s="140" t="s">
        <v>437</v>
      </c>
      <c r="F187" s="140" t="s">
        <v>480</v>
      </c>
      <c r="G187" s="140"/>
      <c r="H187" s="140" t="s">
        <v>486</v>
      </c>
      <c r="I187" s="140">
        <v>50</v>
      </c>
      <c r="J187" s="140">
        <v>10</v>
      </c>
      <c r="K187" s="140">
        <v>15</v>
      </c>
      <c r="L187" s="140" t="s">
        <v>62</v>
      </c>
      <c r="M187" s="140">
        <v>4</v>
      </c>
      <c r="Q187" s="108">
        <v>10</v>
      </c>
      <c r="R187" s="53">
        <v>8</v>
      </c>
      <c r="S187" s="53">
        <f t="shared" si="69"/>
        <v>2</v>
      </c>
      <c r="T187" s="80">
        <v>119</v>
      </c>
      <c r="U187" s="80" t="s">
        <v>388</v>
      </c>
      <c r="V187" s="81">
        <v>2.67681725</v>
      </c>
      <c r="W187" s="81">
        <v>4278.3250618595639</v>
      </c>
      <c r="X187" s="83">
        <v>1.500911125</v>
      </c>
      <c r="Y187" s="83">
        <v>138.17161958120602</v>
      </c>
      <c r="Z187" s="154" t="s">
        <v>54</v>
      </c>
      <c r="AA187" s="75">
        <v>2.9111787500000004</v>
      </c>
      <c r="AB187" s="75">
        <v>7.1289713486518078</v>
      </c>
      <c r="AC187" s="75">
        <v>2.0592423593750002</v>
      </c>
      <c r="AD187" s="75">
        <v>-26.716135928040213</v>
      </c>
      <c r="AE187" s="75">
        <v>2.375375</v>
      </c>
      <c r="AF187" s="75">
        <v>2.375375</v>
      </c>
      <c r="AG187" s="32">
        <f t="shared" si="70"/>
        <v>2.3009777396870598E-2</v>
      </c>
      <c r="AH187" s="32">
        <f t="shared" si="71"/>
        <v>0.53073405008612418</v>
      </c>
      <c r="AI187" s="33">
        <f t="shared" si="72"/>
        <v>6.1592969054603312E-2</v>
      </c>
      <c r="AJ187" s="34">
        <f t="shared" si="73"/>
        <v>0.79658464019057096</v>
      </c>
      <c r="AK187" s="16">
        <f t="shared" si="74"/>
        <v>5.2354023696412816E-2</v>
      </c>
      <c r="AL187" s="16">
        <f t="shared" si="81"/>
        <v>0.67709694416198529</v>
      </c>
      <c r="AM187" s="27">
        <f t="shared" si="67"/>
        <v>52.354023696412817</v>
      </c>
      <c r="AN187" s="27">
        <f t="shared" si="67"/>
        <v>677.09694416198533</v>
      </c>
      <c r="AO187" s="29" t="e">
        <f t="shared" si="61"/>
        <v>#VALUE!</v>
      </c>
      <c r="AP187" s="29" t="e">
        <f t="shared" si="62"/>
        <v>#VALUE!</v>
      </c>
      <c r="AQ187" s="27">
        <f t="shared" si="75"/>
        <v>12.933044995515379</v>
      </c>
      <c r="AR187" s="14">
        <f t="shared" si="76"/>
        <v>4273.1760905109122</v>
      </c>
      <c r="AS187" s="25">
        <v>0.36620000000000003</v>
      </c>
      <c r="AT187" s="22">
        <f t="shared" si="77"/>
        <v>1.9015593333627909</v>
      </c>
      <c r="AU187" s="22">
        <f t="shared" si="78"/>
        <v>1.5353593333627908</v>
      </c>
      <c r="AV187" s="15"/>
      <c r="AW187" s="22"/>
      <c r="AX187" s="34">
        <f t="shared" si="79"/>
        <v>15353.593333627909</v>
      </c>
      <c r="AY187" s="14">
        <f t="shared" si="80"/>
        <v>138.85775550924623</v>
      </c>
      <c r="AZ187" s="25">
        <v>1.0819000000000001</v>
      </c>
      <c r="BA187" s="22">
        <f t="shared" si="63"/>
        <v>1.2635641934595143</v>
      </c>
      <c r="BB187" s="38">
        <f t="shared" si="64"/>
        <v>0.18166419345951423</v>
      </c>
      <c r="BC187" s="58">
        <f t="shared" si="68"/>
        <v>0.76916999437401035</v>
      </c>
      <c r="BD187" s="32">
        <f t="shared" si="65"/>
        <v>1.3973064666121369</v>
      </c>
      <c r="BE187" s="38">
        <f t="shared" si="66"/>
        <v>1816.6419345951424</v>
      </c>
    </row>
    <row r="188" spans="1:57" ht="15">
      <c r="A188" s="138">
        <v>186</v>
      </c>
      <c r="B188" s="140">
        <v>6</v>
      </c>
      <c r="C188" s="140" t="s">
        <v>413</v>
      </c>
      <c r="D188" s="140" t="s">
        <v>426</v>
      </c>
      <c r="E188" s="140" t="s">
        <v>437</v>
      </c>
      <c r="F188" s="140" t="s">
        <v>480</v>
      </c>
      <c r="G188" s="140"/>
      <c r="H188" s="140" t="s">
        <v>486</v>
      </c>
      <c r="I188" s="140">
        <v>50</v>
      </c>
      <c r="J188" s="140">
        <v>10</v>
      </c>
      <c r="K188" s="140">
        <v>15</v>
      </c>
      <c r="L188" s="140" t="s">
        <v>63</v>
      </c>
      <c r="M188" s="140">
        <v>4</v>
      </c>
      <c r="Q188" s="108">
        <v>10</v>
      </c>
      <c r="R188" s="53">
        <v>8</v>
      </c>
      <c r="S188" s="53">
        <f t="shared" si="69"/>
        <v>2</v>
      </c>
      <c r="T188" s="82">
        <v>120</v>
      </c>
      <c r="U188" s="82" t="s">
        <v>389</v>
      </c>
      <c r="V188" s="83">
        <v>2.98057375</v>
      </c>
      <c r="W188" s="83">
        <v>2182.7165005789489</v>
      </c>
      <c r="X188" s="81">
        <v>1.7647142499999999</v>
      </c>
      <c r="Y188" s="81">
        <v>43.471492258577527</v>
      </c>
      <c r="Z188" s="154" t="s">
        <v>54</v>
      </c>
      <c r="AA188" s="75">
        <v>2.9111787500000004</v>
      </c>
      <c r="AB188" s="75">
        <v>7.1289713486518078</v>
      </c>
      <c r="AC188" s="75">
        <v>2.0592423593750002</v>
      </c>
      <c r="AD188" s="75">
        <v>-26.716135928040213</v>
      </c>
      <c r="AE188" s="75">
        <v>2.375375</v>
      </c>
      <c r="AF188" s="75">
        <v>2.375375</v>
      </c>
      <c r="AG188" s="32">
        <f t="shared" si="70"/>
        <v>2.3009777396870598E-2</v>
      </c>
      <c r="AH188" s="32">
        <f t="shared" si="71"/>
        <v>0.53073405008612418</v>
      </c>
      <c r="AI188" s="33">
        <f t="shared" si="72"/>
        <v>6.8582338502455834E-2</v>
      </c>
      <c r="AJ188" s="34">
        <f t="shared" si="73"/>
        <v>0.93659394114719707</v>
      </c>
      <c r="AK188" s="16">
        <f t="shared" si="74"/>
        <v>5.8294987727087452E-2</v>
      </c>
      <c r="AL188" s="16">
        <f t="shared" si="81"/>
        <v>0.79610484997511743</v>
      </c>
      <c r="AM188" s="27">
        <f t="shared" si="67"/>
        <v>58.294987727087452</v>
      </c>
      <c r="AN188" s="27">
        <f t="shared" si="67"/>
        <v>796.10484997511742</v>
      </c>
      <c r="AO188" s="29" t="e">
        <f t="shared" si="61"/>
        <v>#VALUE!</v>
      </c>
      <c r="AP188" s="29" t="e">
        <f t="shared" si="62"/>
        <v>#VALUE!</v>
      </c>
      <c r="AQ188" s="27">
        <f t="shared" si="75"/>
        <v>13.65648885118811</v>
      </c>
      <c r="AR188" s="14">
        <f t="shared" si="76"/>
        <v>2177.5675292302972</v>
      </c>
      <c r="AS188" s="25">
        <v>0.36620000000000003</v>
      </c>
      <c r="AT188" s="22">
        <f t="shared" si="77"/>
        <v>1.1545873906624677</v>
      </c>
      <c r="AU188" s="22">
        <f t="shared" si="78"/>
        <v>0.78838739066246766</v>
      </c>
      <c r="AV188" s="15"/>
      <c r="AW188" s="22"/>
      <c r="AX188" s="34">
        <f t="shared" si="79"/>
        <v>7883.8739066246762</v>
      </c>
      <c r="AY188" s="14">
        <f t="shared" si="80"/>
        <v>44.157628186617742</v>
      </c>
      <c r="AZ188" s="25">
        <v>1.0819000000000001</v>
      </c>
      <c r="BA188" s="22">
        <f t="shared" si="63"/>
        <v>1.1597127855864471</v>
      </c>
      <c r="BB188" s="38">
        <f t="shared" si="64"/>
        <v>7.7812785586446997E-2</v>
      </c>
      <c r="BC188" s="58">
        <f t="shared" si="68"/>
        <v>0.90300747533051695</v>
      </c>
      <c r="BD188" s="32">
        <f t="shared" si="65"/>
        <v>0.7026552706085234</v>
      </c>
      <c r="BE188" s="38">
        <f t="shared" si="66"/>
        <v>778.12785586447001</v>
      </c>
    </row>
    <row r="189" spans="1:57" ht="15">
      <c r="A189" s="138">
        <v>187</v>
      </c>
      <c r="B189" s="140">
        <v>6</v>
      </c>
      <c r="C189" s="140" t="s">
        <v>415</v>
      </c>
      <c r="D189" s="140" t="s">
        <v>424</v>
      </c>
      <c r="E189" s="140" t="s">
        <v>437</v>
      </c>
      <c r="F189" s="140" t="s">
        <v>480</v>
      </c>
      <c r="G189" s="140"/>
      <c r="H189" s="140" t="s">
        <v>486</v>
      </c>
      <c r="I189" s="140">
        <v>50</v>
      </c>
      <c r="J189" s="140">
        <v>10</v>
      </c>
      <c r="K189" s="140">
        <v>15</v>
      </c>
      <c r="L189" s="140" t="s">
        <v>64</v>
      </c>
      <c r="M189" s="140">
        <v>4</v>
      </c>
      <c r="Q189" s="108">
        <v>10</v>
      </c>
      <c r="R189" s="53">
        <v>8</v>
      </c>
      <c r="S189" s="53">
        <f t="shared" si="69"/>
        <v>2</v>
      </c>
      <c r="T189" s="80">
        <v>121</v>
      </c>
      <c r="U189" s="80" t="s">
        <v>390</v>
      </c>
      <c r="V189" s="81">
        <v>4.4542595</v>
      </c>
      <c r="W189" s="81">
        <v>1531.6820301393504</v>
      </c>
      <c r="X189" s="83">
        <v>2.4283245</v>
      </c>
      <c r="Y189" s="83">
        <v>9.6358410698947061</v>
      </c>
      <c r="Z189" s="154" t="s">
        <v>54</v>
      </c>
      <c r="AA189" s="75">
        <v>2.9111787500000004</v>
      </c>
      <c r="AB189" s="75">
        <v>7.1289713486518078</v>
      </c>
      <c r="AC189" s="75">
        <v>2.0592423593750002</v>
      </c>
      <c r="AD189" s="75">
        <v>-26.716135928040213</v>
      </c>
      <c r="AE189" s="75">
        <v>2.375375</v>
      </c>
      <c r="AF189" s="75">
        <v>2.375375</v>
      </c>
      <c r="AG189" s="32">
        <f t="shared" si="70"/>
        <v>2.3009777396870598E-2</v>
      </c>
      <c r="AH189" s="32">
        <f t="shared" si="71"/>
        <v>0.53073405008612418</v>
      </c>
      <c r="AI189" s="33">
        <f t="shared" si="72"/>
        <v>0.10249151956289614</v>
      </c>
      <c r="AJ189" s="34">
        <f t="shared" si="73"/>
        <v>1.2887944968083624</v>
      </c>
      <c r="AK189" s="16">
        <f t="shared" si="74"/>
        <v>8.7117791628461713E-2</v>
      </c>
      <c r="AL189" s="16">
        <f t="shared" si="81"/>
        <v>1.0954753222871081</v>
      </c>
      <c r="AM189" s="27">
        <f t="shared" si="67"/>
        <v>87.117791628461717</v>
      </c>
      <c r="AN189" s="27">
        <f t="shared" si="67"/>
        <v>1095.4753222871082</v>
      </c>
      <c r="AO189" s="29" t="e">
        <f t="shared" si="61"/>
        <v>#VALUE!</v>
      </c>
      <c r="AP189" s="29" t="e">
        <f t="shared" si="62"/>
        <v>#VALUE!</v>
      </c>
      <c r="AQ189" s="27">
        <f t="shared" si="75"/>
        <v>12.574645222402678</v>
      </c>
      <c r="AR189" s="14">
        <f t="shared" si="76"/>
        <v>1526.5330587906985</v>
      </c>
      <c r="AS189" s="25">
        <v>0.36620000000000003</v>
      </c>
      <c r="AT189" s="22">
        <f t="shared" si="77"/>
        <v>0.92020709631489361</v>
      </c>
      <c r="AU189" s="22">
        <f t="shared" si="78"/>
        <v>0.55400709631489353</v>
      </c>
      <c r="AV189" s="15"/>
      <c r="AW189" s="22"/>
      <c r="AX189" s="34">
        <f t="shared" si="79"/>
        <v>5540.0709631489353</v>
      </c>
      <c r="AY189" s="14">
        <f t="shared" si="80"/>
        <v>10.321976997934918</v>
      </c>
      <c r="AZ189" s="25">
        <v>1.0819000000000001</v>
      </c>
      <c r="BA189" s="22">
        <f t="shared" si="63"/>
        <v>1.122554458196992</v>
      </c>
      <c r="BB189" s="38">
        <f t="shared" si="64"/>
        <v>4.0654458196991872E-2</v>
      </c>
      <c r="BC189" s="58">
        <f t="shared" si="68"/>
        <v>1.2396825021973048</v>
      </c>
      <c r="BD189" s="32">
        <f t="shared" si="65"/>
        <v>0.50398620463122612</v>
      </c>
      <c r="BE189" s="38">
        <f t="shared" si="66"/>
        <v>406.54458196991874</v>
      </c>
    </row>
    <row r="190" spans="1:57" ht="15">
      <c r="A190" s="138">
        <v>188</v>
      </c>
      <c r="B190" s="140">
        <v>6</v>
      </c>
      <c r="C190" s="140" t="s">
        <v>417</v>
      </c>
      <c r="D190" s="140" t="s">
        <v>409</v>
      </c>
      <c r="E190" s="140" t="s">
        <v>437</v>
      </c>
      <c r="F190" s="140" t="s">
        <v>480</v>
      </c>
      <c r="G190" s="140"/>
      <c r="H190" s="140" t="s">
        <v>486</v>
      </c>
      <c r="I190" s="140">
        <v>50</v>
      </c>
      <c r="J190" s="140">
        <v>10</v>
      </c>
      <c r="K190" s="140">
        <v>15</v>
      </c>
      <c r="L190" s="140" t="s">
        <v>65</v>
      </c>
      <c r="M190" s="140">
        <v>4</v>
      </c>
      <c r="Q190" s="108">
        <v>10</v>
      </c>
      <c r="R190" s="53">
        <v>8</v>
      </c>
      <c r="S190" s="53">
        <f t="shared" si="69"/>
        <v>2</v>
      </c>
      <c r="T190" s="82">
        <v>122</v>
      </c>
      <c r="U190" s="82" t="s">
        <v>391</v>
      </c>
      <c r="V190" s="83">
        <v>4.5492239999999997</v>
      </c>
      <c r="W190" s="83">
        <v>2653.9937271626945</v>
      </c>
      <c r="X190" s="81">
        <v>2.2138977500000001</v>
      </c>
      <c r="Y190" s="81">
        <v>62.585974044132719</v>
      </c>
      <c r="Z190" s="154" t="s">
        <v>54</v>
      </c>
      <c r="AA190" s="75">
        <v>2.9111787500000004</v>
      </c>
      <c r="AB190" s="75">
        <v>7.1289713486518078</v>
      </c>
      <c r="AC190" s="75">
        <v>2.0592423593750002</v>
      </c>
      <c r="AD190" s="75">
        <v>-26.716135928040213</v>
      </c>
      <c r="AE190" s="75">
        <v>2.375375</v>
      </c>
      <c r="AF190" s="75">
        <v>2.375375</v>
      </c>
      <c r="AG190" s="32">
        <f t="shared" si="70"/>
        <v>2.3009777396870598E-2</v>
      </c>
      <c r="AH190" s="32">
        <f t="shared" si="71"/>
        <v>0.53073405008612418</v>
      </c>
      <c r="AI190" s="33">
        <f t="shared" si="72"/>
        <v>0.10467663156850124</v>
      </c>
      <c r="AJ190" s="34">
        <f t="shared" si="73"/>
        <v>1.1749909193340577</v>
      </c>
      <c r="AK190" s="16">
        <f t="shared" si="74"/>
        <v>8.8975136833226054E-2</v>
      </c>
      <c r="AL190" s="16">
        <f t="shared" si="81"/>
        <v>0.99874228143394905</v>
      </c>
      <c r="AM190" s="27">
        <f t="shared" si="67"/>
        <v>88.97513683322606</v>
      </c>
      <c r="AN190" s="27">
        <f t="shared" si="67"/>
        <v>998.74228143394907</v>
      </c>
      <c r="AO190" s="29" t="e">
        <f t="shared" si="61"/>
        <v>#VALUE!</v>
      </c>
      <c r="AP190" s="29" t="e">
        <f t="shared" si="62"/>
        <v>#VALUE!</v>
      </c>
      <c r="AQ190" s="27">
        <f t="shared" si="75"/>
        <v>11.224959207491636</v>
      </c>
      <c r="AR190" s="14">
        <f t="shared" si="76"/>
        <v>2648.8447558140429</v>
      </c>
      <c r="AS190" s="25">
        <v>0.36620000000000003</v>
      </c>
      <c r="AT190" s="22">
        <f t="shared" si="77"/>
        <v>1.3235621896556953</v>
      </c>
      <c r="AU190" s="22">
        <f t="shared" si="78"/>
        <v>0.95736218965569519</v>
      </c>
      <c r="AV190" s="15"/>
      <c r="AW190" s="22"/>
      <c r="AX190" s="34">
        <f t="shared" si="79"/>
        <v>9573.6218965569515</v>
      </c>
      <c r="AY190" s="14">
        <f t="shared" si="80"/>
        <v>63.272109972172927</v>
      </c>
      <c r="AZ190" s="25">
        <v>1.0819000000000001</v>
      </c>
      <c r="BA190" s="22">
        <f t="shared" si="63"/>
        <v>1.1806919755934462</v>
      </c>
      <c r="BB190" s="38">
        <f t="shared" si="64"/>
        <v>9.8791975593446102E-2</v>
      </c>
      <c r="BC190" s="58">
        <f t="shared" si="68"/>
        <v>1.1308955571234336</v>
      </c>
      <c r="BD190" s="32">
        <f t="shared" si="65"/>
        <v>1.1172340627807489</v>
      </c>
      <c r="BE190" s="38">
        <f t="shared" si="66"/>
        <v>987.91975593446091</v>
      </c>
    </row>
    <row r="191" spans="1:57" ht="15">
      <c r="A191" s="138">
        <v>189</v>
      </c>
      <c r="B191" s="140">
        <v>6</v>
      </c>
      <c r="C191" s="140" t="s">
        <v>419</v>
      </c>
      <c r="D191" s="140" t="s">
        <v>416</v>
      </c>
      <c r="E191" s="140" t="s">
        <v>437</v>
      </c>
      <c r="F191" s="140" t="s">
        <v>480</v>
      </c>
      <c r="G191" s="140"/>
      <c r="H191" s="140" t="s">
        <v>486</v>
      </c>
      <c r="I191" s="140">
        <v>50</v>
      </c>
      <c r="J191" s="140">
        <v>10</v>
      </c>
      <c r="K191" s="140">
        <v>15</v>
      </c>
      <c r="L191" s="140" t="s">
        <v>66</v>
      </c>
      <c r="M191" s="140">
        <v>4</v>
      </c>
      <c r="Q191" s="108">
        <v>10</v>
      </c>
      <c r="R191" s="53">
        <v>8</v>
      </c>
      <c r="S191" s="53">
        <f t="shared" si="69"/>
        <v>2</v>
      </c>
      <c r="T191" s="80">
        <v>123</v>
      </c>
      <c r="U191" s="80" t="s">
        <v>392</v>
      </c>
      <c r="V191" s="81">
        <v>2.1433765</v>
      </c>
      <c r="W191" s="81">
        <v>3940.9280547824105</v>
      </c>
      <c r="X191" s="83">
        <v>1.1832745</v>
      </c>
      <c r="Y191" s="83">
        <v>140.95674388237867</v>
      </c>
      <c r="Z191" s="154" t="s">
        <v>54</v>
      </c>
      <c r="AA191" s="75">
        <v>2.9111787500000004</v>
      </c>
      <c r="AB191" s="75">
        <v>7.1289713486518078</v>
      </c>
      <c r="AC191" s="75">
        <v>2.0592423593750002</v>
      </c>
      <c r="AD191" s="75">
        <v>-26.716135928040213</v>
      </c>
      <c r="AE191" s="75">
        <v>2.375375</v>
      </c>
      <c r="AF191" s="75">
        <v>2.375375</v>
      </c>
      <c r="AG191" s="32">
        <f t="shared" si="70"/>
        <v>2.3009777396870598E-2</v>
      </c>
      <c r="AH191" s="32">
        <f t="shared" si="71"/>
        <v>0.53073405008612418</v>
      </c>
      <c r="AI191" s="33">
        <f t="shared" si="72"/>
        <v>4.9318616142683611E-2</v>
      </c>
      <c r="AJ191" s="34">
        <f t="shared" si="73"/>
        <v>0.6280040677486336</v>
      </c>
      <c r="AK191" s="16">
        <f t="shared" si="74"/>
        <v>4.1920823721281072E-2</v>
      </c>
      <c r="AL191" s="16">
        <f t="shared" si="81"/>
        <v>0.53380345758633851</v>
      </c>
      <c r="AM191" s="27">
        <f t="shared" ref="AM191:AN194" si="82">AK191*1000</f>
        <v>41.920823721281074</v>
      </c>
      <c r="AN191" s="27">
        <f t="shared" si="82"/>
        <v>533.80345758633848</v>
      </c>
      <c r="AO191" s="29" t="e">
        <f t="shared" si="61"/>
        <v>#VALUE!</v>
      </c>
      <c r="AP191" s="29" t="e">
        <f t="shared" si="62"/>
        <v>#VALUE!</v>
      </c>
      <c r="AQ191" s="27">
        <f t="shared" si="75"/>
        <v>12.733610893131226</v>
      </c>
      <c r="AR191" s="14">
        <f t="shared" si="76"/>
        <v>3935.7790834337588</v>
      </c>
      <c r="AS191" s="25">
        <v>0.36620000000000003</v>
      </c>
      <c r="AT191" s="22">
        <f t="shared" si="77"/>
        <v>1.7820588508755695</v>
      </c>
      <c r="AU191" s="22">
        <f t="shared" si="78"/>
        <v>1.4158588508755694</v>
      </c>
      <c r="AV191" s="15"/>
      <c r="AW191" s="22"/>
      <c r="AX191" s="34">
        <f t="shared" si="79"/>
        <v>14158.588508755694</v>
      </c>
      <c r="AY191" s="14">
        <f t="shared" si="80"/>
        <v>141.64287981041889</v>
      </c>
      <c r="AZ191" s="25">
        <v>1.0819000000000001</v>
      </c>
      <c r="BA191" s="22">
        <f t="shared" si="63"/>
        <v>1.2666151529099174</v>
      </c>
      <c r="BB191" s="38">
        <f t="shared" si="64"/>
        <v>0.18471515290991736</v>
      </c>
      <c r="BC191" s="58">
        <f t="shared" si="68"/>
        <v>0.60802070643617223</v>
      </c>
      <c r="BD191" s="32">
        <f t="shared" si="65"/>
        <v>1.1231063776175354</v>
      </c>
      <c r="BE191" s="38">
        <f t="shared" si="66"/>
        <v>1847.1515290991738</v>
      </c>
    </row>
    <row r="192" spans="1:57" ht="15">
      <c r="A192" s="138">
        <v>190</v>
      </c>
      <c r="B192" s="140">
        <v>6</v>
      </c>
      <c r="C192" s="140" t="s">
        <v>421</v>
      </c>
      <c r="D192" s="140" t="s">
        <v>414</v>
      </c>
      <c r="E192" s="140" t="s">
        <v>437</v>
      </c>
      <c r="F192" s="140" t="s">
        <v>480</v>
      </c>
      <c r="G192" s="140"/>
      <c r="H192" s="140" t="s">
        <v>486</v>
      </c>
      <c r="I192" s="140">
        <v>50</v>
      </c>
      <c r="J192" s="140">
        <v>10</v>
      </c>
      <c r="K192" s="140">
        <v>15</v>
      </c>
      <c r="L192" s="140" t="s">
        <v>67</v>
      </c>
      <c r="M192" s="140">
        <v>4</v>
      </c>
      <c r="Q192" s="108">
        <v>10</v>
      </c>
      <c r="R192" s="53">
        <v>8</v>
      </c>
      <c r="S192" s="53">
        <f t="shared" si="69"/>
        <v>2</v>
      </c>
      <c r="T192" s="82">
        <v>124</v>
      </c>
      <c r="U192" s="82" t="s">
        <v>393</v>
      </c>
      <c r="V192" s="83">
        <v>1.699195375</v>
      </c>
      <c r="W192" s="83">
        <v>3606.2515697998811</v>
      </c>
      <c r="X192" s="81">
        <v>0.91377493750000005</v>
      </c>
      <c r="Y192" s="81">
        <v>137.53968764763493</v>
      </c>
      <c r="Z192" s="154" t="s">
        <v>54</v>
      </c>
      <c r="AA192" s="75">
        <v>2.9111787500000004</v>
      </c>
      <c r="AB192" s="75">
        <v>7.1289713486518078</v>
      </c>
      <c r="AC192" s="75">
        <v>2.0592423593750002</v>
      </c>
      <c r="AD192" s="75">
        <v>-26.716135928040213</v>
      </c>
      <c r="AE192" s="75">
        <v>2.375375</v>
      </c>
      <c r="AF192" s="75">
        <v>2.375375</v>
      </c>
      <c r="AG192" s="32">
        <f t="shared" si="70"/>
        <v>2.3009777396870598E-2</v>
      </c>
      <c r="AH192" s="32">
        <f t="shared" si="71"/>
        <v>0.53073405008612418</v>
      </c>
      <c r="AI192" s="33">
        <f t="shared" si="72"/>
        <v>3.9098107332542056E-2</v>
      </c>
      <c r="AJ192" s="34">
        <f t="shared" si="73"/>
        <v>0.48497147344656999</v>
      </c>
      <c r="AK192" s="16">
        <f t="shared" si="74"/>
        <v>3.3233391232660746E-2</v>
      </c>
      <c r="AL192" s="16">
        <f t="shared" si="81"/>
        <v>0.41222575242958454</v>
      </c>
      <c r="AM192" s="27">
        <f t="shared" si="82"/>
        <v>33.233391232660743</v>
      </c>
      <c r="AN192" s="27">
        <f t="shared" si="82"/>
        <v>412.22575242958453</v>
      </c>
      <c r="AO192" s="29" t="e">
        <f t="shared" si="61"/>
        <v>#VALUE!</v>
      </c>
      <c r="AP192" s="29" t="e">
        <f t="shared" si="62"/>
        <v>#VALUE!</v>
      </c>
      <c r="AQ192" s="27">
        <f t="shared" si="75"/>
        <v>12.40396291620284</v>
      </c>
      <c r="AR192" s="14">
        <f t="shared" si="76"/>
        <v>3601.1025984512294</v>
      </c>
      <c r="AS192" s="25">
        <v>0.36620000000000003</v>
      </c>
      <c r="AT192" s="22">
        <f t="shared" si="77"/>
        <v>1.6632339529991691</v>
      </c>
      <c r="AU192" s="22">
        <f t="shared" si="78"/>
        <v>1.297033952999169</v>
      </c>
      <c r="AV192" s="15"/>
      <c r="AW192" s="22"/>
      <c r="AX192" s="34">
        <f t="shared" si="79"/>
        <v>12970.33952999169</v>
      </c>
      <c r="AY192" s="14">
        <f t="shared" si="80"/>
        <v>138.22582357567515</v>
      </c>
      <c r="AZ192" s="25">
        <v>1.0819000000000001</v>
      </c>
      <c r="BA192" s="22">
        <f t="shared" si="63"/>
        <v>1.2628719185045769</v>
      </c>
      <c r="BB192" s="38">
        <f t="shared" si="64"/>
        <v>0.18097191850457683</v>
      </c>
      <c r="BC192" s="58">
        <f t="shared" si="68"/>
        <v>0.47129320343983511</v>
      </c>
      <c r="BD192" s="32">
        <f t="shared" si="65"/>
        <v>0.85290835204674798</v>
      </c>
      <c r="BE192" s="38">
        <f t="shared" si="66"/>
        <v>1809.7191850457684</v>
      </c>
    </row>
    <row r="193" spans="1:57" ht="15">
      <c r="A193" s="138">
        <v>191</v>
      </c>
      <c r="B193" s="140">
        <v>6</v>
      </c>
      <c r="C193" s="140" t="s">
        <v>423</v>
      </c>
      <c r="D193" s="140" t="s">
        <v>420</v>
      </c>
      <c r="E193" s="140" t="s">
        <v>437</v>
      </c>
      <c r="F193" s="140" t="s">
        <v>480</v>
      </c>
      <c r="G193" s="140"/>
      <c r="H193" s="140" t="s">
        <v>486</v>
      </c>
      <c r="I193" s="140">
        <v>50</v>
      </c>
      <c r="J193" s="140">
        <v>10</v>
      </c>
      <c r="K193" s="140">
        <v>15</v>
      </c>
      <c r="L193" s="140" t="s">
        <v>68</v>
      </c>
      <c r="M193" s="140">
        <v>4</v>
      </c>
      <c r="Q193" s="108">
        <v>10</v>
      </c>
      <c r="R193" s="53">
        <v>8</v>
      </c>
      <c r="S193" s="53">
        <f t="shared" si="69"/>
        <v>2</v>
      </c>
      <c r="T193" s="80">
        <v>125</v>
      </c>
      <c r="U193" s="80" t="s">
        <v>394</v>
      </c>
      <c r="V193" s="81">
        <v>3.6071599999999999</v>
      </c>
      <c r="W193" s="81">
        <v>2529.9115126840511</v>
      </c>
      <c r="X193" s="83">
        <v>1.875189</v>
      </c>
      <c r="Y193" s="83">
        <v>60.180440938427374</v>
      </c>
      <c r="Z193" s="154" t="s">
        <v>54</v>
      </c>
      <c r="AA193" s="75">
        <v>2.9111787500000004</v>
      </c>
      <c r="AB193" s="75">
        <v>7.1289713486518078</v>
      </c>
      <c r="AC193" s="75">
        <v>2.0592423593750002</v>
      </c>
      <c r="AD193" s="75">
        <v>-26.716135928040213</v>
      </c>
      <c r="AE193" s="75">
        <v>2.375375</v>
      </c>
      <c r="AF193" s="75">
        <v>2.375375</v>
      </c>
      <c r="AG193" s="32">
        <f t="shared" si="70"/>
        <v>2.3009777396870598E-2</v>
      </c>
      <c r="AH193" s="32">
        <f t="shared" si="71"/>
        <v>0.53073405008612418</v>
      </c>
      <c r="AI193" s="33">
        <f t="shared" si="72"/>
        <v>8.2999948634895737E-2</v>
      </c>
      <c r="AJ193" s="34">
        <f t="shared" si="73"/>
        <v>0.99522665264694909</v>
      </c>
      <c r="AK193" s="16">
        <f t="shared" si="74"/>
        <v>7.0549956339661379E-2</v>
      </c>
      <c r="AL193" s="16">
        <f t="shared" si="81"/>
        <v>0.84594265474990671</v>
      </c>
      <c r="AM193" s="27">
        <f t="shared" si="82"/>
        <v>70.549956339661378</v>
      </c>
      <c r="AN193" s="27">
        <f t="shared" si="82"/>
        <v>845.94265474990675</v>
      </c>
      <c r="AO193" s="29" t="e">
        <f t="shared" si="61"/>
        <v>#VALUE!</v>
      </c>
      <c r="AP193" s="29" t="e">
        <f t="shared" si="62"/>
        <v>#VALUE!</v>
      </c>
      <c r="AQ193" s="27">
        <f t="shared" si="75"/>
        <v>11.990689982530002</v>
      </c>
      <c r="AR193" s="14">
        <f t="shared" si="76"/>
        <v>2524.7625413353994</v>
      </c>
      <c r="AS193" s="25">
        <v>0.36620000000000003</v>
      </c>
      <c r="AT193" s="22">
        <f t="shared" si="77"/>
        <v>1.2791290010612533</v>
      </c>
      <c r="AU193" s="22">
        <f t="shared" si="78"/>
        <v>0.91292900106125319</v>
      </c>
      <c r="AV193" s="15"/>
      <c r="AW193" s="22"/>
      <c r="AX193" s="34">
        <f t="shared" si="79"/>
        <v>9129.2900106125326</v>
      </c>
      <c r="AY193" s="14">
        <f t="shared" si="80"/>
        <v>60.866576866467582</v>
      </c>
      <c r="AZ193" s="25">
        <v>1.0819000000000001</v>
      </c>
      <c r="BA193" s="22">
        <f t="shared" si="63"/>
        <v>1.1780522612218685</v>
      </c>
      <c r="BB193" s="38">
        <f t="shared" si="64"/>
        <v>9.6152261221868374E-2</v>
      </c>
      <c r="BC193" s="58">
        <f t="shared" si="68"/>
        <v>0.95905556895829269</v>
      </c>
      <c r="BD193" s="32">
        <f t="shared" si="65"/>
        <v>0.92215361592765355</v>
      </c>
      <c r="BE193" s="38">
        <f t="shared" si="66"/>
        <v>961.52261221868378</v>
      </c>
    </row>
    <row r="194" spans="1:57" ht="15">
      <c r="A194" s="152">
        <v>192</v>
      </c>
      <c r="B194" s="153">
        <v>6</v>
      </c>
      <c r="C194" s="153" t="s">
        <v>425</v>
      </c>
      <c r="D194" s="153" t="s">
        <v>418</v>
      </c>
      <c r="E194" s="153" t="s">
        <v>437</v>
      </c>
      <c r="F194" s="153" t="s">
        <v>480</v>
      </c>
      <c r="G194" s="153"/>
      <c r="H194" s="153" t="s">
        <v>486</v>
      </c>
      <c r="I194" s="153">
        <v>50</v>
      </c>
      <c r="J194" s="153">
        <v>10</v>
      </c>
      <c r="K194" s="153">
        <v>15</v>
      </c>
      <c r="L194" s="153" t="s">
        <v>69</v>
      </c>
      <c r="M194" s="153">
        <v>4</v>
      </c>
      <c r="Q194" s="108">
        <v>10</v>
      </c>
      <c r="R194" s="53">
        <v>8</v>
      </c>
      <c r="S194" s="53">
        <f t="shared" si="69"/>
        <v>2</v>
      </c>
      <c r="T194" s="87">
        <v>126</v>
      </c>
      <c r="U194" s="87" t="s">
        <v>395</v>
      </c>
      <c r="V194" s="85">
        <v>2.7563862499999998</v>
      </c>
      <c r="W194" s="85">
        <v>1468.7120619951145</v>
      </c>
      <c r="X194" s="84">
        <v>1.3088258749999999</v>
      </c>
      <c r="Y194" s="84">
        <v>43.202247916766794</v>
      </c>
      <c r="Z194" s="154" t="s">
        <v>54</v>
      </c>
      <c r="AA194" s="75">
        <v>2.9111787500000004</v>
      </c>
      <c r="AB194" s="75">
        <v>7.1289713486518078</v>
      </c>
      <c r="AC194" s="75">
        <v>2.0592423593750002</v>
      </c>
      <c r="AD194" s="75">
        <v>-26.716135928040213</v>
      </c>
      <c r="AE194" s="75">
        <v>2.375375</v>
      </c>
      <c r="AF194" s="75">
        <v>2.375375</v>
      </c>
      <c r="AG194" s="32">
        <f t="shared" si="70"/>
        <v>2.3009777396870598E-2</v>
      </c>
      <c r="AH194" s="32">
        <f t="shared" si="71"/>
        <v>0.53073405008612418</v>
      </c>
      <c r="AI194" s="33">
        <f t="shared" si="72"/>
        <v>6.3423834032294901E-2</v>
      </c>
      <c r="AJ194" s="34">
        <f t="shared" si="73"/>
        <v>0.69463845749626529</v>
      </c>
      <c r="AK194" s="16">
        <f t="shared" si="74"/>
        <v>5.3910258927450667E-2</v>
      </c>
      <c r="AL194" s="16">
        <f t="shared" si="81"/>
        <v>0.59044268887182549</v>
      </c>
      <c r="AM194" s="27">
        <f t="shared" si="82"/>
        <v>53.91025892745067</v>
      </c>
      <c r="AN194" s="27">
        <f t="shared" si="82"/>
        <v>590.44268887182545</v>
      </c>
      <c r="AO194" s="29" t="e">
        <f t="shared" ref="AO194" si="83">AI194*100/Z194</f>
        <v>#VALUE!</v>
      </c>
      <c r="AP194" s="29" t="e">
        <f t="shared" ref="AP194" si="84">AJ194*100/Z194</f>
        <v>#VALUE!</v>
      </c>
      <c r="AQ194" s="27">
        <f t="shared" si="75"/>
        <v>10.952325227493517</v>
      </c>
      <c r="AR194" s="14">
        <f t="shared" si="76"/>
        <v>1463.5630906464626</v>
      </c>
      <c r="AS194" s="25">
        <v>0.36620000000000003</v>
      </c>
      <c r="AT194" s="22">
        <f t="shared" si="77"/>
        <v>0.89747817776080996</v>
      </c>
      <c r="AU194" s="22">
        <f t="shared" si="78"/>
        <v>0.53127817776080999</v>
      </c>
      <c r="AV194" s="15"/>
      <c r="AW194" s="22"/>
      <c r="AX194" s="34">
        <f t="shared" si="79"/>
        <v>5312.7817776081001</v>
      </c>
      <c r="AY194" s="14">
        <f t="shared" si="80"/>
        <v>43.888383844807009</v>
      </c>
      <c r="AZ194" s="25">
        <v>1.0819000000000001</v>
      </c>
      <c r="BA194" s="22">
        <f t="shared" ref="BA194" si="85">100*0.011237*(AY194/1000+1)/(1+0.011237*(AY194/1000+1))</f>
        <v>1.159417211563692</v>
      </c>
      <c r="BB194" s="38">
        <f t="shared" ref="BB194" si="86">BA194-AZ194</f>
        <v>7.7517211563691957E-2</v>
      </c>
      <c r="BC194" s="58">
        <f t="shared" si="68"/>
        <v>0.67171775233214381</v>
      </c>
      <c r="BD194" s="32">
        <f t="shared" ref="BD194" si="87">((BB194%)*BC194)*1000</f>
        <v>0.52069687118618435</v>
      </c>
      <c r="BE194" s="38">
        <f t="shared" ref="BE194" si="88">(((AJ194*(BB194%))/AJ194)*1000)*1000</f>
        <v>775.17211563691956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36"/>
  <sheetViews>
    <sheetView workbookViewId="0">
      <selection activeCell="G10" sqref="G10"/>
    </sheetView>
  </sheetViews>
  <sheetFormatPr defaultRowHeight="15"/>
  <sheetData>
    <row r="1" spans="1:10" ht="23.25">
      <c r="A1" s="1" t="s">
        <v>16</v>
      </c>
    </row>
    <row r="2" spans="1:10">
      <c r="G2" t="s">
        <v>17</v>
      </c>
    </row>
    <row r="3" spans="1:10">
      <c r="A3" t="s">
        <v>18</v>
      </c>
    </row>
    <row r="5" spans="1:10">
      <c r="A5" t="s">
        <v>19</v>
      </c>
      <c r="B5">
        <v>3.676E-3</v>
      </c>
    </row>
    <row r="6" spans="1:10">
      <c r="A6" t="s">
        <v>20</v>
      </c>
      <c r="B6">
        <v>1.1237E-2</v>
      </c>
    </row>
    <row r="7" spans="1:10">
      <c r="G7" s="2" t="s">
        <v>21</v>
      </c>
    </row>
    <row r="8" spans="1:10">
      <c r="B8" s="3" t="s">
        <v>22</v>
      </c>
      <c r="C8" s="3"/>
      <c r="D8" s="3"/>
      <c r="E8" s="3"/>
      <c r="G8" s="4" t="s">
        <v>23</v>
      </c>
      <c r="H8" s="4"/>
      <c r="I8" s="4" t="s">
        <v>24</v>
      </c>
      <c r="J8" s="5"/>
    </row>
    <row r="9" spans="1:10">
      <c r="B9" s="6" t="s">
        <v>23</v>
      </c>
      <c r="C9" s="6"/>
      <c r="D9" s="6" t="s">
        <v>24</v>
      </c>
      <c r="E9" s="6"/>
      <c r="G9" s="5" t="s">
        <v>25</v>
      </c>
      <c r="H9" s="5" t="s">
        <v>26</v>
      </c>
      <c r="I9" s="5" t="s">
        <v>25</v>
      </c>
      <c r="J9" s="5" t="s">
        <v>26</v>
      </c>
    </row>
    <row r="10" spans="1:10">
      <c r="B10" s="6" t="s">
        <v>26</v>
      </c>
      <c r="C10" s="6" t="s">
        <v>25</v>
      </c>
      <c r="D10" s="6" t="s">
        <v>26</v>
      </c>
      <c r="E10" s="6" t="s">
        <v>25</v>
      </c>
      <c r="G10">
        <v>0.36699999999999999</v>
      </c>
      <c r="H10" s="7">
        <f>(1/((100/G10-1)*B$5)-1)*1000</f>
        <v>2.0452973184164058</v>
      </c>
      <c r="I10">
        <v>1.111213</v>
      </c>
      <c r="J10" s="7">
        <f>(1/((100/I10-1)*B$6)-1)*1000</f>
        <v>-2.6954231024944875E-4</v>
      </c>
    </row>
    <row r="11" spans="1:10">
      <c r="B11" s="3">
        <v>-8</v>
      </c>
      <c r="C11" s="3">
        <f>100*B$5*((B11/1000)+1)/(1+B$5*(B11/1000+1))</f>
        <v>0.36333426816438585</v>
      </c>
      <c r="D11" s="3">
        <v>-30</v>
      </c>
      <c r="E11" s="3">
        <f>100*B$6*((D11/1000)+1)/(1+B$6*(D11/1000+1))</f>
        <v>1.0782363424730417</v>
      </c>
      <c r="G11">
        <v>0.5</v>
      </c>
      <c r="H11" s="7">
        <f>(1/((100/G11-1)*B$5)-1)*1000</f>
        <v>367.00914802521868</v>
      </c>
      <c r="I11">
        <v>1.2</v>
      </c>
      <c r="J11" s="7">
        <f>(1/((100/I11-1)*B$6)-1)*1000</f>
        <v>80.871138903110037</v>
      </c>
    </row>
    <row r="12" spans="1:10">
      <c r="B12" s="3">
        <v>-7</v>
      </c>
      <c r="C12" s="3">
        <f t="shared" ref="C12:C25" si="0">100*B$5*((B12/1000)+1)/(1+B$5*(B12/1000+1))</f>
        <v>0.36369920044698284</v>
      </c>
      <c r="D12" s="3">
        <v>-29</v>
      </c>
      <c r="E12" s="3">
        <f t="shared" ref="E12:E25" si="1">100*B$6*((D12/1000)+1)/(1+B$6*(D12/1000+1))</f>
        <v>1.0793359286073028</v>
      </c>
      <c r="G12">
        <v>0.75</v>
      </c>
      <c r="H12" s="7">
        <f>(1/((100/G12-1)*B$5)-1)*1000</f>
        <v>1055.6787440076962</v>
      </c>
      <c r="I12">
        <v>1.5</v>
      </c>
      <c r="J12" s="7">
        <f>(1/((100/I12-1)*B$6)-1)*1000</f>
        <v>355.20391527445815</v>
      </c>
    </row>
    <row r="13" spans="1:10">
      <c r="B13" s="3">
        <v>-6</v>
      </c>
      <c r="C13" s="3">
        <f t="shared" si="0"/>
        <v>0.36406413005636529</v>
      </c>
      <c r="D13" s="3">
        <v>-28</v>
      </c>
      <c r="E13" s="3">
        <f t="shared" si="1"/>
        <v>1.0804354902964637</v>
      </c>
      <c r="G13">
        <v>0.36699999999999999</v>
      </c>
      <c r="H13" s="7">
        <f>(1/((100/G13-1)*B$5)-1)*1000</f>
        <v>2.0452973184164058</v>
      </c>
      <c r="I13">
        <v>1.8</v>
      </c>
      <c r="J13" s="7">
        <f>(1/((100/I13-1)*B$6)-1)*1000</f>
        <v>631.21285932220928</v>
      </c>
    </row>
    <row r="14" spans="1:10">
      <c r="B14" s="3">
        <v>-5</v>
      </c>
      <c r="C14" s="3">
        <f t="shared" si="0"/>
        <v>0.36442905699256284</v>
      </c>
      <c r="D14" s="3">
        <v>-27</v>
      </c>
      <c r="E14" s="3">
        <f t="shared" si="1"/>
        <v>1.0815350275413391</v>
      </c>
      <c r="G14">
        <v>0.36649999999999999</v>
      </c>
      <c r="H14" s="7">
        <f>(1/((100/G14-1)*B$5)-1)*1000</f>
        <v>0.67509118416286817</v>
      </c>
      <c r="I14">
        <v>2</v>
      </c>
      <c r="J14" s="7">
        <f>(1/((100/I14-1)*B$6)-1)*1000</f>
        <v>816.15762795284525</v>
      </c>
    </row>
    <row r="15" spans="1:10">
      <c r="B15" s="3">
        <v>-4</v>
      </c>
      <c r="C15" s="3">
        <f t="shared" si="0"/>
        <v>0.3647939812556048</v>
      </c>
      <c r="D15" s="3">
        <v>-26</v>
      </c>
      <c r="E15" s="3">
        <f t="shared" si="1"/>
        <v>1.0826345403427444</v>
      </c>
    </row>
    <row r="16" spans="1:10">
      <c r="B16" s="3">
        <v>-3</v>
      </c>
      <c r="C16" s="3">
        <f>100*B$5*((B16/1000)+1)/(1+B$5*(B16/1000+1))</f>
        <v>0.36515890284552044</v>
      </c>
      <c r="D16" s="3">
        <v>-25</v>
      </c>
      <c r="E16" s="3">
        <f>100*B$6*((D16/1000)+1)/(1+B$6*(D16/1000+1))</f>
        <v>1.0837340287014945</v>
      </c>
    </row>
    <row r="17" spans="1:14">
      <c r="B17" s="3">
        <v>-2</v>
      </c>
      <c r="C17" s="3">
        <f>100*B$5*((B17/1000)+1)/(1+B$5*(B17/1000+1))</f>
        <v>0.36552382176233916</v>
      </c>
      <c r="D17" s="3">
        <v>-24</v>
      </c>
      <c r="E17" s="3">
        <f t="shared" si="1"/>
        <v>1.0848334926184042</v>
      </c>
    </row>
    <row r="18" spans="1:14">
      <c r="B18" s="3">
        <v>-1</v>
      </c>
      <c r="C18" s="3">
        <f t="shared" si="0"/>
        <v>0.36588873800609045</v>
      </c>
      <c r="D18" s="3">
        <v>-23</v>
      </c>
      <c r="E18" s="3">
        <f t="shared" si="1"/>
        <v>1.0859329320942892</v>
      </c>
    </row>
    <row r="19" spans="1:14">
      <c r="B19" s="3">
        <v>0</v>
      </c>
      <c r="C19" s="3">
        <f t="shared" si="0"/>
        <v>0.36625365157680367</v>
      </c>
      <c r="D19" s="3">
        <v>-22</v>
      </c>
      <c r="E19" s="3">
        <f t="shared" si="1"/>
        <v>1.0870323471299643</v>
      </c>
    </row>
    <row r="20" spans="1:14">
      <c r="B20" s="3">
        <v>1</v>
      </c>
      <c r="C20" s="3">
        <f t="shared" si="0"/>
        <v>0.36661856247450803</v>
      </c>
      <c r="D20" s="3">
        <v>-21</v>
      </c>
      <c r="E20" s="3">
        <f t="shared" si="1"/>
        <v>1.0881317377262438</v>
      </c>
      <c r="J20" s="12"/>
      <c r="N20" s="12"/>
    </row>
    <row r="21" spans="1:14">
      <c r="B21" s="3">
        <v>2</v>
      </c>
      <c r="C21" s="3">
        <f>100*B$5*((B21/1000)+1)/(1+B$5*(B21/1000+1))</f>
        <v>0.36698347069923304</v>
      </c>
      <c r="D21" s="3">
        <v>-20</v>
      </c>
      <c r="E21" s="3">
        <f t="shared" si="1"/>
        <v>1.0892311038839431</v>
      </c>
    </row>
    <row r="22" spans="1:14">
      <c r="B22" s="3">
        <v>3</v>
      </c>
      <c r="C22" s="3">
        <f>100*B$5*((B22/1000)+1)/(1+B$5*(B22/1000+1))</f>
        <v>0.36734837625100791</v>
      </c>
      <c r="D22" s="3">
        <v>-19</v>
      </c>
      <c r="E22" s="3">
        <f t="shared" si="1"/>
        <v>1.0903304456038772</v>
      </c>
    </row>
    <row r="23" spans="1:14">
      <c r="B23" s="3">
        <v>4</v>
      </c>
      <c r="C23" s="3">
        <f t="shared" si="0"/>
        <v>0.36771327912986224</v>
      </c>
      <c r="D23" s="3">
        <v>-18</v>
      </c>
      <c r="E23" s="3">
        <f t="shared" si="1"/>
        <v>1.0914297628868606</v>
      </c>
      <c r="G23" s="11"/>
    </row>
    <row r="24" spans="1:14">
      <c r="B24" s="3">
        <v>5</v>
      </c>
      <c r="C24" s="3">
        <f t="shared" si="0"/>
        <v>0.36807817933582526</v>
      </c>
      <c r="D24" s="3">
        <v>-17</v>
      </c>
      <c r="E24" s="3">
        <f t="shared" si="1"/>
        <v>1.0925290557337082</v>
      </c>
    </row>
    <row r="25" spans="1:14">
      <c r="B25" s="3">
        <v>6</v>
      </c>
      <c r="C25" s="3">
        <f t="shared" si="0"/>
        <v>0.36844307686892636</v>
      </c>
      <c r="D25" s="3">
        <v>-16</v>
      </c>
      <c r="E25" s="3">
        <f t="shared" si="1"/>
        <v>1.0936283241452347</v>
      </c>
    </row>
    <row r="27" spans="1:14" ht="23.25">
      <c r="A27" s="1" t="s">
        <v>27</v>
      </c>
    </row>
    <row r="28" spans="1:14" ht="23.25">
      <c r="A28" s="1"/>
    </row>
    <row r="29" spans="1:14">
      <c r="B29" s="2" t="s">
        <v>28</v>
      </c>
      <c r="C29" t="s">
        <v>29</v>
      </c>
      <c r="F29" t="s">
        <v>30</v>
      </c>
      <c r="H29" t="s">
        <v>31</v>
      </c>
    </row>
    <row r="30" spans="1:14">
      <c r="B30" s="2"/>
    </row>
    <row r="32" spans="1:14">
      <c r="C32" s="4" t="s">
        <v>32</v>
      </c>
      <c r="D32" s="4" t="s">
        <v>15</v>
      </c>
      <c r="E32" s="4" t="s">
        <v>33</v>
      </c>
      <c r="F32" s="4" t="s">
        <v>34</v>
      </c>
      <c r="G32" s="4" t="s">
        <v>35</v>
      </c>
      <c r="H32" s="4" t="s">
        <v>36</v>
      </c>
      <c r="I32" s="4" t="s">
        <v>37</v>
      </c>
      <c r="J32" s="8" t="s">
        <v>38</v>
      </c>
      <c r="K32" s="8" t="s">
        <v>39</v>
      </c>
    </row>
    <row r="33" spans="1:11">
      <c r="C33" s="5">
        <v>100</v>
      </c>
      <c r="D33" s="5">
        <v>0.402731514846566</v>
      </c>
      <c r="E33" s="5">
        <v>0.36625365157680367</v>
      </c>
      <c r="F33" s="9">
        <f>D33-E33</f>
        <v>3.6477863269762323E-2</v>
      </c>
      <c r="G33">
        <f>F33*15/((F33/100*15)+(100-F33)/100*14)</f>
        <v>3.9082406615684795E-2</v>
      </c>
      <c r="H33" s="5">
        <v>10</v>
      </c>
      <c r="I33" s="9">
        <f>G33*H33/100</f>
        <v>3.9082406615684791E-3</v>
      </c>
      <c r="J33" s="10">
        <f>I33*1000</f>
        <v>3.9082406615684793</v>
      </c>
      <c r="K33" s="10">
        <f>J33/15</f>
        <v>0.26054937743789863</v>
      </c>
    </row>
    <row r="36" spans="1:11">
      <c r="A36" t="s">
        <v>40</v>
      </c>
    </row>
  </sheetData>
  <phoneticPr fontId="4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01BE-6476-4DC5-9989-96E10E8ED782}">
  <sheetPr>
    <tabColor rgb="FFFF0000"/>
  </sheetPr>
  <dimension ref="A1:BV353"/>
  <sheetViews>
    <sheetView topLeftCell="A67" zoomScale="85" zoomScaleNormal="85" workbookViewId="0">
      <pane xSplit="6" topLeftCell="G1" activePane="topRight" state="frozen"/>
      <selection activeCell="A119" sqref="A119"/>
      <selection pane="topRight" activeCell="A131" sqref="A131"/>
    </sheetView>
  </sheetViews>
  <sheetFormatPr defaultColWidth="9.140625" defaultRowHeight="12.75"/>
  <cols>
    <col min="1" max="1" width="9.140625" style="18"/>
    <col min="2" max="2" width="10.7109375" style="18" customWidth="1"/>
    <col min="3" max="3" width="9.140625" style="18" customWidth="1"/>
    <col min="4" max="4" width="9.7109375" style="18" bestFit="1" customWidth="1"/>
    <col min="5" max="5" width="13.85546875" style="18" customWidth="1"/>
    <col min="6" max="7" width="9.28515625" style="18" bestFit="1" customWidth="1"/>
    <col min="8" max="8" width="4.7109375" style="18" hidden="1" customWidth="1"/>
    <col min="9" max="9" width="9.28515625" style="18" bestFit="1" customWidth="1"/>
    <col min="10" max="10" width="9" style="18" bestFit="1" customWidth="1"/>
    <col min="11" max="11" width="6.28515625" style="18" bestFit="1" customWidth="1"/>
    <col min="12" max="12" width="3.7109375" style="18" customWidth="1"/>
    <col min="13" max="13" width="9.140625" style="18" customWidth="1"/>
    <col min="14" max="14" width="3.42578125" style="18" customWidth="1"/>
    <col min="15" max="15" width="4.28515625" style="18" customWidth="1"/>
    <col min="16" max="16" width="3.85546875" style="18" customWidth="1"/>
    <col min="17" max="17" width="9.140625" style="31" customWidth="1"/>
    <col min="18" max="19" width="9.140625" style="13" customWidth="1"/>
    <col min="20" max="20" width="9.140625" style="18" customWidth="1"/>
    <col min="21" max="21" width="32.85546875" style="18" customWidth="1"/>
    <col min="22" max="24" width="9.140625" style="18" customWidth="1"/>
    <col min="25" max="25" width="9.140625" style="31" customWidth="1"/>
    <col min="26" max="35" width="9.140625" style="18" customWidth="1"/>
    <col min="36" max="36" width="9.140625" style="26" customWidth="1"/>
    <col min="37" max="38" width="9.140625" style="19"/>
    <col min="39" max="40" width="9.140625" style="28"/>
    <col min="41" max="42" width="9.140625" style="30"/>
    <col min="43" max="43" width="9.140625" style="28"/>
    <col min="44" max="44" width="9.42578125" style="26" bestFit="1" customWidth="1"/>
    <col min="45" max="45" width="12.5703125" style="21" customWidth="1"/>
    <col min="46" max="46" width="8.140625" style="23" customWidth="1"/>
    <col min="47" max="47" width="9.42578125" style="23" bestFit="1" customWidth="1"/>
    <col min="48" max="48" width="10" style="20" customWidth="1"/>
    <col min="49" max="49" width="11.42578125" style="23" customWidth="1"/>
    <col min="50" max="50" width="9.42578125" style="26" bestFit="1" customWidth="1"/>
    <col min="51" max="51" width="9.42578125" style="26" customWidth="1"/>
    <col min="52" max="52" width="12" style="26" customWidth="1"/>
    <col min="53" max="53" width="10.5703125" style="26" customWidth="1"/>
    <col min="54" max="56" width="9.42578125" style="26" customWidth="1"/>
    <col min="57" max="57" width="9.140625" style="26"/>
    <col min="58" max="58" width="9.140625" style="18"/>
    <col min="59" max="59" width="10.140625" style="18" customWidth="1"/>
    <col min="60" max="60" width="9.7109375" style="18" customWidth="1"/>
    <col min="61" max="65" width="9.140625" style="18"/>
    <col min="66" max="66" width="10.42578125" style="18" customWidth="1"/>
    <col min="67" max="16384" width="9.140625" style="18"/>
  </cols>
  <sheetData>
    <row r="1" spans="1:68" s="17" customFormat="1" ht="45" customHeight="1">
      <c r="A1" s="149" t="s">
        <v>396</v>
      </c>
      <c r="B1" s="150" t="s">
        <v>397</v>
      </c>
      <c r="C1" s="149" t="s">
        <v>398</v>
      </c>
      <c r="D1" s="149" t="s">
        <v>399</v>
      </c>
      <c r="E1" s="149" t="s">
        <v>400</v>
      </c>
      <c r="F1" s="149" t="s">
        <v>401</v>
      </c>
      <c r="G1" s="149" t="s">
        <v>402</v>
      </c>
      <c r="H1" s="149" t="s">
        <v>403</v>
      </c>
      <c r="I1" s="149" t="s">
        <v>404</v>
      </c>
      <c r="J1" s="149" t="s">
        <v>405</v>
      </c>
      <c r="K1" s="151" t="s">
        <v>183</v>
      </c>
      <c r="L1" s="151" t="s">
        <v>406</v>
      </c>
      <c r="M1" s="151" t="s">
        <v>407</v>
      </c>
      <c r="N1" s="76"/>
      <c r="O1" s="76"/>
      <c r="P1" s="76"/>
      <c r="Q1" s="54" t="s">
        <v>56</v>
      </c>
      <c r="R1" s="55" t="s">
        <v>495</v>
      </c>
      <c r="S1" s="55" t="s">
        <v>488</v>
      </c>
      <c r="T1" s="39" t="s">
        <v>50</v>
      </c>
      <c r="U1" s="40" t="s">
        <v>0</v>
      </c>
      <c r="V1" s="41" t="s">
        <v>1</v>
      </c>
      <c r="W1" s="42" t="s">
        <v>2</v>
      </c>
      <c r="X1" s="41" t="s">
        <v>3</v>
      </c>
      <c r="Y1" s="43" t="s">
        <v>4</v>
      </c>
      <c r="Z1" s="41" t="s">
        <v>5</v>
      </c>
      <c r="AA1" s="42" t="s">
        <v>6</v>
      </c>
      <c r="AB1" s="42" t="s">
        <v>7</v>
      </c>
      <c r="AC1" s="42" t="s">
        <v>6</v>
      </c>
      <c r="AD1" s="42" t="s">
        <v>8</v>
      </c>
      <c r="AE1" s="42" t="s">
        <v>9</v>
      </c>
      <c r="AF1" s="42" t="s">
        <v>10</v>
      </c>
      <c r="AG1" s="42" t="s">
        <v>11</v>
      </c>
      <c r="AH1" s="42" t="s">
        <v>12</v>
      </c>
      <c r="AI1" s="41" t="s">
        <v>13</v>
      </c>
      <c r="AJ1" s="44" t="s">
        <v>14</v>
      </c>
      <c r="AK1" s="41" t="s">
        <v>52</v>
      </c>
      <c r="AL1" s="41" t="s">
        <v>53</v>
      </c>
      <c r="AM1" s="165" t="s">
        <v>42</v>
      </c>
      <c r="AN1" s="165" t="s">
        <v>43</v>
      </c>
      <c r="AO1" s="57" t="s">
        <v>107</v>
      </c>
      <c r="AP1" s="57" t="s">
        <v>108</v>
      </c>
      <c r="AQ1" s="46" t="s">
        <v>51</v>
      </c>
      <c r="AR1" s="47" t="s">
        <v>45</v>
      </c>
      <c r="AS1" s="48" t="s">
        <v>46</v>
      </c>
      <c r="AT1" s="49" t="s">
        <v>47</v>
      </c>
      <c r="AU1" s="50" t="s">
        <v>49</v>
      </c>
      <c r="AV1" s="164" t="s">
        <v>146</v>
      </c>
      <c r="AW1" s="162" t="s">
        <v>147</v>
      </c>
      <c r="AX1" s="109" t="s">
        <v>148</v>
      </c>
      <c r="AY1" s="164" t="s">
        <v>149</v>
      </c>
      <c r="AZ1" t="s">
        <v>150</v>
      </c>
      <c r="BA1" s="110" t="s">
        <v>169</v>
      </c>
      <c r="BB1" s="111" t="s">
        <v>151</v>
      </c>
      <c r="BC1" s="111" t="s">
        <v>152</v>
      </c>
      <c r="BD1" s="111" t="s">
        <v>153</v>
      </c>
      <c r="BE1" s="47" t="s">
        <v>48</v>
      </c>
      <c r="BF1" s="48" t="s">
        <v>58</v>
      </c>
      <c r="BG1" s="51" t="s">
        <v>59</v>
      </c>
      <c r="BH1" s="52" t="s">
        <v>60</v>
      </c>
      <c r="BI1" s="164" t="s">
        <v>156</v>
      </c>
      <c r="BJ1" s="162" t="s">
        <v>157</v>
      </c>
      <c r="BK1" s="160" t="s">
        <v>492</v>
      </c>
      <c r="BL1" s="164" t="s">
        <v>160</v>
      </c>
      <c r="BM1" s="158" t="s">
        <v>158</v>
      </c>
      <c r="BN1" s="110" t="s">
        <v>162</v>
      </c>
      <c r="BO1" s="119" t="s">
        <v>167</v>
      </c>
      <c r="BP1" s="119" t="s">
        <v>166</v>
      </c>
    </row>
    <row r="2" spans="1:68" s="17" customFormat="1" ht="45" customHeight="1">
      <c r="A2" s="131"/>
      <c r="B2" s="132"/>
      <c r="C2" s="133"/>
      <c r="D2" s="133"/>
      <c r="E2" s="133"/>
      <c r="F2" s="133"/>
      <c r="G2" s="133"/>
      <c r="H2" s="133"/>
      <c r="I2" s="133"/>
      <c r="J2" s="133"/>
      <c r="K2" s="131"/>
      <c r="L2" s="131"/>
      <c r="M2" s="133"/>
      <c r="N2" s="76"/>
      <c r="O2" s="76"/>
      <c r="P2" s="76"/>
      <c r="Q2" s="54"/>
      <c r="R2" s="55"/>
      <c r="S2" s="55"/>
      <c r="T2" s="77" t="s">
        <v>50</v>
      </c>
      <c r="U2" s="78" t="s">
        <v>0</v>
      </c>
      <c r="V2" s="77" t="s">
        <v>124</v>
      </c>
      <c r="W2" s="79" t="s">
        <v>125</v>
      </c>
      <c r="X2" s="77" t="s">
        <v>124</v>
      </c>
      <c r="Y2" s="79" t="s">
        <v>24</v>
      </c>
      <c r="Z2" s="41"/>
      <c r="AA2" s="42"/>
      <c r="AB2" s="42"/>
      <c r="AC2" s="42"/>
      <c r="AD2" s="42"/>
      <c r="AE2" s="42"/>
      <c r="AF2" s="42"/>
      <c r="AG2" s="42"/>
      <c r="AH2" s="42"/>
      <c r="AI2" s="41"/>
      <c r="AJ2" s="44"/>
      <c r="AK2" s="91" t="s">
        <v>136</v>
      </c>
      <c r="AL2" s="91" t="s">
        <v>137</v>
      </c>
      <c r="AM2" s="166" t="s">
        <v>494</v>
      </c>
      <c r="AN2" s="166" t="s">
        <v>494</v>
      </c>
      <c r="AO2" s="92"/>
      <c r="AP2" s="92"/>
      <c r="AQ2" s="93" t="s">
        <v>139</v>
      </c>
      <c r="AR2" s="93" t="s">
        <v>140</v>
      </c>
      <c r="AS2" s="94" t="s">
        <v>141</v>
      </c>
      <c r="AT2" s="95" t="s">
        <v>142</v>
      </c>
      <c r="AU2" s="96" t="s">
        <v>143</v>
      </c>
      <c r="AV2" s="112" t="s">
        <v>144</v>
      </c>
      <c r="AW2" s="114" t="s">
        <v>159</v>
      </c>
      <c r="AX2" s="113" t="s">
        <v>154</v>
      </c>
      <c r="AY2" s="112" t="s">
        <v>144</v>
      </c>
      <c r="AZ2" t="s">
        <v>493</v>
      </c>
      <c r="BA2" s="114" t="s">
        <v>155</v>
      </c>
      <c r="BB2" s="114" t="s">
        <v>159</v>
      </c>
      <c r="BC2" s="114" t="s">
        <v>159</v>
      </c>
      <c r="BD2" s="114" t="s">
        <v>159</v>
      </c>
      <c r="BE2" s="96"/>
      <c r="BF2" s="97"/>
      <c r="BG2" s="51"/>
      <c r="BH2" s="52"/>
      <c r="BI2" s="112" t="s">
        <v>144</v>
      </c>
      <c r="BJ2" s="114" t="s">
        <v>159</v>
      </c>
      <c r="BK2" s="113" t="s">
        <v>161</v>
      </c>
      <c r="BL2" s="112" t="s">
        <v>144</v>
      </c>
      <c r="BM2" s="159" t="s">
        <v>170</v>
      </c>
      <c r="BN2" s="114" t="s">
        <v>155</v>
      </c>
      <c r="BO2" s="114" t="s">
        <v>159</v>
      </c>
      <c r="BP2" s="119" t="s">
        <v>166</v>
      </c>
    </row>
    <row r="3" spans="1:68" ht="15.75">
      <c r="A3" s="67">
        <v>1</v>
      </c>
      <c r="B3" s="134">
        <v>1</v>
      </c>
      <c r="C3" s="66" t="s">
        <v>408</v>
      </c>
      <c r="D3" s="66" t="s">
        <v>409</v>
      </c>
      <c r="E3" s="66" t="s">
        <v>410</v>
      </c>
      <c r="F3" s="66" t="s">
        <v>411</v>
      </c>
      <c r="G3" s="66">
        <v>1</v>
      </c>
      <c r="H3" s="66" t="s">
        <v>412</v>
      </c>
      <c r="I3" s="66">
        <v>100</v>
      </c>
      <c r="J3" s="66">
        <v>10.07</v>
      </c>
      <c r="K3" s="66">
        <v>30</v>
      </c>
      <c r="L3" s="66" t="s">
        <v>62</v>
      </c>
      <c r="M3" s="66">
        <v>1</v>
      </c>
      <c r="N3"/>
      <c r="O3"/>
      <c r="P3"/>
      <c r="Q3" s="66">
        <v>10.07</v>
      </c>
      <c r="R3">
        <v>6.3608695652173912</v>
      </c>
      <c r="S3" s="55">
        <v>3.7091304347826091</v>
      </c>
      <c r="T3" s="80">
        <v>108</v>
      </c>
      <c r="U3" s="80" t="s">
        <v>188</v>
      </c>
      <c r="V3" s="81">
        <v>7.0119815000000001</v>
      </c>
      <c r="W3" s="81">
        <v>-1.8850745075762121</v>
      </c>
      <c r="X3" s="81">
        <v>6.0770435000000003</v>
      </c>
      <c r="Y3" s="81">
        <v>-26.597803654815436</v>
      </c>
      <c r="Z3" s="69" t="s">
        <v>54</v>
      </c>
      <c r="AA3" s="73">
        <v>5.5661983611111108</v>
      </c>
      <c r="AB3" s="73">
        <v>3.0248816727959098</v>
      </c>
      <c r="AC3" s="73">
        <v>3.9982883888888887</v>
      </c>
      <c r="AD3" s="73">
        <v>-25.508901929003891</v>
      </c>
      <c r="AE3" s="73">
        <v>2.2461111111111109</v>
      </c>
      <c r="AF3" s="73">
        <v>2.2461111111111109</v>
      </c>
      <c r="AG3" s="32">
        <f t="shared" ref="AG3" si="0">((2.82/100)*AE3)/AA3</f>
        <v>1.1379460310984945E-2</v>
      </c>
      <c r="AH3" s="32">
        <f t="shared" ref="AH3" si="1">((46.01/100)*AF3)/AC3</f>
        <v>0.25846953038557846</v>
      </c>
      <c r="AI3" s="33">
        <f t="shared" ref="AI3" si="2">V3*AG3</f>
        <v>7.9792565180610689E-2</v>
      </c>
      <c r="AJ3" s="34">
        <f t="shared" ref="AJ3" si="3">X3*AH3</f>
        <v>1.5707305795777322</v>
      </c>
      <c r="AK3" s="16">
        <f t="shared" ref="AK3:AK34" si="4">((AI3/K3)*(J3+S3))/(R3)</f>
        <v>5.7616449662882532E-3</v>
      </c>
      <c r="AL3" s="16">
        <f t="shared" ref="AL3:AL34" si="5">((AJ3/K3)*(J3+S3))/(R3)</f>
        <v>0.11341898730457391</v>
      </c>
      <c r="AM3" s="27">
        <f t="shared" ref="AM3:AN3" si="6">AK3*1000</f>
        <v>5.7616449662882534</v>
      </c>
      <c r="AN3" s="27">
        <f t="shared" si="6"/>
        <v>113.4189873045739</v>
      </c>
      <c r="AO3" s="29" t="e">
        <f>AI3*100/Z3</f>
        <v>#VALUE!</v>
      </c>
      <c r="AP3" s="29" t="e">
        <f>AJ3*100/Z3</f>
        <v>#VALUE!</v>
      </c>
      <c r="AQ3" s="27">
        <f t="shared" ref="AQ3" si="7">AJ3/AI3</f>
        <v>19.685174627766123</v>
      </c>
      <c r="AR3" s="14">
        <f t="shared" ref="AR3" si="8">W3+(1.98-AB3)</f>
        <v>-2.9299561803721219</v>
      </c>
      <c r="AS3" s="25">
        <f>AVERAGE(AT51:AT58,AT3:AT10)</f>
        <v>0.36849740461643371</v>
      </c>
      <c r="AT3" s="22">
        <f t="shared" ref="AT3" si="9">100*0.003676*(AR3/1000+1)/(1+0.003676*(AR3/1000+1))</f>
        <v>0.36518446324736814</v>
      </c>
      <c r="AU3" s="22">
        <f t="shared" ref="AU3" si="10">AT3-AS3</f>
        <v>-3.3129413690655696E-3</v>
      </c>
      <c r="AV3" s="115">
        <f>1000*((AK99*AU99/100)-(AK3*AU3/100))/0.4</f>
        <v>3.400416945321688E-3</v>
      </c>
      <c r="AW3" s="163">
        <f>1000*(AK3*AU3/100)</f>
        <v>-1.9087991962684752E-4</v>
      </c>
      <c r="AX3" s="116">
        <f t="shared" ref="AX3" si="11">(((AI3*(AU3%))/AI3)*1000)*1000</f>
        <v>-33.129413690655696</v>
      </c>
      <c r="AY3" s="115">
        <f>1000*((AK99*AU99/100)-0)/0.4</f>
        <v>2.9232171462545693E-3</v>
      </c>
      <c r="AZ3" s="157">
        <f>AY3*1000</f>
        <v>2.9232171462545695</v>
      </c>
      <c r="BA3" s="117">
        <f>AV3*1000</f>
        <v>3.4004169453216879</v>
      </c>
      <c r="BB3" s="118">
        <f>1000*((AK99)-(AK3))/0.4</f>
        <v>42.700491367294958</v>
      </c>
      <c r="BC3" s="118">
        <f>1000*((AL99)-(AL3))/0.45</f>
        <v>478.87768291895583</v>
      </c>
      <c r="BD3" s="117">
        <f>1000*(AK3)</f>
        <v>5.7616449662882534</v>
      </c>
      <c r="BE3" s="14">
        <f t="shared" ref="BE3" si="12">Y3+(-26.03-AD3)</f>
        <v>-27.118901725811547</v>
      </c>
      <c r="BF3" s="25">
        <f>AVERAGE(BG3:BG10,BG51:BG58)</f>
        <v>1.0808848989999</v>
      </c>
      <c r="BG3" s="22">
        <f>100*0.011237*(BE3/1000+1)/(1+0.011237*(BE3/1000+1))</f>
        <v>1.0814042919457443</v>
      </c>
      <c r="BH3" s="38">
        <f>BG3-BF3</f>
        <v>5.1939294584424367E-4</v>
      </c>
      <c r="BI3" s="115">
        <f>1000*((AL99*BH99/100)-(AL3*BH3/100))/0.45</f>
        <v>-1.2482353697945217E-2</v>
      </c>
      <c r="BJ3" s="163">
        <f>1000*(AL3*BH3/100)</f>
        <v>5.8909021930793511E-4</v>
      </c>
      <c r="BK3" s="116">
        <f>(((AJ3*(BH3%))/AJ3)*1000)*1000</f>
        <v>5.1939294584424367</v>
      </c>
      <c r="BL3" s="115">
        <f>1000*((AL99*BH99/100)-0)/0.4</f>
        <v>-1.2569922361918531E-2</v>
      </c>
      <c r="BM3" s="157">
        <f>BL3*1000</f>
        <v>-12.569922361918531</v>
      </c>
      <c r="BN3" s="117">
        <f>BI3*1000</f>
        <v>-12.482353697945218</v>
      </c>
      <c r="BO3" s="161">
        <f>AL3*1000</f>
        <v>113.4189873045739</v>
      </c>
      <c r="BP3" s="161">
        <f>BC3/BB3</f>
        <v>11.214804972612949</v>
      </c>
    </row>
    <row r="4" spans="1:68" ht="15.75">
      <c r="A4" s="67">
        <v>2</v>
      </c>
      <c r="B4" s="134">
        <v>1</v>
      </c>
      <c r="C4" s="66" t="s">
        <v>413</v>
      </c>
      <c r="D4" s="66" t="s">
        <v>414</v>
      </c>
      <c r="E4" s="66" t="s">
        <v>410</v>
      </c>
      <c r="F4" s="66" t="s">
        <v>411</v>
      </c>
      <c r="G4" s="66">
        <v>1</v>
      </c>
      <c r="H4" s="66" t="s">
        <v>412</v>
      </c>
      <c r="I4" s="66">
        <v>100</v>
      </c>
      <c r="J4" s="66">
        <v>13.13</v>
      </c>
      <c r="K4" s="66">
        <v>30</v>
      </c>
      <c r="L4" s="66" t="s">
        <v>63</v>
      </c>
      <c r="M4" s="66">
        <v>1</v>
      </c>
      <c r="N4"/>
      <c r="O4"/>
      <c r="P4"/>
      <c r="Q4" s="66">
        <v>13.13</v>
      </c>
      <c r="R4">
        <v>6.6071373555840829</v>
      </c>
      <c r="S4" s="55">
        <v>6.5228626444159188</v>
      </c>
      <c r="T4" s="82">
        <v>109</v>
      </c>
      <c r="U4" s="82" t="s">
        <v>189</v>
      </c>
      <c r="V4" s="83">
        <v>2.1110625000000001</v>
      </c>
      <c r="W4" s="83">
        <v>5.6061078449213433</v>
      </c>
      <c r="X4" s="83">
        <v>1.0226019374999999</v>
      </c>
      <c r="Y4" s="83">
        <v>-27.368376919481584</v>
      </c>
      <c r="Z4" s="69" t="s">
        <v>54</v>
      </c>
      <c r="AA4" s="73">
        <v>5.5661983611111108</v>
      </c>
      <c r="AB4" s="73">
        <v>3.0248816727959098</v>
      </c>
      <c r="AC4" s="73">
        <v>3.9982883888888887</v>
      </c>
      <c r="AD4" s="73">
        <v>-25.508901929003891</v>
      </c>
      <c r="AE4" s="73">
        <v>2.2461111111111109</v>
      </c>
      <c r="AF4" s="73">
        <v>2.2461111111111109</v>
      </c>
      <c r="AG4" s="32">
        <f t="shared" ref="AG4:AG67" si="13">((2.82/100)*AE4)/AA4</f>
        <v>1.1379460310984945E-2</v>
      </c>
      <c r="AH4" s="32">
        <f t="shared" ref="AH4:AH67" si="14">((46.01/100)*AF4)/AC4</f>
        <v>0.25846953038557846</v>
      </c>
      <c r="AI4" s="33">
        <f t="shared" ref="AI4:AI67" si="15">V4*AG4</f>
        <v>2.4022751932758657E-2</v>
      </c>
      <c r="AJ4" s="34">
        <f t="shared" ref="AJ4:AJ67" si="16">X4*AH4</f>
        <v>0.26431144255700767</v>
      </c>
      <c r="AK4" s="16">
        <f t="shared" si="4"/>
        <v>2.3818476831289621E-3</v>
      </c>
      <c r="AL4" s="16">
        <f t="shared" si="5"/>
        <v>2.6206389627676095E-2</v>
      </c>
      <c r="AM4" s="27">
        <f t="shared" ref="AM4:AM67" si="17">AK4*1000</f>
        <v>2.3818476831289623</v>
      </c>
      <c r="AN4" s="27">
        <f t="shared" ref="AN4:AN67" si="18">AL4*1000</f>
        <v>26.206389627676096</v>
      </c>
      <c r="AO4" s="29" t="e">
        <f t="shared" ref="AO4:AO67" si="19">AI4*100/Z4</f>
        <v>#VALUE!</v>
      </c>
      <c r="AP4" s="29" t="e">
        <f t="shared" ref="AP4:AP67" si="20">AJ4*100/Z4</f>
        <v>#VALUE!</v>
      </c>
      <c r="AQ4" s="27">
        <f t="shared" ref="AQ4:AQ67" si="21">AJ4/AI4</f>
        <v>11.002546390056962</v>
      </c>
      <c r="AR4" s="14">
        <f t="shared" ref="AR4:AR67" si="22">W4+(1.98-AB4)</f>
        <v>4.5612261721254335</v>
      </c>
      <c r="AS4" s="25">
        <v>0.36849740461643371</v>
      </c>
      <c r="AT4" s="22">
        <f t="shared" ref="AT4:AT67" si="23">100*0.003676*(AR4/1000+1)/(1+0.003676*(AR4/1000+1))</f>
        <v>0.36791807100476237</v>
      </c>
      <c r="AU4" s="22">
        <f t="shared" ref="AU4:AU67" si="24">AT4-AS4</f>
        <v>-5.793336116713399E-4</v>
      </c>
      <c r="AV4" s="115">
        <f t="shared" ref="AV4:AV67" si="25">1000*((AK100*AU100/100)-(AK4*AU4/100))/0.4</f>
        <v>6.4287016292030015E-3</v>
      </c>
      <c r="AW4" s="163">
        <f t="shared" ref="AW4:AW67" si="26">1000*(AK4*AU4/100)</f>
        <v>-1.3798844207181148E-5</v>
      </c>
      <c r="AX4" s="116">
        <f t="shared" ref="AX4:AX67" si="27">(((AI4*(AU4%))/AI4)*1000)*1000</f>
        <v>-5.793336116713399</v>
      </c>
      <c r="AY4" s="115">
        <f t="shared" ref="AY4:AY67" si="28">1000*((AK100*AU100/100)-0)/0.4</f>
        <v>6.3942045186850495E-3</v>
      </c>
      <c r="AZ4" s="157">
        <f t="shared" ref="AZ4:AZ67" si="29">AY4*1000</f>
        <v>6.3942045186850498</v>
      </c>
      <c r="BA4" s="117">
        <f t="shared" ref="BA4:BA67" si="30">AV4*1000</f>
        <v>6.4287016292030019</v>
      </c>
      <c r="BB4" s="118">
        <f t="shared" ref="BB4:BB67" si="31">1000*((AK100)-(AK4))/0.4</f>
        <v>52.924063506402206</v>
      </c>
      <c r="BC4" s="118">
        <f t="shared" ref="BC4:BC67" si="32">1000*((AL100)-(AL4))/0.45</f>
        <v>353.0550026771549</v>
      </c>
      <c r="BD4" s="117">
        <f t="shared" ref="BD4:BD67" si="33">1000*(AK4)</f>
        <v>2.3818476831289623</v>
      </c>
      <c r="BE4" s="14">
        <f t="shared" ref="BE4:BE67" si="34">Y4+(-26.03-AD4)</f>
        <v>-27.889474990477694</v>
      </c>
      <c r="BF4" s="25">
        <v>1.0808848989999</v>
      </c>
      <c r="BG4" s="22">
        <f t="shared" ref="BG4:BG67" si="35">100*0.011237*(BE4/1000+1)/(1+0.011237*(BE4/1000+1))</f>
        <v>1.0805570178624584</v>
      </c>
      <c r="BH4" s="38">
        <f t="shared" ref="BH4:BH67" si="36">BG4-BF4</f>
        <v>-3.2788113744164349E-4</v>
      </c>
      <c r="BI4" s="115">
        <f t="shared" ref="BI4:BI67" si="37">1000*((AL100*BH100/100)-(AL4*BH4/100))/0.45</f>
        <v>-2.9078449504234597E-3</v>
      </c>
      <c r="BJ4" s="163">
        <f t="shared" ref="BJ4:BJ67" si="38">1000*(AL4*BH4/100)</f>
        <v>-8.5925808393613268E-5</v>
      </c>
      <c r="BK4" s="116">
        <f t="shared" ref="BK4:BK67" si="39">(((AJ4*(BH4%))/AJ4)*1000)*1000</f>
        <v>-3.2788113744164349</v>
      </c>
      <c r="BL4" s="115">
        <f t="shared" ref="BL4:BL67" si="40">1000*((AL100*BH100/100)-0)/0.4</f>
        <v>-3.4861400902104255E-3</v>
      </c>
      <c r="BM4" s="157">
        <f t="shared" ref="BM4:BM67" si="41">BL4*1000</f>
        <v>-3.4861400902104256</v>
      </c>
      <c r="BN4" s="117">
        <f t="shared" ref="BN4:BN67" si="42">BI4*1000</f>
        <v>-2.9078449504234598</v>
      </c>
      <c r="BO4" s="161">
        <f t="shared" ref="BO4:BO67" si="43">AL4*1000</f>
        <v>26.206389627676096</v>
      </c>
      <c r="BP4" s="161">
        <f t="shared" ref="BP4:BP67" si="44">BC4/BB4</f>
        <v>6.6709730751200906</v>
      </c>
    </row>
    <row r="5" spans="1:68" ht="15.75">
      <c r="A5" s="67">
        <v>3</v>
      </c>
      <c r="B5" s="134">
        <v>1</v>
      </c>
      <c r="C5" s="66" t="s">
        <v>415</v>
      </c>
      <c r="D5" s="66" t="s">
        <v>416</v>
      </c>
      <c r="E5" s="66" t="s">
        <v>410</v>
      </c>
      <c r="F5" s="66" t="s">
        <v>411</v>
      </c>
      <c r="G5" s="66">
        <v>1</v>
      </c>
      <c r="H5" s="66" t="s">
        <v>412</v>
      </c>
      <c r="I5" s="66">
        <v>100</v>
      </c>
      <c r="J5" s="66">
        <v>11.63</v>
      </c>
      <c r="K5" s="66">
        <v>30</v>
      </c>
      <c r="L5" s="66" t="s">
        <v>64</v>
      </c>
      <c r="M5" s="66">
        <v>1</v>
      </c>
      <c r="N5"/>
      <c r="O5"/>
      <c r="P5"/>
      <c r="Q5" s="66">
        <v>11.63</v>
      </c>
      <c r="R5">
        <v>6.1234282018111275</v>
      </c>
      <c r="S5" s="55">
        <v>5.5065717981888742</v>
      </c>
      <c r="T5" s="80">
        <v>110</v>
      </c>
      <c r="U5" s="80" t="s">
        <v>190</v>
      </c>
      <c r="V5" s="81">
        <v>0.83952281250000005</v>
      </c>
      <c r="W5" s="81">
        <v>9.4507451241286784</v>
      </c>
      <c r="X5" s="81">
        <v>0.57450674999999995</v>
      </c>
      <c r="Y5" s="81">
        <v>-29.632294259474516</v>
      </c>
      <c r="Z5" s="69" t="s">
        <v>54</v>
      </c>
      <c r="AA5" s="73">
        <v>5.5661983611111108</v>
      </c>
      <c r="AB5" s="73">
        <v>3.0248816727959098</v>
      </c>
      <c r="AC5" s="73">
        <v>3.9982883888888887</v>
      </c>
      <c r="AD5" s="73">
        <v>-25.508901929003891</v>
      </c>
      <c r="AE5" s="73">
        <v>2.2461111111111109</v>
      </c>
      <c r="AF5" s="73">
        <v>2.2461111111111109</v>
      </c>
      <c r="AG5" s="32">
        <f t="shared" si="13"/>
        <v>1.1379460310984945E-2</v>
      </c>
      <c r="AH5" s="32">
        <f t="shared" si="14"/>
        <v>0.25846953038557846</v>
      </c>
      <c r="AI5" s="33">
        <f t="shared" si="15"/>
        <v>9.5533165250102064E-3</v>
      </c>
      <c r="AJ5" s="34">
        <f t="shared" si="16"/>
        <v>0.14849248987584493</v>
      </c>
      <c r="AK5" s="16">
        <f t="shared" si="4"/>
        <v>8.9117342522412966E-4</v>
      </c>
      <c r="AL5" s="16">
        <f t="shared" si="5"/>
        <v>1.3852002126829428E-2</v>
      </c>
      <c r="AM5" s="27">
        <f t="shared" si="17"/>
        <v>0.89117342522412968</v>
      </c>
      <c r="AN5" s="27">
        <f t="shared" si="18"/>
        <v>13.852002126829428</v>
      </c>
      <c r="AO5" s="29" t="e">
        <f t="shared" si="19"/>
        <v>#VALUE!</v>
      </c>
      <c r="AP5" s="29" t="e">
        <f t="shared" si="20"/>
        <v>#VALUE!</v>
      </c>
      <c r="AQ5" s="27">
        <f t="shared" si="21"/>
        <v>15.543553852434119</v>
      </c>
      <c r="AR5" s="14">
        <f t="shared" si="22"/>
        <v>8.4058634513327686</v>
      </c>
      <c r="AS5" s="25">
        <v>0.36849740461643371</v>
      </c>
      <c r="AT5" s="22">
        <f t="shared" si="23"/>
        <v>0.36932095955670058</v>
      </c>
      <c r="AU5" s="22">
        <f t="shared" si="24"/>
        <v>8.2355494026686848E-4</v>
      </c>
      <c r="AV5" s="115">
        <f t="shared" si="25"/>
        <v>-6.9680176745042204E-4</v>
      </c>
      <c r="AW5" s="163">
        <f t="shared" si="26"/>
        <v>7.339302769778787E-6</v>
      </c>
      <c r="AX5" s="116">
        <f t="shared" si="27"/>
        <v>8.2355494026686848</v>
      </c>
      <c r="AY5" s="115">
        <f t="shared" si="28"/>
        <v>-6.784535105259751E-4</v>
      </c>
      <c r="AZ5" s="157">
        <f t="shared" si="29"/>
        <v>-0.67845351052597513</v>
      </c>
      <c r="BA5" s="117">
        <f t="shared" si="30"/>
        <v>-0.69680176745042199</v>
      </c>
      <c r="BB5" s="118">
        <f t="shared" si="31"/>
        <v>45.841928574069584</v>
      </c>
      <c r="BC5" s="118">
        <f t="shared" si="32"/>
        <v>298.4503969105013</v>
      </c>
      <c r="BD5" s="117">
        <f t="shared" si="33"/>
        <v>0.89117342522412968</v>
      </c>
      <c r="BE5" s="14">
        <f t="shared" si="34"/>
        <v>-30.153392330470627</v>
      </c>
      <c r="BF5" s="25">
        <v>1.0808848989999</v>
      </c>
      <c r="BG5" s="22">
        <f t="shared" si="35"/>
        <v>1.07806767223087</v>
      </c>
      <c r="BH5" s="38">
        <f t="shared" si="36"/>
        <v>-2.8172267690300679E-3</v>
      </c>
      <c r="BI5" s="115">
        <f t="shared" si="37"/>
        <v>-3.5543344612788946E-3</v>
      </c>
      <c r="BJ5" s="163">
        <f t="shared" si="38"/>
        <v>-3.90242311963653E-4</v>
      </c>
      <c r="BK5" s="116">
        <f t="shared" si="39"/>
        <v>-28.172267690300679</v>
      </c>
      <c r="BL5" s="115">
        <f t="shared" si="40"/>
        <v>-4.9742320488478887E-3</v>
      </c>
      <c r="BM5" s="157">
        <f t="shared" si="41"/>
        <v>-4.9742320488478891</v>
      </c>
      <c r="BN5" s="117">
        <f t="shared" si="42"/>
        <v>-3.5543344612788945</v>
      </c>
      <c r="BO5" s="161">
        <f t="shared" si="43"/>
        <v>13.852002126829428</v>
      </c>
      <c r="BP5" s="161">
        <f t="shared" si="44"/>
        <v>6.5104241072291904</v>
      </c>
    </row>
    <row r="6" spans="1:68" ht="15.75">
      <c r="A6" s="67">
        <v>4</v>
      </c>
      <c r="B6" s="134">
        <v>1</v>
      </c>
      <c r="C6" s="66" t="s">
        <v>417</v>
      </c>
      <c r="D6" s="66" t="s">
        <v>418</v>
      </c>
      <c r="E6" s="66" t="s">
        <v>410</v>
      </c>
      <c r="F6" s="66" t="s">
        <v>411</v>
      </c>
      <c r="G6" s="66">
        <v>1</v>
      </c>
      <c r="H6" s="66" t="s">
        <v>412</v>
      </c>
      <c r="I6" s="66">
        <v>100</v>
      </c>
      <c r="J6" s="66">
        <v>5.33</v>
      </c>
      <c r="K6" s="66">
        <v>30</v>
      </c>
      <c r="L6" s="66" t="s">
        <v>65</v>
      </c>
      <c r="M6" s="66">
        <v>1</v>
      </c>
      <c r="N6"/>
      <c r="O6"/>
      <c r="P6"/>
      <c r="Q6" s="66">
        <v>5.33</v>
      </c>
      <c r="R6">
        <v>3.5284848484848479</v>
      </c>
      <c r="S6" s="55">
        <v>1.8015151515151517</v>
      </c>
      <c r="T6" s="82">
        <v>111</v>
      </c>
      <c r="U6" s="82" t="s">
        <v>191</v>
      </c>
      <c r="V6" s="83">
        <v>6.6161595000000002</v>
      </c>
      <c r="W6" s="83">
        <v>1.7708651047615154</v>
      </c>
      <c r="X6" s="83">
        <v>2.3699857500000001</v>
      </c>
      <c r="Y6" s="83">
        <v>-27.817652876228813</v>
      </c>
      <c r="Z6" s="69" t="s">
        <v>54</v>
      </c>
      <c r="AA6" s="73">
        <v>5.5661983611111108</v>
      </c>
      <c r="AB6" s="73">
        <v>3.0248816727959098</v>
      </c>
      <c r="AC6" s="73">
        <v>3.9982883888888887</v>
      </c>
      <c r="AD6" s="73">
        <v>-25.508901929003891</v>
      </c>
      <c r="AE6" s="73">
        <v>2.2461111111111109</v>
      </c>
      <c r="AF6" s="73">
        <v>2.2461111111111109</v>
      </c>
      <c r="AG6" s="32">
        <f t="shared" si="13"/>
        <v>1.1379460310984945E-2</v>
      </c>
      <c r="AH6" s="32">
        <f t="shared" si="14"/>
        <v>0.25846953038557846</v>
      </c>
      <c r="AI6" s="33">
        <f t="shared" si="15"/>
        <v>7.5288324441396007E-2</v>
      </c>
      <c r="AJ6" s="34">
        <f t="shared" si="16"/>
        <v>0.61256910382301299</v>
      </c>
      <c r="AK6" s="16">
        <f t="shared" si="4"/>
        <v>5.0722415762161173E-3</v>
      </c>
      <c r="AL6" s="16">
        <f t="shared" si="5"/>
        <v>4.1269326947700649E-2</v>
      </c>
      <c r="AM6" s="27">
        <f t="shared" si="17"/>
        <v>5.0722415762161175</v>
      </c>
      <c r="AN6" s="27">
        <f t="shared" si="18"/>
        <v>41.269326947700648</v>
      </c>
      <c r="AO6" s="29" t="e">
        <f t="shared" si="19"/>
        <v>#VALUE!</v>
      </c>
      <c r="AP6" s="29" t="e">
        <f t="shared" si="20"/>
        <v>#VALUE!</v>
      </c>
      <c r="AQ6" s="27">
        <f t="shared" si="21"/>
        <v>8.1363094260363464</v>
      </c>
      <c r="AR6" s="14">
        <f t="shared" si="22"/>
        <v>0.72598343196560555</v>
      </c>
      <c r="AS6" s="25">
        <v>0.36849740461643371</v>
      </c>
      <c r="AT6" s="22">
        <f t="shared" si="23"/>
        <v>0.36651857110855185</v>
      </c>
      <c r="AU6" s="22">
        <f t="shared" si="24"/>
        <v>-1.9788335078818609E-3</v>
      </c>
      <c r="AV6" s="115">
        <f t="shared" si="25"/>
        <v>1.3905058145958287E-2</v>
      </c>
      <c r="AW6" s="163">
        <f t="shared" si="26"/>
        <v>-1.0037121591087958E-4</v>
      </c>
      <c r="AX6" s="116">
        <f t="shared" si="27"/>
        <v>-19.788335078818609</v>
      </c>
      <c r="AY6" s="115">
        <f t="shared" si="28"/>
        <v>1.3654130106181087E-2</v>
      </c>
      <c r="AZ6" s="157">
        <f t="shared" si="29"/>
        <v>13.654130106181087</v>
      </c>
      <c r="BA6" s="117">
        <f t="shared" si="30"/>
        <v>13.905058145958288</v>
      </c>
      <c r="BB6" s="118">
        <f t="shared" si="31"/>
        <v>26.778196873877089</v>
      </c>
      <c r="BC6" s="118">
        <f t="shared" si="32"/>
        <v>188.20457525637494</v>
      </c>
      <c r="BD6" s="117">
        <f t="shared" si="33"/>
        <v>5.0722415762161175</v>
      </c>
      <c r="BE6" s="14">
        <f t="shared" si="34"/>
        <v>-28.338750947224923</v>
      </c>
      <c r="BF6" s="25">
        <v>1.0808848989999</v>
      </c>
      <c r="BG6" s="22">
        <f t="shared" si="35"/>
        <v>1.0800630154705135</v>
      </c>
      <c r="BH6" s="38">
        <f t="shared" si="36"/>
        <v>-8.2188352938650233E-4</v>
      </c>
      <c r="BI6" s="115">
        <f t="shared" si="37"/>
        <v>-8.0336375589366224E-3</v>
      </c>
      <c r="BJ6" s="163">
        <f t="shared" si="38"/>
        <v>-3.3918580087181704E-4</v>
      </c>
      <c r="BK6" s="116">
        <f t="shared" si="39"/>
        <v>-8.2188352938650233</v>
      </c>
      <c r="BL6" s="115">
        <f t="shared" si="40"/>
        <v>-9.8858067559832417E-3</v>
      </c>
      <c r="BM6" s="157">
        <f t="shared" si="41"/>
        <v>-9.885806755983241</v>
      </c>
      <c r="BN6" s="117">
        <f t="shared" si="42"/>
        <v>-8.033637558936622</v>
      </c>
      <c r="BO6" s="161">
        <f t="shared" si="43"/>
        <v>41.269326947700648</v>
      </c>
      <c r="BP6" s="161">
        <f t="shared" si="44"/>
        <v>7.0282766290352425</v>
      </c>
    </row>
    <row r="7" spans="1:68" ht="15.75">
      <c r="A7" s="67">
        <v>5</v>
      </c>
      <c r="B7" s="134">
        <v>1</v>
      </c>
      <c r="C7" s="66" t="s">
        <v>419</v>
      </c>
      <c r="D7" s="66" t="s">
        <v>420</v>
      </c>
      <c r="E7" s="66" t="s">
        <v>410</v>
      </c>
      <c r="F7" s="66" t="s">
        <v>411</v>
      </c>
      <c r="G7" s="66">
        <v>1</v>
      </c>
      <c r="H7" s="66" t="s">
        <v>412</v>
      </c>
      <c r="I7" s="66">
        <v>100</v>
      </c>
      <c r="J7" s="66">
        <v>8.89</v>
      </c>
      <c r="K7" s="66">
        <v>30</v>
      </c>
      <c r="L7" s="66" t="s">
        <v>66</v>
      </c>
      <c r="M7" s="66">
        <v>1</v>
      </c>
      <c r="N7"/>
      <c r="O7"/>
      <c r="P7"/>
      <c r="Q7" s="66">
        <v>8.89</v>
      </c>
      <c r="R7">
        <v>5.4166103484688479</v>
      </c>
      <c r="S7" s="55">
        <v>3.4733896515311522</v>
      </c>
      <c r="T7" s="80">
        <v>112</v>
      </c>
      <c r="U7" s="80" t="s">
        <v>192</v>
      </c>
      <c r="V7" s="81">
        <v>4.0043597499999999</v>
      </c>
      <c r="W7" s="81">
        <v>1.8241389295614003</v>
      </c>
      <c r="X7" s="81">
        <v>3.06855725</v>
      </c>
      <c r="Y7" s="81">
        <v>-28.00192881326263</v>
      </c>
      <c r="Z7" s="69" t="s">
        <v>54</v>
      </c>
      <c r="AA7" s="73">
        <v>5.5661983611111108</v>
      </c>
      <c r="AB7" s="73">
        <v>3.0248816727959098</v>
      </c>
      <c r="AC7" s="73">
        <v>3.9982883888888887</v>
      </c>
      <c r="AD7" s="73">
        <v>-25.508901929003891</v>
      </c>
      <c r="AE7" s="73">
        <v>2.2461111111111109</v>
      </c>
      <c r="AF7" s="73">
        <v>2.2461111111111109</v>
      </c>
      <c r="AG7" s="32">
        <f t="shared" si="13"/>
        <v>1.1379460310984945E-2</v>
      </c>
      <c r="AH7" s="32">
        <f t="shared" si="14"/>
        <v>0.25846953038557846</v>
      </c>
      <c r="AI7" s="33">
        <f t="shared" si="15"/>
        <v>4.5567452846030594E-2</v>
      </c>
      <c r="AJ7" s="34">
        <f t="shared" si="16"/>
        <v>0.79312855136876204</v>
      </c>
      <c r="AK7" s="16">
        <f t="shared" si="4"/>
        <v>3.4669171229475626E-3</v>
      </c>
      <c r="AL7" s="16">
        <f t="shared" si="5"/>
        <v>6.0343749402233388E-2</v>
      </c>
      <c r="AM7" s="27">
        <f t="shared" si="17"/>
        <v>3.4669171229475628</v>
      </c>
      <c r="AN7" s="27">
        <f t="shared" si="18"/>
        <v>60.343749402233385</v>
      </c>
      <c r="AO7" s="29" t="e">
        <f t="shared" si="19"/>
        <v>#VALUE!</v>
      </c>
      <c r="AP7" s="29" t="e">
        <f t="shared" si="20"/>
        <v>#VALUE!</v>
      </c>
      <c r="AQ7" s="27">
        <f t="shared" si="21"/>
        <v>17.405593287136124</v>
      </c>
      <c r="AR7" s="14">
        <f t="shared" si="22"/>
        <v>0.77925725676549051</v>
      </c>
      <c r="AS7" s="25">
        <v>0.36849740461643371</v>
      </c>
      <c r="AT7" s="22">
        <f t="shared" si="23"/>
        <v>0.3665380112718104</v>
      </c>
      <c r="AU7" s="22">
        <f t="shared" si="24"/>
        <v>-1.9593933446233058E-3</v>
      </c>
      <c r="AV7" s="115">
        <f t="shared" si="25"/>
        <v>6.8039242598544819E-3</v>
      </c>
      <c r="AW7" s="163">
        <f t="shared" si="26"/>
        <v>-6.7930543370640334E-5</v>
      </c>
      <c r="AX7" s="116">
        <f t="shared" si="27"/>
        <v>-19.593933446233059</v>
      </c>
      <c r="AY7" s="115">
        <f t="shared" si="28"/>
        <v>6.6340979014278822E-3</v>
      </c>
      <c r="AZ7" s="157">
        <f t="shared" si="29"/>
        <v>6.6340979014278822</v>
      </c>
      <c r="BA7" s="117">
        <f t="shared" si="30"/>
        <v>6.8039242598544822</v>
      </c>
      <c r="BB7" s="118">
        <f t="shared" si="31"/>
        <v>44.257832178249465</v>
      </c>
      <c r="BC7" s="118">
        <f t="shared" si="32"/>
        <v>450.83936728456865</v>
      </c>
      <c r="BD7" s="117">
        <f t="shared" si="33"/>
        <v>3.4669171229475628</v>
      </c>
      <c r="BE7" s="14">
        <f t="shared" si="34"/>
        <v>-28.523026884258741</v>
      </c>
      <c r="BF7" s="25">
        <v>1.0808848989999</v>
      </c>
      <c r="BG7" s="22">
        <f t="shared" si="35"/>
        <v>1.0798603930212383</v>
      </c>
      <c r="BH7" s="38">
        <f t="shared" si="36"/>
        <v>-1.0245059786617716E-3</v>
      </c>
      <c r="BI7" s="115">
        <f t="shared" si="37"/>
        <v>-1.3023464802304595E-2</v>
      </c>
      <c r="BJ7" s="163">
        <f t="shared" si="38"/>
        <v>-6.1822532037455818E-4</v>
      </c>
      <c r="BK7" s="116">
        <f t="shared" si="39"/>
        <v>-10.245059786617716</v>
      </c>
      <c r="BL7" s="115">
        <f t="shared" si="40"/>
        <v>-1.6196961203529061E-2</v>
      </c>
      <c r="BM7" s="157">
        <f t="shared" si="41"/>
        <v>-16.19696120352906</v>
      </c>
      <c r="BN7" s="117">
        <f t="shared" si="42"/>
        <v>-13.023464802304595</v>
      </c>
      <c r="BO7" s="161">
        <f t="shared" si="43"/>
        <v>60.343749402233385</v>
      </c>
      <c r="BP7" s="161">
        <f t="shared" si="44"/>
        <v>10.186657255800565</v>
      </c>
    </row>
    <row r="8" spans="1:68" ht="15.75">
      <c r="A8" s="67">
        <v>6</v>
      </c>
      <c r="B8" s="134">
        <v>1</v>
      </c>
      <c r="C8" s="66" t="s">
        <v>421</v>
      </c>
      <c r="D8" s="66" t="s">
        <v>422</v>
      </c>
      <c r="E8" s="66" t="s">
        <v>410</v>
      </c>
      <c r="F8" s="66" t="s">
        <v>411</v>
      </c>
      <c r="G8" s="66">
        <v>1</v>
      </c>
      <c r="H8" s="66" t="s">
        <v>412</v>
      </c>
      <c r="I8" s="66">
        <v>100</v>
      </c>
      <c r="J8" s="66">
        <v>10.89</v>
      </c>
      <c r="K8" s="66">
        <v>30</v>
      </c>
      <c r="L8" s="66" t="s">
        <v>67</v>
      </c>
      <c r="M8" s="66">
        <v>1</v>
      </c>
      <c r="N8"/>
      <c r="O8"/>
      <c r="P8"/>
      <c r="Q8" s="66">
        <v>10.89</v>
      </c>
      <c r="R8">
        <v>7.2437219730941695</v>
      </c>
      <c r="S8" s="55">
        <v>3.6462780269058306</v>
      </c>
      <c r="T8" s="82">
        <v>113</v>
      </c>
      <c r="U8" s="82" t="s">
        <v>193</v>
      </c>
      <c r="V8" s="83">
        <v>8.1192659999999997</v>
      </c>
      <c r="W8" s="83">
        <v>2.1984388108644697</v>
      </c>
      <c r="X8" s="83">
        <v>6.8126620000000004</v>
      </c>
      <c r="Y8" s="83">
        <v>-27.495327384154173</v>
      </c>
      <c r="Z8" s="69" t="s">
        <v>54</v>
      </c>
      <c r="AA8" s="73">
        <v>5.5661983611111108</v>
      </c>
      <c r="AB8" s="73">
        <v>3.0248816727959098</v>
      </c>
      <c r="AC8" s="73">
        <v>3.9982883888888887</v>
      </c>
      <c r="AD8" s="73">
        <v>-25.508901929003891</v>
      </c>
      <c r="AE8" s="73">
        <v>2.2461111111111109</v>
      </c>
      <c r="AF8" s="73">
        <v>2.2461111111111109</v>
      </c>
      <c r="AG8" s="32">
        <f t="shared" si="13"/>
        <v>1.1379460310984945E-2</v>
      </c>
      <c r="AH8" s="32">
        <f t="shared" si="14"/>
        <v>0.25846953038557846</v>
      </c>
      <c r="AI8" s="33">
        <f t="shared" si="15"/>
        <v>9.2392865201329485E-2</v>
      </c>
      <c r="AJ8" s="34">
        <f t="shared" si="16"/>
        <v>1.7608655478156758</v>
      </c>
      <c r="AK8" s="16">
        <f t="shared" si="4"/>
        <v>6.1802867883735775E-3</v>
      </c>
      <c r="AL8" s="16">
        <f t="shared" si="5"/>
        <v>0.11778673664414974</v>
      </c>
      <c r="AM8" s="27">
        <f t="shared" si="17"/>
        <v>6.1802867883735777</v>
      </c>
      <c r="AN8" s="27">
        <f t="shared" si="18"/>
        <v>117.78673664414974</v>
      </c>
      <c r="AO8" s="29" t="e">
        <f t="shared" si="19"/>
        <v>#VALUE!</v>
      </c>
      <c r="AP8" s="29" t="e">
        <f t="shared" si="20"/>
        <v>#VALUE!</v>
      </c>
      <c r="AQ8" s="27">
        <f t="shared" si="21"/>
        <v>19.058458074426486</v>
      </c>
      <c r="AR8" s="14">
        <f t="shared" si="22"/>
        <v>1.1535571380685599</v>
      </c>
      <c r="AS8" s="25">
        <v>0.36849740461643371</v>
      </c>
      <c r="AT8" s="22">
        <f t="shared" si="23"/>
        <v>0.36667459691086712</v>
      </c>
      <c r="AU8" s="22">
        <f t="shared" si="24"/>
        <v>-1.822807705566587E-3</v>
      </c>
      <c r="AV8" s="115">
        <f t="shared" si="25"/>
        <v>2.8163685951146828E-4</v>
      </c>
      <c r="AW8" s="163">
        <f t="shared" si="26"/>
        <v>-1.1265474380458731E-4</v>
      </c>
      <c r="AX8" s="116">
        <f t="shared" si="27"/>
        <v>-18.228077055665871</v>
      </c>
      <c r="AY8" s="115">
        <f t="shared" ref="AY8" si="45">1000*((AK104*AU104/100)-0)/0.4</f>
        <v>0</v>
      </c>
      <c r="AZ8" s="157"/>
      <c r="BA8" s="117"/>
      <c r="BB8" s="118"/>
      <c r="BC8" s="118">
        <f t="shared" si="32"/>
        <v>1784.1662627640649</v>
      </c>
      <c r="BD8" s="117">
        <f t="shared" si="33"/>
        <v>6.1802867883735777</v>
      </c>
      <c r="BE8" s="14">
        <f t="shared" si="34"/>
        <v>-28.016425455150284</v>
      </c>
      <c r="BF8" s="25">
        <v>1.0808848989999</v>
      </c>
      <c r="BG8" s="22">
        <f t="shared" si="35"/>
        <v>1.0804174296927125</v>
      </c>
      <c r="BH8" s="38">
        <f t="shared" si="36"/>
        <v>-4.6746930718755131E-4</v>
      </c>
      <c r="BI8" s="115">
        <f t="shared" si="37"/>
        <v>-1.1130236795236994E-2</v>
      </c>
      <c r="BJ8" s="163">
        <f t="shared" si="38"/>
        <v>-5.5061684174923236E-4</v>
      </c>
      <c r="BK8" s="116">
        <f t="shared" si="39"/>
        <v>-4.6746930718755131</v>
      </c>
      <c r="BL8" s="115">
        <f t="shared" ref="BL8" si="46">1000*((AL104*BH104/100)-0)/0.4</f>
        <v>-1.3898058499014699E-2</v>
      </c>
      <c r="BM8" s="157">
        <f t="shared" si="41"/>
        <v>-13.898058499014699</v>
      </c>
      <c r="BN8" s="117">
        <f t="shared" si="42"/>
        <v>-11.130236795236994</v>
      </c>
      <c r="BO8" s="161">
        <f t="shared" si="43"/>
        <v>117.78673664414974</v>
      </c>
      <c r="BP8" s="161"/>
    </row>
    <row r="9" spans="1:68" ht="15.75">
      <c r="A9" s="67">
        <v>7</v>
      </c>
      <c r="B9" s="134">
        <v>1</v>
      </c>
      <c r="C9" s="66" t="s">
        <v>423</v>
      </c>
      <c r="D9" s="66" t="s">
        <v>424</v>
      </c>
      <c r="E9" s="66" t="s">
        <v>410</v>
      </c>
      <c r="F9" s="66" t="s">
        <v>411</v>
      </c>
      <c r="G9" s="66">
        <v>1</v>
      </c>
      <c r="H9" s="66" t="s">
        <v>412</v>
      </c>
      <c r="I9" s="66">
        <v>100</v>
      </c>
      <c r="J9" s="66">
        <v>7.66</v>
      </c>
      <c r="K9" s="66">
        <v>30</v>
      </c>
      <c r="L9" s="66" t="s">
        <v>68</v>
      </c>
      <c r="M9" s="66">
        <v>1</v>
      </c>
      <c r="N9"/>
      <c r="O9"/>
      <c r="P9"/>
      <c r="Q9" s="66">
        <v>7.66</v>
      </c>
      <c r="R9">
        <v>4.6774893617021274</v>
      </c>
      <c r="S9" s="55">
        <v>2.9825106382978723</v>
      </c>
      <c r="T9" s="80">
        <v>114</v>
      </c>
      <c r="U9" s="80" t="s">
        <v>194</v>
      </c>
      <c r="V9" s="81">
        <v>4.5341690000000003</v>
      </c>
      <c r="W9" s="81">
        <v>8.585659962562513</v>
      </c>
      <c r="X9" s="81">
        <v>3.61554625</v>
      </c>
      <c r="Y9" s="81">
        <v>-28.099042804032475</v>
      </c>
      <c r="Z9" s="69" t="s">
        <v>54</v>
      </c>
      <c r="AA9" s="73">
        <v>5.5661983611111108</v>
      </c>
      <c r="AB9" s="73">
        <v>3.0248816727959098</v>
      </c>
      <c r="AC9" s="73">
        <v>3.9982883888888887</v>
      </c>
      <c r="AD9" s="73">
        <v>-25.508901929003891</v>
      </c>
      <c r="AE9" s="73">
        <v>2.2461111111111109</v>
      </c>
      <c r="AF9" s="73">
        <v>2.2461111111111109</v>
      </c>
      <c r="AG9" s="32">
        <f t="shared" si="13"/>
        <v>1.1379460310984945E-2</v>
      </c>
      <c r="AH9" s="32">
        <f t="shared" si="14"/>
        <v>0.25846953038557846</v>
      </c>
      <c r="AI9" s="33">
        <f t="shared" si="15"/>
        <v>5.1596396178798305E-2</v>
      </c>
      <c r="AJ9" s="34">
        <f t="shared" si="16"/>
        <v>0.93450854132483929</v>
      </c>
      <c r="AK9" s="16">
        <f t="shared" si="4"/>
        <v>3.9131761561852843E-3</v>
      </c>
      <c r="AL9" s="16">
        <f t="shared" si="5"/>
        <v>7.087503803543789E-2</v>
      </c>
      <c r="AM9" s="27">
        <f t="shared" si="17"/>
        <v>3.9131761561852842</v>
      </c>
      <c r="AN9" s="27">
        <f t="shared" si="18"/>
        <v>70.875038035437896</v>
      </c>
      <c r="AO9" s="29" t="e">
        <f t="shared" si="19"/>
        <v>#VALUE!</v>
      </c>
      <c r="AP9" s="29" t="e">
        <f t="shared" si="20"/>
        <v>#VALUE!</v>
      </c>
      <c r="AQ9" s="27">
        <f t="shared" si="21"/>
        <v>18.111895607717699</v>
      </c>
      <c r="AR9" s="14">
        <f t="shared" si="22"/>
        <v>7.5407782897666031</v>
      </c>
      <c r="AS9" s="25">
        <v>0.36849740461643371</v>
      </c>
      <c r="AT9" s="22">
        <f t="shared" si="23"/>
        <v>0.36900529783415781</v>
      </c>
      <c r="AU9" s="22">
        <f t="shared" si="24"/>
        <v>5.0789321772409801E-4</v>
      </c>
      <c r="AV9" s="115">
        <f t="shared" si="25"/>
        <v>-3.1521148637313301E-3</v>
      </c>
      <c r="AW9" s="163">
        <f t="shared" si="26"/>
        <v>1.9874756294861616E-5</v>
      </c>
      <c r="AX9" s="116">
        <f t="shared" si="27"/>
        <v>5.0789321772409801</v>
      </c>
      <c r="AY9" s="115">
        <f t="shared" si="28"/>
        <v>-3.1024279729941757E-3</v>
      </c>
      <c r="AZ9" s="157">
        <f t="shared" si="29"/>
        <v>-3.1024279729941759</v>
      </c>
      <c r="BA9" s="117">
        <f t="shared" si="30"/>
        <v>-3.1521148637313301</v>
      </c>
      <c r="BB9" s="118">
        <f t="shared" si="31"/>
        <v>79.572613667133567</v>
      </c>
      <c r="BC9" s="118">
        <f t="shared" si="32"/>
        <v>1098.1451530264128</v>
      </c>
      <c r="BD9" s="117">
        <f t="shared" si="33"/>
        <v>3.9131761561852842</v>
      </c>
      <c r="BE9" s="14">
        <f t="shared" si="34"/>
        <v>-28.620140875028586</v>
      </c>
      <c r="BF9" s="25">
        <v>1.0808848989999</v>
      </c>
      <c r="BG9" s="22">
        <f t="shared" si="35"/>
        <v>1.0797536100275746</v>
      </c>
      <c r="BH9" s="38">
        <f t="shared" si="36"/>
        <v>-1.1312889723253949E-3</v>
      </c>
      <c r="BI9" s="115">
        <f t="shared" si="37"/>
        <v>-2.1326262078454682E-2</v>
      </c>
      <c r="BJ9" s="163">
        <f t="shared" si="38"/>
        <v>-8.018014894263381E-4</v>
      </c>
      <c r="BK9" s="116">
        <f t="shared" si="39"/>
        <v>-11.312889723253949</v>
      </c>
      <c r="BL9" s="115">
        <f t="shared" si="40"/>
        <v>-2.599654856182736E-2</v>
      </c>
      <c r="BM9" s="157">
        <f t="shared" si="41"/>
        <v>-25.99654856182736</v>
      </c>
      <c r="BN9" s="117">
        <f t="shared" si="42"/>
        <v>-21.326262078454683</v>
      </c>
      <c r="BO9" s="161">
        <f t="shared" si="43"/>
        <v>70.875038035437896</v>
      </c>
      <c r="BP9" s="161">
        <f t="shared" si="44"/>
        <v>13.800541447842216</v>
      </c>
    </row>
    <row r="10" spans="1:68" ht="15.75">
      <c r="A10" s="67">
        <v>8</v>
      </c>
      <c r="B10" s="134">
        <v>1</v>
      </c>
      <c r="C10" s="66" t="s">
        <v>425</v>
      </c>
      <c r="D10" s="66" t="s">
        <v>426</v>
      </c>
      <c r="E10" s="66" t="s">
        <v>410</v>
      </c>
      <c r="F10" s="66" t="s">
        <v>411</v>
      </c>
      <c r="G10" s="66">
        <v>1</v>
      </c>
      <c r="H10" s="66" t="s">
        <v>412</v>
      </c>
      <c r="I10" s="66">
        <v>100</v>
      </c>
      <c r="J10" s="66">
        <v>13.98</v>
      </c>
      <c r="K10" s="66">
        <v>30</v>
      </c>
      <c r="L10" s="66" t="s">
        <v>69</v>
      </c>
      <c r="M10" s="66">
        <v>1</v>
      </c>
      <c r="N10"/>
      <c r="O10"/>
      <c r="P10"/>
      <c r="Q10" s="66">
        <v>13.98</v>
      </c>
      <c r="R10">
        <v>9.0278369905956133</v>
      </c>
      <c r="S10" s="55">
        <v>4.9521630094043871</v>
      </c>
      <c r="T10" s="82">
        <v>115</v>
      </c>
      <c r="U10" s="82" t="s">
        <v>195</v>
      </c>
      <c r="V10" s="83">
        <v>0.44312962500000003</v>
      </c>
      <c r="W10" s="83">
        <v>17.513499445103992</v>
      </c>
      <c r="X10" s="83">
        <v>0.26993946875000002</v>
      </c>
      <c r="Y10" s="83">
        <v>-40.396883395377493</v>
      </c>
      <c r="Z10" s="69" t="s">
        <v>54</v>
      </c>
      <c r="AA10" s="73">
        <v>5.5661983611111108</v>
      </c>
      <c r="AB10" s="73">
        <v>3.0248816727959098</v>
      </c>
      <c r="AC10" s="73">
        <v>3.9982883888888887</v>
      </c>
      <c r="AD10" s="73">
        <v>-25.508901929003891</v>
      </c>
      <c r="AE10" s="73">
        <v>2.2461111111111109</v>
      </c>
      <c r="AF10" s="73">
        <v>2.2461111111111109</v>
      </c>
      <c r="AG10" s="32">
        <f t="shared" si="13"/>
        <v>1.1379460310984945E-2</v>
      </c>
      <c r="AH10" s="32">
        <f t="shared" si="14"/>
        <v>0.25846953038557846</v>
      </c>
      <c r="AI10" s="33">
        <f t="shared" si="15"/>
        <v>5.0425759803091426E-3</v>
      </c>
      <c r="AJ10" s="34">
        <f t="shared" si="16"/>
        <v>6.9771127720345036E-2</v>
      </c>
      <c r="AK10" s="16">
        <f t="shared" si="4"/>
        <v>3.5249074813811473E-4</v>
      </c>
      <c r="AL10" s="16">
        <f t="shared" si="5"/>
        <v>4.8772050445289724E-3</v>
      </c>
      <c r="AM10" s="27">
        <f t="shared" si="17"/>
        <v>0.35249074813811471</v>
      </c>
      <c r="AN10" s="27">
        <f t="shared" si="18"/>
        <v>4.8772050445289725</v>
      </c>
      <c r="AO10" s="29" t="e">
        <f t="shared" si="19"/>
        <v>#VALUE!</v>
      </c>
      <c r="AP10" s="29" t="e">
        <f t="shared" si="20"/>
        <v>#VALUE!</v>
      </c>
      <c r="AQ10" s="27">
        <f t="shared" si="21"/>
        <v>13.836405835587948</v>
      </c>
      <c r="AR10" s="14">
        <f t="shared" si="22"/>
        <v>16.468617772308082</v>
      </c>
      <c r="AS10" s="25">
        <v>0.36849740461643371</v>
      </c>
      <c r="AT10" s="22">
        <f t="shared" si="23"/>
        <v>0.37226288922367612</v>
      </c>
      <c r="AU10" s="22">
        <f t="shared" si="24"/>
        <v>3.7654846072424086E-3</v>
      </c>
      <c r="AV10" s="115">
        <f t="shared" si="25"/>
        <v>-1.6062026837402549E-3</v>
      </c>
      <c r="AW10" s="163">
        <f t="shared" si="26"/>
        <v>1.3272984863094318E-5</v>
      </c>
      <c r="AX10" s="116">
        <f t="shared" si="27"/>
        <v>37.654846072424085</v>
      </c>
      <c r="AY10" s="115">
        <f t="shared" si="28"/>
        <v>-1.5730202215825187E-3</v>
      </c>
      <c r="AZ10" s="157">
        <f t="shared" si="29"/>
        <v>-1.5730202215825186</v>
      </c>
      <c r="BA10" s="117">
        <f t="shared" si="30"/>
        <v>-1.606202683740255</v>
      </c>
      <c r="BB10" s="118">
        <f t="shared" si="31"/>
        <v>54.041660055175655</v>
      </c>
      <c r="BC10" s="118">
        <f t="shared" si="32"/>
        <v>340.81003860092437</v>
      </c>
      <c r="BD10" s="117">
        <f t="shared" si="33"/>
        <v>0.35249074813811471</v>
      </c>
      <c r="BE10" s="14">
        <f t="shared" si="34"/>
        <v>-40.917981466373604</v>
      </c>
      <c r="BF10" s="25">
        <v>1.0808848989999</v>
      </c>
      <c r="BG10" s="22">
        <f t="shared" si="35"/>
        <v>1.0662294908081813</v>
      </c>
      <c r="BH10" s="38">
        <f t="shared" si="36"/>
        <v>-1.4655408191718733E-2</v>
      </c>
      <c r="BI10" s="115">
        <f t="shared" si="37"/>
        <v>6.6406393978571474E-4</v>
      </c>
      <c r="BJ10" s="163">
        <f t="shared" si="38"/>
        <v>-7.1477430762281833E-4</v>
      </c>
      <c r="BK10" s="116">
        <f t="shared" si="39"/>
        <v>-146.55408191718732</v>
      </c>
      <c r="BL10" s="115">
        <f t="shared" si="40"/>
        <v>-1.0398638367981165E-3</v>
      </c>
      <c r="BM10" s="157">
        <f t="shared" si="41"/>
        <v>-1.0398638367981166</v>
      </c>
      <c r="BN10" s="117">
        <f t="shared" si="42"/>
        <v>0.66406393978571476</v>
      </c>
      <c r="BO10" s="161">
        <f t="shared" si="43"/>
        <v>4.8772050445289725</v>
      </c>
      <c r="BP10" s="161">
        <f t="shared" si="44"/>
        <v>6.3064317094064632</v>
      </c>
    </row>
    <row r="11" spans="1:68" ht="15.75">
      <c r="A11" s="67">
        <v>9</v>
      </c>
      <c r="B11" s="134">
        <v>2</v>
      </c>
      <c r="C11" s="66" t="s">
        <v>408</v>
      </c>
      <c r="D11" s="66" t="s">
        <v>426</v>
      </c>
      <c r="E11" s="66" t="s">
        <v>410</v>
      </c>
      <c r="F11" s="66" t="s">
        <v>411</v>
      </c>
      <c r="G11" s="66">
        <v>2</v>
      </c>
      <c r="H11" s="66" t="s">
        <v>427</v>
      </c>
      <c r="I11" s="66">
        <v>100</v>
      </c>
      <c r="J11" s="66">
        <v>9.4</v>
      </c>
      <c r="K11" s="66">
        <v>30</v>
      </c>
      <c r="L11" s="66" t="s">
        <v>70</v>
      </c>
      <c r="M11" s="66">
        <v>1</v>
      </c>
      <c r="N11"/>
      <c r="O11"/>
      <c r="P11"/>
      <c r="Q11" s="66">
        <v>9.4</v>
      </c>
      <c r="R11">
        <v>5.2230897009966792</v>
      </c>
      <c r="S11" s="55">
        <v>4.1769102990033211</v>
      </c>
      <c r="T11" s="80">
        <v>116</v>
      </c>
      <c r="U11" s="80" t="s">
        <v>196</v>
      </c>
      <c r="V11" s="81">
        <v>8.551266</v>
      </c>
      <c r="W11" s="81">
        <v>1500.8046578897192</v>
      </c>
      <c r="X11" s="81">
        <v>4.3230719999999998</v>
      </c>
      <c r="Y11" s="81">
        <v>4.4493282834368184</v>
      </c>
      <c r="Z11" s="69" t="s">
        <v>54</v>
      </c>
      <c r="AA11" s="73">
        <v>5.5661983611111108</v>
      </c>
      <c r="AB11" s="73">
        <v>3.0248816727959098</v>
      </c>
      <c r="AC11" s="73">
        <v>3.9982883888888887</v>
      </c>
      <c r="AD11" s="73">
        <v>-25.508901929003891</v>
      </c>
      <c r="AE11" s="73">
        <v>2.2461111111111109</v>
      </c>
      <c r="AF11" s="73">
        <v>2.2461111111111109</v>
      </c>
      <c r="AG11" s="32">
        <f t="shared" si="13"/>
        <v>1.1379460310984945E-2</v>
      </c>
      <c r="AH11" s="32">
        <f t="shared" si="14"/>
        <v>0.25846953038557846</v>
      </c>
      <c r="AI11" s="33">
        <f t="shared" si="15"/>
        <v>9.7308792055674984E-2</v>
      </c>
      <c r="AJ11" s="34">
        <f t="shared" si="16"/>
        <v>1.1173823896630435</v>
      </c>
      <c r="AK11" s="16">
        <f t="shared" si="4"/>
        <v>8.4314892568419907E-3</v>
      </c>
      <c r="AL11" s="16">
        <f t="shared" si="5"/>
        <v>9.6817537400300552E-2</v>
      </c>
      <c r="AM11" s="27">
        <f t="shared" si="17"/>
        <v>8.4314892568419904</v>
      </c>
      <c r="AN11" s="27">
        <f t="shared" si="18"/>
        <v>96.817537400300552</v>
      </c>
      <c r="AO11" s="29" t="e">
        <f t="shared" si="19"/>
        <v>#VALUE!</v>
      </c>
      <c r="AP11" s="29" t="e">
        <f t="shared" si="20"/>
        <v>#VALUE!</v>
      </c>
      <c r="AQ11" s="27">
        <f t="shared" si="21"/>
        <v>11.482851303135444</v>
      </c>
      <c r="AR11" s="14">
        <f t="shared" si="22"/>
        <v>1499.7597762169232</v>
      </c>
      <c r="AS11" s="25">
        <v>0.36849740461643371</v>
      </c>
      <c r="AT11" s="22">
        <f t="shared" si="23"/>
        <v>0.91054459299561119</v>
      </c>
      <c r="AU11" s="22">
        <f t="shared" si="24"/>
        <v>0.54204718837917754</v>
      </c>
      <c r="AV11" s="115">
        <f t="shared" si="25"/>
        <v>0.31678570264036732</v>
      </c>
      <c r="AW11" s="163">
        <f t="shared" si="26"/>
        <v>4.570265045520442E-2</v>
      </c>
      <c r="AX11" s="116">
        <f t="shared" si="27"/>
        <v>5420.4718837917762</v>
      </c>
      <c r="AY11" s="115">
        <f t="shared" si="28"/>
        <v>0.43104232877837839</v>
      </c>
      <c r="AZ11" s="157">
        <f t="shared" si="29"/>
        <v>431.04232877837842</v>
      </c>
      <c r="BA11" s="117">
        <f t="shared" si="30"/>
        <v>316.78570264036733</v>
      </c>
      <c r="BB11" s="118">
        <f t="shared" si="31"/>
        <v>34.479225532996296</v>
      </c>
      <c r="BC11" s="118">
        <f t="shared" si="32"/>
        <v>232.89239318028575</v>
      </c>
      <c r="BD11" s="117">
        <f t="shared" si="33"/>
        <v>8.4314892568419904</v>
      </c>
      <c r="BE11" s="14">
        <f t="shared" si="34"/>
        <v>3.9282302124407078</v>
      </c>
      <c r="BF11" s="25">
        <v>1.0808848989999</v>
      </c>
      <c r="BG11" s="22">
        <f t="shared" si="35"/>
        <v>1.115529703827842</v>
      </c>
      <c r="BH11" s="38">
        <f t="shared" si="36"/>
        <v>3.4644804827941966E-2</v>
      </c>
      <c r="BI11" s="115">
        <f t="shared" si="37"/>
        <v>0.26878677152303498</v>
      </c>
      <c r="BJ11" s="163">
        <f t="shared" si="38"/>
        <v>3.3542246871553848E-2</v>
      </c>
      <c r="BK11" s="116">
        <f t="shared" si="39"/>
        <v>346.44804827941965</v>
      </c>
      <c r="BL11" s="115">
        <f t="shared" si="40"/>
        <v>0.38624073514229895</v>
      </c>
      <c r="BM11" s="157">
        <f t="shared" si="41"/>
        <v>386.24073514229894</v>
      </c>
      <c r="BN11" s="117">
        <f t="shared" si="42"/>
        <v>268.78677152303499</v>
      </c>
      <c r="BO11" s="161">
        <f t="shared" si="43"/>
        <v>96.817537400300552</v>
      </c>
      <c r="BP11" s="161">
        <f t="shared" si="44"/>
        <v>6.7545714725352495</v>
      </c>
    </row>
    <row r="12" spans="1:68" ht="15.75">
      <c r="A12" s="67">
        <v>10</v>
      </c>
      <c r="B12" s="134">
        <v>2</v>
      </c>
      <c r="C12" s="66" t="s">
        <v>413</v>
      </c>
      <c r="D12" s="66" t="s">
        <v>418</v>
      </c>
      <c r="E12" s="66" t="s">
        <v>410</v>
      </c>
      <c r="F12" s="66" t="s">
        <v>411</v>
      </c>
      <c r="G12" s="66">
        <v>2</v>
      </c>
      <c r="H12" s="66" t="s">
        <v>427</v>
      </c>
      <c r="I12" s="66">
        <v>100</v>
      </c>
      <c r="J12" s="66">
        <v>3.2</v>
      </c>
      <c r="K12" s="66">
        <v>30</v>
      </c>
      <c r="L12" s="66" t="s">
        <v>71</v>
      </c>
      <c r="M12" s="66">
        <v>1</v>
      </c>
      <c r="N12"/>
      <c r="O12"/>
      <c r="P12"/>
      <c r="Q12" s="66">
        <v>3.2</v>
      </c>
      <c r="R12">
        <v>2.4106666666666667</v>
      </c>
      <c r="S12" s="55">
        <v>0.78933333333333344</v>
      </c>
      <c r="T12" s="82">
        <v>117</v>
      </c>
      <c r="U12" s="82" t="s">
        <v>197</v>
      </c>
      <c r="V12" s="83">
        <v>2.77913575</v>
      </c>
      <c r="W12" s="83">
        <v>1336.0967960726825</v>
      </c>
      <c r="X12" s="83">
        <v>1.7598235</v>
      </c>
      <c r="Y12" s="83">
        <v>10.689453081557824</v>
      </c>
      <c r="Z12" s="69" t="s">
        <v>54</v>
      </c>
      <c r="AA12" s="73">
        <v>5.5661983611111108</v>
      </c>
      <c r="AB12" s="73">
        <v>3.0248816727959098</v>
      </c>
      <c r="AC12" s="73">
        <v>3.9982883888888887</v>
      </c>
      <c r="AD12" s="73">
        <v>-25.508901929003891</v>
      </c>
      <c r="AE12" s="73">
        <v>2.2461111111111109</v>
      </c>
      <c r="AF12" s="73">
        <v>2.2461111111111109</v>
      </c>
      <c r="AG12" s="32">
        <f t="shared" si="13"/>
        <v>1.1379460310984945E-2</v>
      </c>
      <c r="AH12" s="32">
        <f t="shared" si="14"/>
        <v>0.25846953038557846</v>
      </c>
      <c r="AI12" s="33">
        <f t="shared" si="15"/>
        <v>3.1625064965964379E-2</v>
      </c>
      <c r="AJ12" s="34">
        <f t="shared" si="16"/>
        <v>0.45486075360650502</v>
      </c>
      <c r="AK12" s="16">
        <f t="shared" si="4"/>
        <v>1.7445094833732563E-3</v>
      </c>
      <c r="AL12" s="16">
        <f t="shared" si="5"/>
        <v>2.5091138915757063E-2</v>
      </c>
      <c r="AM12" s="27">
        <f t="shared" si="17"/>
        <v>1.7445094833732564</v>
      </c>
      <c r="AN12" s="27">
        <f t="shared" si="18"/>
        <v>25.091138915757064</v>
      </c>
      <c r="AO12" s="29" t="e">
        <f t="shared" si="19"/>
        <v>#VALUE!</v>
      </c>
      <c r="AP12" s="29" t="e">
        <f t="shared" si="20"/>
        <v>#VALUE!</v>
      </c>
      <c r="AQ12" s="27">
        <f t="shared" si="21"/>
        <v>14.382919184388605</v>
      </c>
      <c r="AR12" s="14">
        <f t="shared" si="22"/>
        <v>1335.0519143998865</v>
      </c>
      <c r="AS12" s="25">
        <v>0.36849740461643371</v>
      </c>
      <c r="AT12" s="22">
        <f t="shared" si="23"/>
        <v>0.85105988285728884</v>
      </c>
      <c r="AU12" s="22">
        <f t="shared" si="24"/>
        <v>0.48256247824085513</v>
      </c>
      <c r="AV12" s="115">
        <f t="shared" si="25"/>
        <v>5.5781903067113753E-2</v>
      </c>
      <c r="AW12" s="163">
        <f t="shared" si="26"/>
        <v>8.4183481961127259E-3</v>
      </c>
      <c r="AX12" s="116">
        <f t="shared" si="27"/>
        <v>4825.6247824085513</v>
      </c>
      <c r="AY12" s="115">
        <f t="shared" si="28"/>
        <v>7.6827773557395548E-2</v>
      </c>
      <c r="AZ12" s="157">
        <f t="shared" si="29"/>
        <v>76.827773557395545</v>
      </c>
      <c r="BA12" s="117">
        <f t="shared" si="30"/>
        <v>55.781903067113753</v>
      </c>
      <c r="BB12" s="118">
        <f t="shared" si="31"/>
        <v>17.108747781020394</v>
      </c>
      <c r="BC12" s="118">
        <f t="shared" si="32"/>
        <v>123.64819298726148</v>
      </c>
      <c r="BD12" s="117">
        <f t="shared" si="33"/>
        <v>1.7445094833732564</v>
      </c>
      <c r="BE12" s="14">
        <f t="shared" si="34"/>
        <v>10.168355010561713</v>
      </c>
      <c r="BF12" s="25">
        <v>1.0808848989999</v>
      </c>
      <c r="BG12" s="22">
        <f t="shared" si="35"/>
        <v>1.1223856867486157</v>
      </c>
      <c r="BH12" s="38">
        <f t="shared" si="36"/>
        <v>4.1500787748715684E-2</v>
      </c>
      <c r="BI12" s="115">
        <f t="shared" si="37"/>
        <v>4.5738458896206466E-2</v>
      </c>
      <c r="BJ12" s="163">
        <f t="shared" si="38"/>
        <v>1.041302030516374E-2</v>
      </c>
      <c r="BK12" s="116">
        <f t="shared" si="39"/>
        <v>415.00787748715686</v>
      </c>
      <c r="BL12" s="115">
        <f t="shared" si="40"/>
        <v>7.7488317021141617E-2</v>
      </c>
      <c r="BM12" s="157">
        <f t="shared" si="41"/>
        <v>77.488317021141611</v>
      </c>
      <c r="BN12" s="117">
        <f t="shared" si="42"/>
        <v>45.738458896206467</v>
      </c>
      <c r="BO12" s="161">
        <f t="shared" si="43"/>
        <v>25.091138915757064</v>
      </c>
      <c r="BP12" s="161">
        <f t="shared" si="44"/>
        <v>7.2271912924235586</v>
      </c>
    </row>
    <row r="13" spans="1:68" ht="15.75">
      <c r="A13" s="67">
        <v>11</v>
      </c>
      <c r="B13" s="134">
        <v>2</v>
      </c>
      <c r="C13" s="66" t="s">
        <v>415</v>
      </c>
      <c r="D13" s="66" t="s">
        <v>416</v>
      </c>
      <c r="E13" s="66" t="s">
        <v>410</v>
      </c>
      <c r="F13" s="66" t="s">
        <v>411</v>
      </c>
      <c r="G13" s="66">
        <v>2</v>
      </c>
      <c r="H13" s="66" t="s">
        <v>427</v>
      </c>
      <c r="I13" s="66">
        <v>100</v>
      </c>
      <c r="J13" s="66">
        <v>7.69</v>
      </c>
      <c r="K13" s="66">
        <v>30</v>
      </c>
      <c r="L13" s="66" t="s">
        <v>72</v>
      </c>
      <c r="M13" s="66">
        <v>1</v>
      </c>
      <c r="N13"/>
      <c r="O13"/>
      <c r="P13"/>
      <c r="Q13" s="66">
        <v>7.69</v>
      </c>
      <c r="R13">
        <v>5.093131643499591</v>
      </c>
      <c r="S13" s="55">
        <v>2.596868356500408</v>
      </c>
      <c r="T13" s="80">
        <v>118</v>
      </c>
      <c r="U13" s="80" t="s">
        <v>198</v>
      </c>
      <c r="V13" s="81">
        <v>9.6817390000000003</v>
      </c>
      <c r="W13" s="81">
        <v>904.00242294424481</v>
      </c>
      <c r="X13" s="81">
        <v>4.4663744999999997</v>
      </c>
      <c r="Y13" s="81">
        <v>-16.872632699834167</v>
      </c>
      <c r="Z13" s="69" t="s">
        <v>54</v>
      </c>
      <c r="AA13" s="73">
        <v>5.5661983611111108</v>
      </c>
      <c r="AB13" s="73">
        <v>3.0248816727959098</v>
      </c>
      <c r="AC13" s="73">
        <v>3.9982883888888887</v>
      </c>
      <c r="AD13" s="73">
        <v>-25.508901929003891</v>
      </c>
      <c r="AE13" s="73">
        <v>2.2461111111111109</v>
      </c>
      <c r="AF13" s="73">
        <v>2.2461111111111109</v>
      </c>
      <c r="AG13" s="32">
        <f t="shared" si="13"/>
        <v>1.1379460310984945E-2</v>
      </c>
      <c r="AH13" s="32">
        <f t="shared" si="14"/>
        <v>0.25846953038557846</v>
      </c>
      <c r="AI13" s="33">
        <f t="shared" si="15"/>
        <v>0.11017296469181508</v>
      </c>
      <c r="AJ13" s="34">
        <f t="shared" si="16"/>
        <v>1.1544217195411228</v>
      </c>
      <c r="AK13" s="16">
        <f t="shared" si="4"/>
        <v>7.4174061825435988E-3</v>
      </c>
      <c r="AL13" s="16">
        <f t="shared" si="5"/>
        <v>7.7721561035772713E-2</v>
      </c>
      <c r="AM13" s="27">
        <f t="shared" si="17"/>
        <v>7.4174061825435986</v>
      </c>
      <c r="AN13" s="27">
        <f t="shared" si="18"/>
        <v>77.721561035772709</v>
      </c>
      <c r="AO13" s="29" t="e">
        <f t="shared" si="19"/>
        <v>#VALUE!</v>
      </c>
      <c r="AP13" s="29" t="e">
        <f t="shared" si="20"/>
        <v>#VALUE!</v>
      </c>
      <c r="AQ13" s="27">
        <f t="shared" si="21"/>
        <v>10.478266812283456</v>
      </c>
      <c r="AR13" s="14">
        <f t="shared" si="22"/>
        <v>902.95754127144892</v>
      </c>
      <c r="AS13" s="25">
        <v>0.36849740461643371</v>
      </c>
      <c r="AT13" s="22">
        <f t="shared" si="23"/>
        <v>0.69466780200112743</v>
      </c>
      <c r="AU13" s="22">
        <f t="shared" si="24"/>
        <v>0.32617039738469372</v>
      </c>
      <c r="AV13" s="115">
        <f t="shared" si="25"/>
        <v>0.37048934996686994</v>
      </c>
      <c r="AW13" s="163">
        <f t="shared" si="26"/>
        <v>2.4193383221239293E-2</v>
      </c>
      <c r="AX13" s="116">
        <f t="shared" si="27"/>
        <v>3261.7039738469371</v>
      </c>
      <c r="AY13" s="115">
        <f t="shared" si="28"/>
        <v>0.43097280801996818</v>
      </c>
      <c r="AZ13" s="157">
        <f t="shared" si="29"/>
        <v>430.97280801996817</v>
      </c>
      <c r="BA13" s="117">
        <f t="shared" si="30"/>
        <v>370.48934996686995</v>
      </c>
      <c r="BB13" s="118">
        <f t="shared" si="31"/>
        <v>45.747210406509929</v>
      </c>
      <c r="BC13" s="118">
        <f t="shared" si="32"/>
        <v>242.73457236617156</v>
      </c>
      <c r="BD13" s="117">
        <f t="shared" si="33"/>
        <v>7.4174061825435986</v>
      </c>
      <c r="BE13" s="14">
        <f t="shared" si="34"/>
        <v>-17.393730770830278</v>
      </c>
      <c r="BF13" s="25">
        <v>1.0808848989999</v>
      </c>
      <c r="BG13" s="22">
        <f t="shared" si="35"/>
        <v>1.0920962332302353</v>
      </c>
      <c r="BH13" s="38">
        <f t="shared" si="36"/>
        <v>1.1211334230335268E-2</v>
      </c>
      <c r="BI13" s="115">
        <f t="shared" si="37"/>
        <v>0.22822233351578725</v>
      </c>
      <c r="BJ13" s="163">
        <f t="shared" si="38"/>
        <v>8.7136239767545039E-3</v>
      </c>
      <c r="BK13" s="116">
        <f t="shared" si="39"/>
        <v>112.1133423033527</v>
      </c>
      <c r="BL13" s="115">
        <f t="shared" si="40"/>
        <v>0.2785341851471469</v>
      </c>
      <c r="BM13" s="157">
        <f t="shared" si="41"/>
        <v>278.5341851471469</v>
      </c>
      <c r="BN13" s="117">
        <f t="shared" si="42"/>
        <v>228.22233351578726</v>
      </c>
      <c r="BO13" s="161">
        <f t="shared" si="43"/>
        <v>77.721561035772709</v>
      </c>
      <c r="BP13" s="161">
        <f t="shared" si="44"/>
        <v>5.3059972446239021</v>
      </c>
    </row>
    <row r="14" spans="1:68" ht="15.75">
      <c r="A14" s="67">
        <v>12</v>
      </c>
      <c r="B14" s="134">
        <v>2</v>
      </c>
      <c r="C14" s="66" t="s">
        <v>417</v>
      </c>
      <c r="D14" s="66" t="s">
        <v>422</v>
      </c>
      <c r="E14" s="66" t="s">
        <v>410</v>
      </c>
      <c r="F14" s="66" t="s">
        <v>411</v>
      </c>
      <c r="G14" s="66">
        <v>2</v>
      </c>
      <c r="H14" s="66" t="s">
        <v>427</v>
      </c>
      <c r="I14" s="66">
        <v>100</v>
      </c>
      <c r="J14" s="66">
        <v>9.26</v>
      </c>
      <c r="K14" s="66">
        <v>30</v>
      </c>
      <c r="L14" s="66" t="s">
        <v>428</v>
      </c>
      <c r="M14" s="66">
        <v>1</v>
      </c>
      <c r="N14"/>
      <c r="O14"/>
      <c r="P14"/>
      <c r="Q14" s="66">
        <v>9.26</v>
      </c>
      <c r="R14">
        <v>6.4366017461383489</v>
      </c>
      <c r="S14" s="55">
        <v>2.8233982538616518</v>
      </c>
      <c r="T14" s="80">
        <v>120</v>
      </c>
      <c r="U14" s="80" t="s">
        <v>200</v>
      </c>
      <c r="V14" s="81">
        <v>19.606266000000002</v>
      </c>
      <c r="W14" s="81">
        <v>1313.5248097176705</v>
      </c>
      <c r="X14" s="81">
        <v>13.396355</v>
      </c>
      <c r="Y14" s="81">
        <v>30.36226315923669</v>
      </c>
      <c r="Z14" s="69" t="s">
        <v>54</v>
      </c>
      <c r="AA14" s="73">
        <v>5.5661983611111108</v>
      </c>
      <c r="AB14" s="73">
        <v>3.0248816727959098</v>
      </c>
      <c r="AC14" s="73">
        <v>3.9982883888888887</v>
      </c>
      <c r="AD14" s="73">
        <v>-25.508901929003891</v>
      </c>
      <c r="AE14" s="73">
        <v>2.2461111111111109</v>
      </c>
      <c r="AF14" s="73">
        <v>2.2461111111111109</v>
      </c>
      <c r="AG14" s="32">
        <f t="shared" si="13"/>
        <v>1.1379460310984945E-2</v>
      </c>
      <c r="AH14" s="32">
        <f t="shared" si="14"/>
        <v>0.25846953038557846</v>
      </c>
      <c r="AI14" s="33">
        <f t="shared" si="15"/>
        <v>0.22310872579361357</v>
      </c>
      <c r="AJ14" s="34">
        <f t="shared" si="16"/>
        <v>3.462549585728496</v>
      </c>
      <c r="AK14" s="16">
        <f t="shared" si="4"/>
        <v>1.3961360844347541E-2</v>
      </c>
      <c r="AL14" s="16">
        <f t="shared" si="5"/>
        <v>0.21667419790887171</v>
      </c>
      <c r="AM14" s="27">
        <f t="shared" si="17"/>
        <v>13.96136084434754</v>
      </c>
      <c r="AN14" s="27">
        <f t="shared" si="18"/>
        <v>216.67419790887172</v>
      </c>
      <c r="AO14" s="29" t="e">
        <f t="shared" si="19"/>
        <v>#VALUE!</v>
      </c>
      <c r="AP14" s="29" t="e">
        <f t="shared" si="20"/>
        <v>#VALUE!</v>
      </c>
      <c r="AQ14" s="27">
        <f t="shared" si="21"/>
        <v>15.519561475742202</v>
      </c>
      <c r="AR14" s="14">
        <f t="shared" si="22"/>
        <v>1312.4799280448744</v>
      </c>
      <c r="AS14" s="25">
        <v>0.36849740461643371</v>
      </c>
      <c r="AT14" s="22">
        <f t="shared" si="23"/>
        <v>0.84290238132438933</v>
      </c>
      <c r="AU14" s="22">
        <f t="shared" si="24"/>
        <v>0.47440497670795562</v>
      </c>
      <c r="AV14" s="115">
        <f t="shared" si="25"/>
        <v>4.3106631167751314E-3</v>
      </c>
      <c r="AW14" s="163">
        <f t="shared" si="26"/>
        <v>6.6233390661740582E-2</v>
      </c>
      <c r="AX14" s="116">
        <f t="shared" si="27"/>
        <v>4744.0497670795567</v>
      </c>
      <c r="AY14" s="115">
        <f t="shared" si="28"/>
        <v>0.16989413977112658</v>
      </c>
      <c r="AZ14" s="157">
        <f t="shared" si="29"/>
        <v>169.89413977112659</v>
      </c>
      <c r="BA14" s="117">
        <f t="shared" si="30"/>
        <v>4.3106631167751317</v>
      </c>
      <c r="BB14" s="118">
        <f t="shared" si="31"/>
        <v>-10.674475360201587</v>
      </c>
      <c r="BC14" s="118">
        <f t="shared" si="32"/>
        <v>-94.364259595917773</v>
      </c>
      <c r="BD14" s="117">
        <f t="shared" si="33"/>
        <v>13.96136084434754</v>
      </c>
      <c r="BE14" s="14">
        <f t="shared" si="34"/>
        <v>29.841165088240579</v>
      </c>
      <c r="BF14" s="25">
        <v>1.0808848989999</v>
      </c>
      <c r="BG14" s="22">
        <f t="shared" si="35"/>
        <v>1.143993848401081</v>
      </c>
      <c r="BH14" s="38">
        <f t="shared" si="36"/>
        <v>6.3108949401180947E-2</v>
      </c>
      <c r="BI14" s="115">
        <f t="shared" si="37"/>
        <v>-0.21779034086098389</v>
      </c>
      <c r="BJ14" s="163">
        <f t="shared" si="38"/>
        <v>0.1367408099237245</v>
      </c>
      <c r="BK14" s="116">
        <f t="shared" si="39"/>
        <v>631.08949401180951</v>
      </c>
      <c r="BL14" s="115">
        <f t="shared" si="40"/>
        <v>9.6837891340704418E-2</v>
      </c>
      <c r="BM14" s="157">
        <f t="shared" si="41"/>
        <v>96.837891340704417</v>
      </c>
      <c r="BN14" s="117">
        <f t="shared" si="42"/>
        <v>-217.79034086098389</v>
      </c>
      <c r="BO14" s="161">
        <f t="shared" si="43"/>
        <v>216.67419790887172</v>
      </c>
      <c r="BP14" s="161">
        <f t="shared" si="44"/>
        <v>8.8401777522240401</v>
      </c>
    </row>
    <row r="15" spans="1:68" ht="15.75">
      <c r="A15" s="67">
        <v>13</v>
      </c>
      <c r="B15" s="134">
        <v>2</v>
      </c>
      <c r="C15" s="66" t="s">
        <v>419</v>
      </c>
      <c r="D15" s="66" t="s">
        <v>409</v>
      </c>
      <c r="E15" s="66" t="s">
        <v>410</v>
      </c>
      <c r="F15" s="66" t="s">
        <v>411</v>
      </c>
      <c r="G15" s="66">
        <v>2</v>
      </c>
      <c r="H15" s="66" t="s">
        <v>427</v>
      </c>
      <c r="I15" s="66">
        <v>100</v>
      </c>
      <c r="J15" s="66">
        <v>5.7</v>
      </c>
      <c r="K15" s="66">
        <v>30</v>
      </c>
      <c r="L15" s="66" t="s">
        <v>74</v>
      </c>
      <c r="M15" s="66">
        <v>1</v>
      </c>
      <c r="N15"/>
      <c r="O15"/>
      <c r="P15"/>
      <c r="Q15" s="66">
        <v>5.7</v>
      </c>
      <c r="R15">
        <v>4.1961130742049475</v>
      </c>
      <c r="S15" s="55">
        <v>1.5038869257950533</v>
      </c>
      <c r="T15" s="82">
        <v>121</v>
      </c>
      <c r="U15" s="82" t="s">
        <v>201</v>
      </c>
      <c r="V15" s="83">
        <v>8.7109989999999993</v>
      </c>
      <c r="W15" s="83">
        <v>2130.5849425297329</v>
      </c>
      <c r="X15" s="83">
        <v>7.0021315</v>
      </c>
      <c r="Y15" s="83">
        <v>15.026387138432938</v>
      </c>
      <c r="Z15" s="69" t="s">
        <v>54</v>
      </c>
      <c r="AA15" s="73">
        <v>5.5661983611111108</v>
      </c>
      <c r="AB15" s="73">
        <v>3.0248816727959098</v>
      </c>
      <c r="AC15" s="73">
        <v>3.9982883888888887</v>
      </c>
      <c r="AD15" s="73">
        <v>-25.508901929003891</v>
      </c>
      <c r="AE15" s="73">
        <v>2.2461111111111109</v>
      </c>
      <c r="AF15" s="73">
        <v>2.2461111111111109</v>
      </c>
      <c r="AG15" s="32">
        <f t="shared" si="13"/>
        <v>1.1379460310984945E-2</v>
      </c>
      <c r="AH15" s="32">
        <f t="shared" si="14"/>
        <v>0.25846953038557846</v>
      </c>
      <c r="AI15" s="33">
        <f t="shared" si="15"/>
        <v>9.9126467389529543E-2</v>
      </c>
      <c r="AJ15" s="34">
        <f t="shared" si="16"/>
        <v>1.8098376405030661</v>
      </c>
      <c r="AK15" s="16">
        <f t="shared" si="4"/>
        <v>5.6726773071448106E-3</v>
      </c>
      <c r="AL15" s="16">
        <f t="shared" si="5"/>
        <v>0.10357097537385546</v>
      </c>
      <c r="AM15" s="27">
        <f t="shared" si="17"/>
        <v>5.6726773071448102</v>
      </c>
      <c r="AN15" s="27">
        <f t="shared" si="18"/>
        <v>103.57097537385546</v>
      </c>
      <c r="AO15" s="29" t="e">
        <f t="shared" si="19"/>
        <v>#VALUE!</v>
      </c>
      <c r="AP15" s="29" t="e">
        <f t="shared" si="20"/>
        <v>#VALUE!</v>
      </c>
      <c r="AQ15" s="27">
        <f t="shared" si="21"/>
        <v>18.257864808105069</v>
      </c>
      <c r="AR15" s="14">
        <f t="shared" si="22"/>
        <v>2129.5400608569371</v>
      </c>
      <c r="AS15" s="25">
        <v>0.36849740461643371</v>
      </c>
      <c r="AT15" s="22">
        <f t="shared" si="23"/>
        <v>1.137334811443953</v>
      </c>
      <c r="AU15" s="22">
        <f t="shared" si="24"/>
        <v>0.76883740682751922</v>
      </c>
      <c r="AV15" s="115">
        <f t="shared" si="25"/>
        <v>0.13747856333008956</v>
      </c>
      <c r="AW15" s="163">
        <f t="shared" si="26"/>
        <v>4.3613665105945311E-2</v>
      </c>
      <c r="AX15" s="116">
        <f t="shared" si="27"/>
        <v>7688.3740682751923</v>
      </c>
      <c r="AY15" s="115">
        <f t="shared" si="28"/>
        <v>0.24651272609495284</v>
      </c>
      <c r="AZ15" s="157">
        <f t="shared" si="29"/>
        <v>246.51272609495282</v>
      </c>
      <c r="BA15" s="117">
        <f t="shared" si="30"/>
        <v>137.47856333008957</v>
      </c>
      <c r="BB15" s="118">
        <f t="shared" si="31"/>
        <v>30.657673572028006</v>
      </c>
      <c r="BC15" s="118">
        <f t="shared" si="32"/>
        <v>283.9014381320589</v>
      </c>
      <c r="BD15" s="117">
        <f t="shared" si="33"/>
        <v>5.6726773071448102</v>
      </c>
      <c r="BE15" s="14">
        <f t="shared" si="34"/>
        <v>14.505289067436827</v>
      </c>
      <c r="BF15" s="25">
        <v>1.0808848989999</v>
      </c>
      <c r="BG15" s="22">
        <f t="shared" si="35"/>
        <v>1.1271500869180502</v>
      </c>
      <c r="BH15" s="38">
        <f t="shared" si="36"/>
        <v>4.6265187918150152E-2</v>
      </c>
      <c r="BI15" s="115">
        <f t="shared" si="37"/>
        <v>-2.5942172082508027E-3</v>
      </c>
      <c r="BJ15" s="163">
        <f t="shared" si="38"/>
        <v>4.7917306385375245E-2</v>
      </c>
      <c r="BK15" s="116">
        <f t="shared" si="39"/>
        <v>462.6518791815015</v>
      </c>
      <c r="BL15" s="115">
        <f t="shared" si="40"/>
        <v>0.11687477160415595</v>
      </c>
      <c r="BM15" s="157">
        <f t="shared" si="41"/>
        <v>116.87477160415595</v>
      </c>
      <c r="BN15" s="117">
        <f t="shared" si="42"/>
        <v>-2.5942172082508028</v>
      </c>
      <c r="BO15" s="161">
        <f t="shared" si="43"/>
        <v>103.57097537385546</v>
      </c>
      <c r="BP15" s="161">
        <f t="shared" si="44"/>
        <v>9.2603712237020464</v>
      </c>
    </row>
    <row r="16" spans="1:68" ht="15.75">
      <c r="A16" s="67">
        <v>14</v>
      </c>
      <c r="B16" s="134">
        <v>2</v>
      </c>
      <c r="C16" s="66" t="s">
        <v>421</v>
      </c>
      <c r="D16" s="66" t="s">
        <v>424</v>
      </c>
      <c r="E16" s="66" t="s">
        <v>410</v>
      </c>
      <c r="F16" s="66" t="s">
        <v>411</v>
      </c>
      <c r="G16" s="66">
        <v>2</v>
      </c>
      <c r="H16" s="66" t="s">
        <v>427</v>
      </c>
      <c r="I16" s="66">
        <v>100</v>
      </c>
      <c r="J16" s="66">
        <v>10.81</v>
      </c>
      <c r="K16" s="66">
        <v>30</v>
      </c>
      <c r="L16" s="66" t="s">
        <v>75</v>
      </c>
      <c r="M16" s="66">
        <v>1</v>
      </c>
      <c r="N16"/>
      <c r="O16"/>
      <c r="P16"/>
      <c r="Q16" s="66">
        <v>10.81</v>
      </c>
      <c r="R16">
        <v>5.9444691671964414</v>
      </c>
      <c r="S16" s="55">
        <v>4.86553083280356</v>
      </c>
      <c r="T16" s="80">
        <v>122</v>
      </c>
      <c r="U16" s="80" t="s">
        <v>202</v>
      </c>
      <c r="V16" s="81">
        <v>3.4629599999999998</v>
      </c>
      <c r="W16" s="81">
        <v>1503.4591895932183</v>
      </c>
      <c r="X16" s="81">
        <v>2.8376169999999998</v>
      </c>
      <c r="Y16" s="81">
        <v>7.344769518636026</v>
      </c>
      <c r="Z16" s="69" t="s">
        <v>54</v>
      </c>
      <c r="AA16" s="73">
        <v>5.5661983611111108</v>
      </c>
      <c r="AB16" s="73">
        <v>3.0248816727959098</v>
      </c>
      <c r="AC16" s="73">
        <v>3.9982883888888887</v>
      </c>
      <c r="AD16" s="73">
        <v>-25.508901929003891</v>
      </c>
      <c r="AE16" s="73">
        <v>2.2461111111111109</v>
      </c>
      <c r="AF16" s="73">
        <v>2.2461111111111109</v>
      </c>
      <c r="AG16" s="32">
        <f t="shared" si="13"/>
        <v>1.1379460310984945E-2</v>
      </c>
      <c r="AH16" s="32">
        <f t="shared" si="14"/>
        <v>0.25846953038557846</v>
      </c>
      <c r="AI16" s="33">
        <f t="shared" si="15"/>
        <v>3.9406615878528423E-2</v>
      </c>
      <c r="AJ16" s="34">
        <f t="shared" si="16"/>
        <v>0.73343753340413398</v>
      </c>
      <c r="AK16" s="16">
        <f t="shared" si="4"/>
        <v>3.4638339429257535E-3</v>
      </c>
      <c r="AL16" s="16">
        <f t="shared" si="5"/>
        <v>6.4469017868779538E-2</v>
      </c>
      <c r="AM16" s="27">
        <f t="shared" si="17"/>
        <v>3.4638339429257536</v>
      </c>
      <c r="AN16" s="27">
        <f t="shared" si="18"/>
        <v>64.469017868779531</v>
      </c>
      <c r="AO16" s="29" t="e">
        <f t="shared" si="19"/>
        <v>#VALUE!</v>
      </c>
      <c r="AP16" s="29" t="e">
        <f t="shared" si="20"/>
        <v>#VALUE!</v>
      </c>
      <c r="AQ16" s="27">
        <f t="shared" si="21"/>
        <v>18.612040568643803</v>
      </c>
      <c r="AR16" s="14">
        <f t="shared" si="22"/>
        <v>1502.4143079204223</v>
      </c>
      <c r="AS16" s="25">
        <v>0.36849740461643371</v>
      </c>
      <c r="AT16" s="22">
        <f t="shared" si="23"/>
        <v>0.91150270019402291</v>
      </c>
      <c r="AU16" s="22">
        <f t="shared" si="24"/>
        <v>0.54300529557758925</v>
      </c>
      <c r="AV16" s="115">
        <f t="shared" si="25"/>
        <v>0.63624091868048016</v>
      </c>
      <c r="AW16" s="163">
        <f t="shared" si="26"/>
        <v>1.8808801740100849E-2</v>
      </c>
      <c r="AX16" s="116">
        <f t="shared" si="27"/>
        <v>5430.0529557758928</v>
      </c>
      <c r="AY16" s="115">
        <f t="shared" si="28"/>
        <v>0.68326292303073211</v>
      </c>
      <c r="AZ16" s="157">
        <f t="shared" si="29"/>
        <v>683.26292303073205</v>
      </c>
      <c r="BA16" s="117">
        <f t="shared" si="30"/>
        <v>636.24091868048015</v>
      </c>
      <c r="BB16" s="118">
        <f t="shared" si="31"/>
        <v>80.627001130030621</v>
      </c>
      <c r="BC16" s="118">
        <f t="shared" si="32"/>
        <v>751.87777935419501</v>
      </c>
      <c r="BD16" s="117">
        <f t="shared" si="33"/>
        <v>3.4638339429257536</v>
      </c>
      <c r="BE16" s="14">
        <f t="shared" si="34"/>
        <v>6.8236714476399154</v>
      </c>
      <c r="BF16" s="25">
        <v>1.0808848989999</v>
      </c>
      <c r="BG16" s="22">
        <f t="shared" si="35"/>
        <v>1.1187110237597404</v>
      </c>
      <c r="BH16" s="38">
        <f t="shared" si="36"/>
        <v>3.7826124759840374E-2</v>
      </c>
      <c r="BI16" s="115">
        <f t="shared" si="37"/>
        <v>0.72665764580885006</v>
      </c>
      <c r="BJ16" s="163">
        <f t="shared" si="38"/>
        <v>2.4386131130488334E-2</v>
      </c>
      <c r="BK16" s="116">
        <f t="shared" si="39"/>
        <v>378.26124759840371</v>
      </c>
      <c r="BL16" s="115">
        <f t="shared" si="40"/>
        <v>0.87845517936117701</v>
      </c>
      <c r="BM16" s="157">
        <f t="shared" si="41"/>
        <v>878.45517936117699</v>
      </c>
      <c r="BN16" s="117">
        <f t="shared" si="42"/>
        <v>726.65764580885002</v>
      </c>
      <c r="BO16" s="161">
        <f t="shared" si="43"/>
        <v>64.469017868779531</v>
      </c>
      <c r="BP16" s="161">
        <f t="shared" si="44"/>
        <v>9.3253844098902992</v>
      </c>
    </row>
    <row r="17" spans="1:68" ht="15.75">
      <c r="A17" s="67">
        <v>15</v>
      </c>
      <c r="B17" s="134">
        <v>2</v>
      </c>
      <c r="C17" s="66" t="s">
        <v>423</v>
      </c>
      <c r="D17" s="66" t="s">
        <v>414</v>
      </c>
      <c r="E17" s="66" t="s">
        <v>410</v>
      </c>
      <c r="F17" s="66" t="s">
        <v>411</v>
      </c>
      <c r="G17" s="66">
        <v>2</v>
      </c>
      <c r="H17" s="66" t="s">
        <v>427</v>
      </c>
      <c r="I17" s="66">
        <v>100</v>
      </c>
      <c r="J17" s="66">
        <v>10</v>
      </c>
      <c r="K17" s="66">
        <v>30</v>
      </c>
      <c r="L17" s="66" t="s">
        <v>76</v>
      </c>
      <c r="M17" s="66">
        <v>1</v>
      </c>
      <c r="N17"/>
      <c r="O17"/>
      <c r="P17"/>
      <c r="Q17" s="66">
        <v>10</v>
      </c>
      <c r="R17">
        <v>6.3570856685348271</v>
      </c>
      <c r="S17" s="55">
        <v>3.6429143314651724</v>
      </c>
      <c r="T17" s="82">
        <v>123</v>
      </c>
      <c r="U17" s="82" t="s">
        <v>203</v>
      </c>
      <c r="V17" s="83">
        <v>2.9473829999999999</v>
      </c>
      <c r="W17" s="83">
        <v>1954.7197835913469</v>
      </c>
      <c r="X17" s="83">
        <v>1.09266</v>
      </c>
      <c r="Y17" s="83">
        <v>-28.492728531788877</v>
      </c>
      <c r="Z17" s="69" t="s">
        <v>54</v>
      </c>
      <c r="AA17" s="73">
        <v>5.5661983611111108</v>
      </c>
      <c r="AB17" s="73">
        <v>3.0248816727959098</v>
      </c>
      <c r="AC17" s="73">
        <v>3.9982883888888887</v>
      </c>
      <c r="AD17" s="73">
        <v>-25.508901929003891</v>
      </c>
      <c r="AE17" s="73">
        <v>2.2461111111111109</v>
      </c>
      <c r="AF17" s="73">
        <v>2.2461111111111109</v>
      </c>
      <c r="AG17" s="32">
        <f t="shared" si="13"/>
        <v>1.1379460310984945E-2</v>
      </c>
      <c r="AH17" s="32">
        <f t="shared" si="14"/>
        <v>0.25846953038557846</v>
      </c>
      <c r="AI17" s="33">
        <f t="shared" si="15"/>
        <v>3.3539627869771736E-2</v>
      </c>
      <c r="AJ17" s="34">
        <f t="shared" si="16"/>
        <v>0.28241931707110618</v>
      </c>
      <c r="AK17" s="16">
        <f t="shared" si="4"/>
        <v>2.3993083916914798E-3</v>
      </c>
      <c r="AL17" s="16">
        <f t="shared" si="5"/>
        <v>2.0203296233802057E-2</v>
      </c>
      <c r="AM17" s="27">
        <f t="shared" si="17"/>
        <v>2.3993083916914797</v>
      </c>
      <c r="AN17" s="27">
        <f t="shared" si="18"/>
        <v>20.203296233802057</v>
      </c>
      <c r="AO17" s="29" t="e">
        <f t="shared" si="19"/>
        <v>#VALUE!</v>
      </c>
      <c r="AP17" s="29" t="e">
        <f t="shared" si="20"/>
        <v>#VALUE!</v>
      </c>
      <c r="AQ17" s="27">
        <f t="shared" si="21"/>
        <v>8.4204666243671191</v>
      </c>
      <c r="AR17" s="14">
        <f t="shared" si="22"/>
        <v>1953.6749019185509</v>
      </c>
      <c r="AS17" s="25">
        <v>0.36849740461643371</v>
      </c>
      <c r="AT17" s="22">
        <f t="shared" si="23"/>
        <v>1.0741085360910017</v>
      </c>
      <c r="AU17" s="22">
        <f t="shared" si="24"/>
        <v>0.70561113147456789</v>
      </c>
      <c r="AV17" s="115">
        <f t="shared" si="25"/>
        <v>0.2659729148077884</v>
      </c>
      <c r="AW17" s="163">
        <f t="shared" si="26"/>
        <v>1.6929787090178505E-2</v>
      </c>
      <c r="AX17" s="116">
        <f t="shared" si="27"/>
        <v>7056.111314745679</v>
      </c>
      <c r="AY17" s="115">
        <f t="shared" si="28"/>
        <v>0.30829738253323458</v>
      </c>
      <c r="AZ17" s="157">
        <f t="shared" si="29"/>
        <v>308.29738253323455</v>
      </c>
      <c r="BA17" s="117">
        <f t="shared" si="30"/>
        <v>265.97291480778841</v>
      </c>
      <c r="BB17" s="118">
        <f t="shared" si="31"/>
        <v>52.669957866561447</v>
      </c>
      <c r="BC17" s="118">
        <f t="shared" si="32"/>
        <v>281.42866644627492</v>
      </c>
      <c r="BD17" s="117">
        <f t="shared" si="33"/>
        <v>2.3993083916914797</v>
      </c>
      <c r="BE17" s="14">
        <f t="shared" si="34"/>
        <v>-29.013826602784988</v>
      </c>
      <c r="BF17" s="25">
        <v>1.0808848989999</v>
      </c>
      <c r="BG17" s="22">
        <f t="shared" si="35"/>
        <v>1.0793207252332584</v>
      </c>
      <c r="BH17" s="38">
        <f t="shared" si="36"/>
        <v>-1.5641737666416411E-3</v>
      </c>
      <c r="BI17" s="115">
        <f t="shared" si="37"/>
        <v>0.16425058287574823</v>
      </c>
      <c r="BJ17" s="163">
        <f t="shared" si="38"/>
        <v>-3.160146596860304E-4</v>
      </c>
      <c r="BK17" s="116">
        <f t="shared" si="39"/>
        <v>-15.641737666416411</v>
      </c>
      <c r="BL17" s="115">
        <f t="shared" si="40"/>
        <v>0.18399186908600171</v>
      </c>
      <c r="BM17" s="157">
        <f t="shared" si="41"/>
        <v>183.99186908600171</v>
      </c>
      <c r="BN17" s="117">
        <f t="shared" si="42"/>
        <v>164.25058287574822</v>
      </c>
      <c r="BO17" s="161">
        <f t="shared" si="43"/>
        <v>20.203296233802057</v>
      </c>
      <c r="BP17" s="161">
        <f t="shared" si="44"/>
        <v>5.3432483686292338</v>
      </c>
    </row>
    <row r="18" spans="1:68" ht="15.75">
      <c r="A18" s="67">
        <v>16</v>
      </c>
      <c r="B18" s="134">
        <v>2</v>
      </c>
      <c r="C18" s="66" t="s">
        <v>425</v>
      </c>
      <c r="D18" s="66" t="s">
        <v>420</v>
      </c>
      <c r="E18" s="66" t="s">
        <v>410</v>
      </c>
      <c r="F18" s="66" t="s">
        <v>411</v>
      </c>
      <c r="G18" s="66">
        <v>2</v>
      </c>
      <c r="H18" s="66" t="s">
        <v>427</v>
      </c>
      <c r="I18" s="66">
        <v>100</v>
      </c>
      <c r="J18" s="66">
        <v>10.56</v>
      </c>
      <c r="K18" s="66">
        <v>30</v>
      </c>
      <c r="L18" s="66" t="s">
        <v>77</v>
      </c>
      <c r="M18" s="66">
        <v>1</v>
      </c>
      <c r="N18"/>
      <c r="O18"/>
      <c r="P18"/>
      <c r="Q18" s="66">
        <v>10.56</v>
      </c>
      <c r="R18">
        <v>6.1073732021196045</v>
      </c>
      <c r="S18" s="55">
        <v>4.4526267978803951</v>
      </c>
      <c r="T18" s="80">
        <v>124</v>
      </c>
      <c r="U18" s="80" t="s">
        <v>204</v>
      </c>
      <c r="V18" s="81">
        <v>8.1053280000000001</v>
      </c>
      <c r="W18" s="81">
        <v>1316.3523848678744</v>
      </c>
      <c r="X18" s="81">
        <v>5.7392865000000004</v>
      </c>
      <c r="Y18" s="81">
        <v>2.0020310262703509</v>
      </c>
      <c r="Z18" s="69" t="s">
        <v>54</v>
      </c>
      <c r="AA18" s="73">
        <v>5.5661983611111108</v>
      </c>
      <c r="AB18" s="73">
        <v>3.0248816727959098</v>
      </c>
      <c r="AC18" s="73">
        <v>3.9982883888888887</v>
      </c>
      <c r="AD18" s="73">
        <v>-25.508901929003891</v>
      </c>
      <c r="AE18" s="73">
        <v>2.2461111111111109</v>
      </c>
      <c r="AF18" s="73">
        <v>2.2461111111111109</v>
      </c>
      <c r="AG18" s="32">
        <f t="shared" si="13"/>
        <v>1.1379460310984945E-2</v>
      </c>
      <c r="AH18" s="32">
        <f t="shared" si="14"/>
        <v>0.25846953038557846</v>
      </c>
      <c r="AI18" s="33">
        <f t="shared" si="15"/>
        <v>9.2234258283514989E-2</v>
      </c>
      <c r="AJ18" s="34">
        <f t="shared" si="16"/>
        <v>1.4834306864032905</v>
      </c>
      <c r="AK18" s="16">
        <f t="shared" si="4"/>
        <v>7.5574143567382727E-3</v>
      </c>
      <c r="AL18" s="16">
        <f t="shared" si="5"/>
        <v>0.12154811645136913</v>
      </c>
      <c r="AM18" s="27">
        <f t="shared" si="17"/>
        <v>7.5574143567382723</v>
      </c>
      <c r="AN18" s="27">
        <f t="shared" si="18"/>
        <v>121.54811645136914</v>
      </c>
      <c r="AO18" s="29" t="e">
        <f t="shared" si="19"/>
        <v>#VALUE!</v>
      </c>
      <c r="AP18" s="29" t="e">
        <f t="shared" si="20"/>
        <v>#VALUE!</v>
      </c>
      <c r="AQ18" s="27">
        <f t="shared" si="21"/>
        <v>16.083293930151587</v>
      </c>
      <c r="AR18" s="14">
        <f t="shared" si="22"/>
        <v>1315.3075031950784</v>
      </c>
      <c r="AS18" s="25">
        <v>0.36849740461643371</v>
      </c>
      <c r="AT18" s="22">
        <f t="shared" si="23"/>
        <v>0.84392433873070605</v>
      </c>
      <c r="AU18" s="22">
        <f t="shared" si="24"/>
        <v>0.47542693411427234</v>
      </c>
      <c r="AV18" s="115">
        <f t="shared" si="25"/>
        <v>0.35881229218047156</v>
      </c>
      <c r="AW18" s="163">
        <f t="shared" si="26"/>
        <v>3.5929983374552624E-2</v>
      </c>
      <c r="AX18" s="116">
        <f t="shared" si="27"/>
        <v>4754.2693411427235</v>
      </c>
      <c r="AY18" s="115">
        <f t="shared" si="28"/>
        <v>0.44863725061685317</v>
      </c>
      <c r="AZ18" s="157">
        <f t="shared" si="29"/>
        <v>448.63725061685318</v>
      </c>
      <c r="BA18" s="117">
        <f t="shared" si="30"/>
        <v>358.81229218047156</v>
      </c>
      <c r="BB18" s="118">
        <f t="shared" si="31"/>
        <v>78.732631944304487</v>
      </c>
      <c r="BC18" s="118">
        <f t="shared" si="32"/>
        <v>488.13883567299393</v>
      </c>
      <c r="BD18" s="117">
        <f t="shared" si="33"/>
        <v>7.5574143567382723</v>
      </c>
      <c r="BE18" s="14">
        <f t="shared" si="34"/>
        <v>1.4809329552742403</v>
      </c>
      <c r="BF18" s="25">
        <v>1.0808848989999</v>
      </c>
      <c r="BG18" s="22">
        <f t="shared" si="35"/>
        <v>1.1128406153157511</v>
      </c>
      <c r="BH18" s="38">
        <f t="shared" si="36"/>
        <v>3.1955716315851035E-2</v>
      </c>
      <c r="BI18" s="115">
        <f t="shared" si="37"/>
        <v>0.39333932981556752</v>
      </c>
      <c r="BJ18" s="163">
        <f t="shared" si="38"/>
        <v>3.8841571280459786E-2</v>
      </c>
      <c r="BK18" s="116">
        <f t="shared" si="39"/>
        <v>319.55716315851032</v>
      </c>
      <c r="BL18" s="115">
        <f t="shared" si="40"/>
        <v>0.53961067424366282</v>
      </c>
      <c r="BM18" s="157">
        <f t="shared" si="41"/>
        <v>539.61067424366286</v>
      </c>
      <c r="BN18" s="117">
        <f t="shared" si="42"/>
        <v>393.33932981556751</v>
      </c>
      <c r="BO18" s="161">
        <f t="shared" si="43"/>
        <v>121.54811645136914</v>
      </c>
      <c r="BP18" s="161">
        <f t="shared" si="44"/>
        <v>6.1999557695251903</v>
      </c>
    </row>
    <row r="19" spans="1:68" ht="15.75">
      <c r="A19" s="67">
        <v>17</v>
      </c>
      <c r="B19" s="134">
        <v>3</v>
      </c>
      <c r="C19" s="66" t="s">
        <v>408</v>
      </c>
      <c r="D19" s="66" t="s">
        <v>418</v>
      </c>
      <c r="E19" s="66" t="s">
        <v>410</v>
      </c>
      <c r="F19" s="66" t="s">
        <v>411</v>
      </c>
      <c r="G19" s="66">
        <v>3</v>
      </c>
      <c r="H19" s="66" t="s">
        <v>429</v>
      </c>
      <c r="I19" s="66">
        <v>100</v>
      </c>
      <c r="J19" s="66">
        <v>16.45</v>
      </c>
      <c r="K19" s="66">
        <v>30</v>
      </c>
      <c r="L19" s="66" t="s">
        <v>78</v>
      </c>
      <c r="M19" s="66">
        <v>1</v>
      </c>
      <c r="N19"/>
      <c r="O19"/>
      <c r="P19"/>
      <c r="Q19" s="66">
        <v>16.45</v>
      </c>
      <c r="R19">
        <v>9.1661691542288555</v>
      </c>
      <c r="S19" s="55">
        <v>7.2838308457711438</v>
      </c>
      <c r="T19" s="82">
        <v>125</v>
      </c>
      <c r="U19" s="82" t="s">
        <v>205</v>
      </c>
      <c r="V19" s="83">
        <v>1.6121220000000001</v>
      </c>
      <c r="W19" s="83">
        <v>3059.1441970254182</v>
      </c>
      <c r="X19" s="83">
        <v>0.88509362499999999</v>
      </c>
      <c r="Y19" s="83">
        <v>-27.346384455984499</v>
      </c>
      <c r="Z19" s="69" t="s">
        <v>54</v>
      </c>
      <c r="AA19" s="73">
        <v>5.5661983611111108</v>
      </c>
      <c r="AB19" s="73">
        <v>3.0248816727959098</v>
      </c>
      <c r="AC19" s="73">
        <v>3.9982883888888887</v>
      </c>
      <c r="AD19" s="73">
        <v>-25.508901929003891</v>
      </c>
      <c r="AE19" s="73">
        <v>2.2461111111111109</v>
      </c>
      <c r="AF19" s="73">
        <v>2.2461111111111109</v>
      </c>
      <c r="AG19" s="32">
        <f t="shared" si="13"/>
        <v>1.1379460310984945E-2</v>
      </c>
      <c r="AH19" s="32">
        <f t="shared" si="14"/>
        <v>0.25846953038557846</v>
      </c>
      <c r="AI19" s="33">
        <f t="shared" si="15"/>
        <v>1.8345078315465672E-2</v>
      </c>
      <c r="AJ19" s="34">
        <f t="shared" si="16"/>
        <v>0.22876973360101929</v>
      </c>
      <c r="AK19" s="16">
        <f t="shared" si="4"/>
        <v>1.5833549736562634E-3</v>
      </c>
      <c r="AL19" s="16">
        <f t="shared" si="5"/>
        <v>1.9745006769135594E-2</v>
      </c>
      <c r="AM19" s="27">
        <f t="shared" si="17"/>
        <v>1.5833549736562633</v>
      </c>
      <c r="AN19" s="27">
        <f t="shared" si="18"/>
        <v>19.745006769135596</v>
      </c>
      <c r="AO19" s="29" t="e">
        <f t="shared" si="19"/>
        <v>#VALUE!</v>
      </c>
      <c r="AP19" s="29" t="e">
        <f t="shared" si="20"/>
        <v>#VALUE!</v>
      </c>
      <c r="AQ19" s="27">
        <f t="shared" si="21"/>
        <v>12.470360151483071</v>
      </c>
      <c r="AR19" s="14">
        <f t="shared" si="22"/>
        <v>3058.0993153526224</v>
      </c>
      <c r="AS19" s="25">
        <v>0.36849740461643371</v>
      </c>
      <c r="AT19" s="22">
        <f t="shared" si="23"/>
        <v>1.4698309970057841</v>
      </c>
      <c r="AU19" s="22">
        <f t="shared" si="24"/>
        <v>1.1013335923893504</v>
      </c>
      <c r="AV19" s="115">
        <f t="shared" si="25"/>
        <v>0.53675913193779257</v>
      </c>
      <c r="AW19" s="163">
        <f t="shared" si="26"/>
        <v>1.7438020211643979E-2</v>
      </c>
      <c r="AX19" s="116">
        <f t="shared" si="27"/>
        <v>11013.335923893503</v>
      </c>
      <c r="AY19" s="115">
        <f t="shared" si="28"/>
        <v>0.58035418246690251</v>
      </c>
      <c r="AZ19" s="157">
        <f t="shared" si="29"/>
        <v>580.35418246690256</v>
      </c>
      <c r="BA19" s="117">
        <f t="shared" si="30"/>
        <v>536.75913193779252</v>
      </c>
      <c r="BB19" s="118">
        <f t="shared" si="31"/>
        <v>65.971319300131881</v>
      </c>
      <c r="BC19" s="118">
        <f t="shared" si="32"/>
        <v>541.64292412282225</v>
      </c>
      <c r="BD19" s="117">
        <f t="shared" si="33"/>
        <v>1.5833549736562633</v>
      </c>
      <c r="BE19" s="14">
        <f t="shared" si="34"/>
        <v>-27.867482526980609</v>
      </c>
      <c r="BF19" s="25">
        <v>1.0808848989999</v>
      </c>
      <c r="BG19" s="22">
        <f t="shared" si="35"/>
        <v>1.0805811995986436</v>
      </c>
      <c r="BH19" s="38">
        <f t="shared" si="36"/>
        <v>-3.036994012564076E-4</v>
      </c>
      <c r="BI19" s="115">
        <f t="shared" si="37"/>
        <v>0.39678618909953062</v>
      </c>
      <c r="BJ19" s="163">
        <f t="shared" si="38"/>
        <v>-5.9965467335901951E-5</v>
      </c>
      <c r="BK19" s="116">
        <f t="shared" si="39"/>
        <v>-3.036994012564076</v>
      </c>
      <c r="BL19" s="115">
        <f t="shared" si="40"/>
        <v>0.44623454906863214</v>
      </c>
      <c r="BM19" s="157">
        <f t="shared" si="41"/>
        <v>446.23454906863213</v>
      </c>
      <c r="BN19" s="117">
        <f t="shared" si="42"/>
        <v>396.78618909953065</v>
      </c>
      <c r="BO19" s="161">
        <f t="shared" si="43"/>
        <v>19.745006769135596</v>
      </c>
      <c r="BP19" s="161">
        <f t="shared" si="44"/>
        <v>8.210278797952423</v>
      </c>
    </row>
    <row r="20" spans="1:68" ht="15.75">
      <c r="A20" s="67">
        <v>18</v>
      </c>
      <c r="B20" s="134">
        <v>3</v>
      </c>
      <c r="C20" s="66" t="s">
        <v>413</v>
      </c>
      <c r="D20" s="66" t="s">
        <v>416</v>
      </c>
      <c r="E20" s="66" t="s">
        <v>410</v>
      </c>
      <c r="F20" s="66" t="s">
        <v>411</v>
      </c>
      <c r="G20" s="66">
        <v>3</v>
      </c>
      <c r="H20" s="66" t="s">
        <v>429</v>
      </c>
      <c r="I20" s="66">
        <v>100</v>
      </c>
      <c r="J20" s="66">
        <v>8.51</v>
      </c>
      <c r="K20" s="66">
        <v>30</v>
      </c>
      <c r="L20" s="66" t="s">
        <v>79</v>
      </c>
      <c r="M20" s="66">
        <v>1</v>
      </c>
      <c r="N20"/>
      <c r="O20"/>
      <c r="P20"/>
      <c r="Q20" s="66">
        <v>8.51</v>
      </c>
      <c r="R20">
        <v>4.5172496147919867</v>
      </c>
      <c r="S20" s="55">
        <v>3.9927503852080126</v>
      </c>
      <c r="T20" s="80">
        <v>126</v>
      </c>
      <c r="U20" s="80" t="s">
        <v>206</v>
      </c>
      <c r="V20" s="81">
        <v>4.1182577499999997</v>
      </c>
      <c r="W20" s="81">
        <v>944.81910556600735</v>
      </c>
      <c r="X20" s="81">
        <v>2.2809667500000002</v>
      </c>
      <c r="Y20" s="81">
        <v>-5.23797769746922</v>
      </c>
      <c r="Z20" s="69" t="s">
        <v>54</v>
      </c>
      <c r="AA20" s="73">
        <v>5.5661983611111108</v>
      </c>
      <c r="AB20" s="73">
        <v>3.0248816727959098</v>
      </c>
      <c r="AC20" s="73">
        <v>3.9982883888888887</v>
      </c>
      <c r="AD20" s="73">
        <v>-25.508901929003891</v>
      </c>
      <c r="AE20" s="73">
        <v>2.2461111111111109</v>
      </c>
      <c r="AF20" s="73">
        <v>2.2461111111111109</v>
      </c>
      <c r="AG20" s="32">
        <f t="shared" si="13"/>
        <v>1.1379460310984945E-2</v>
      </c>
      <c r="AH20" s="32">
        <f t="shared" si="14"/>
        <v>0.25846953038557846</v>
      </c>
      <c r="AI20" s="33">
        <f t="shared" si="15"/>
        <v>4.6863550616531156E-2</v>
      </c>
      <c r="AJ20" s="34">
        <f t="shared" si="16"/>
        <v>0.58956040469761917</v>
      </c>
      <c r="AK20" s="16">
        <f t="shared" si="4"/>
        <v>4.3235989852793864E-3</v>
      </c>
      <c r="AL20" s="16">
        <f t="shared" si="5"/>
        <v>5.4392437917675854E-2</v>
      </c>
      <c r="AM20" s="27">
        <f t="shared" si="17"/>
        <v>4.3235989852793866</v>
      </c>
      <c r="AN20" s="27">
        <f t="shared" si="18"/>
        <v>54.392437917675856</v>
      </c>
      <c r="AO20" s="29" t="e">
        <f t="shared" si="19"/>
        <v>#VALUE!</v>
      </c>
      <c r="AP20" s="29" t="e">
        <f t="shared" si="20"/>
        <v>#VALUE!</v>
      </c>
      <c r="AQ20" s="27">
        <f t="shared" si="21"/>
        <v>12.580361431036154</v>
      </c>
      <c r="AR20" s="14">
        <f t="shared" si="22"/>
        <v>943.77422389321146</v>
      </c>
      <c r="AS20" s="25">
        <v>0.36849740461643371</v>
      </c>
      <c r="AT20" s="22">
        <f t="shared" si="23"/>
        <v>0.70946207537016592</v>
      </c>
      <c r="AU20" s="22">
        <f t="shared" si="24"/>
        <v>0.34096467075373221</v>
      </c>
      <c r="AV20" s="115">
        <f t="shared" si="25"/>
        <v>0.36422634120523939</v>
      </c>
      <c r="AW20" s="163">
        <f t="shared" si="26"/>
        <v>1.4741945044869566E-2</v>
      </c>
      <c r="AX20" s="116">
        <f t="shared" si="27"/>
        <v>3409.6467075373225</v>
      </c>
      <c r="AY20" s="115">
        <f t="shared" si="28"/>
        <v>0.4010812038174133</v>
      </c>
      <c r="AZ20" s="157">
        <f t="shared" si="29"/>
        <v>401.08120381741332</v>
      </c>
      <c r="BA20" s="117">
        <f t="shared" si="30"/>
        <v>364.22634120523941</v>
      </c>
      <c r="BB20" s="118">
        <f t="shared" si="31"/>
        <v>52.982527551974783</v>
      </c>
      <c r="BC20" s="118">
        <f t="shared" si="32"/>
        <v>281.75398417191127</v>
      </c>
      <c r="BD20" s="117">
        <f t="shared" si="33"/>
        <v>4.3235989852793866</v>
      </c>
      <c r="BE20" s="14">
        <f t="shared" si="34"/>
        <v>-5.7590757684653306</v>
      </c>
      <c r="BF20" s="25">
        <v>1.0808848989999</v>
      </c>
      <c r="BG20" s="22">
        <f t="shared" si="35"/>
        <v>1.104884442383159</v>
      </c>
      <c r="BH20" s="38">
        <f t="shared" si="36"/>
        <v>2.3999543383258937E-2</v>
      </c>
      <c r="BI20" s="115">
        <f t="shared" si="37"/>
        <v>0.31466593730316261</v>
      </c>
      <c r="BJ20" s="163">
        <f t="shared" si="38"/>
        <v>1.3053936735264801E-2</v>
      </c>
      <c r="BK20" s="116">
        <f t="shared" si="39"/>
        <v>239.99543383258933</v>
      </c>
      <c r="BL20" s="115">
        <f t="shared" si="40"/>
        <v>0.38663402130421998</v>
      </c>
      <c r="BM20" s="157">
        <f t="shared" si="41"/>
        <v>386.63402130421997</v>
      </c>
      <c r="BN20" s="117">
        <f t="shared" si="42"/>
        <v>314.66593730316259</v>
      </c>
      <c r="BO20" s="161">
        <f t="shared" si="43"/>
        <v>54.392437917675856</v>
      </c>
      <c r="BP20" s="161">
        <f t="shared" si="44"/>
        <v>5.3178660435842051</v>
      </c>
    </row>
    <row r="21" spans="1:68" ht="15.75">
      <c r="A21" s="67">
        <v>19</v>
      </c>
      <c r="B21" s="134">
        <v>3</v>
      </c>
      <c r="C21" s="66" t="s">
        <v>415</v>
      </c>
      <c r="D21" s="66" t="s">
        <v>426</v>
      </c>
      <c r="E21" s="66" t="s">
        <v>410</v>
      </c>
      <c r="F21" s="66" t="s">
        <v>411</v>
      </c>
      <c r="G21" s="66">
        <v>3</v>
      </c>
      <c r="H21" s="66" t="s">
        <v>429</v>
      </c>
      <c r="I21" s="66">
        <v>100</v>
      </c>
      <c r="J21" s="66">
        <v>16.52</v>
      </c>
      <c r="K21" s="66">
        <v>30</v>
      </c>
      <c r="L21" s="66" t="s">
        <v>80</v>
      </c>
      <c r="M21" s="66">
        <v>1</v>
      </c>
      <c r="N21"/>
      <c r="O21"/>
      <c r="P21"/>
      <c r="Q21" s="66">
        <v>16.52</v>
      </c>
      <c r="R21">
        <v>9.4930426031533042</v>
      </c>
      <c r="S21" s="55">
        <v>7.0269573968466954</v>
      </c>
      <c r="T21" s="82">
        <v>127</v>
      </c>
      <c r="U21" s="82" t="s">
        <v>207</v>
      </c>
      <c r="V21" s="83">
        <v>2.3216252499999999</v>
      </c>
      <c r="W21" s="83">
        <v>585.49808442213657</v>
      </c>
      <c r="X21" s="83">
        <v>1.316195875</v>
      </c>
      <c r="Y21" s="83">
        <v>-25.522638539949629</v>
      </c>
      <c r="Z21" s="69" t="s">
        <v>54</v>
      </c>
      <c r="AA21" s="73">
        <v>5.5661983611111108</v>
      </c>
      <c r="AB21" s="73">
        <v>3.0248816727959098</v>
      </c>
      <c r="AC21" s="73">
        <v>3.9982883888888887</v>
      </c>
      <c r="AD21" s="73">
        <v>-25.508901929003891</v>
      </c>
      <c r="AE21" s="73">
        <v>2.2461111111111109</v>
      </c>
      <c r="AF21" s="73">
        <v>2.2461111111111109</v>
      </c>
      <c r="AG21" s="32">
        <f t="shared" si="13"/>
        <v>1.1379460310984945E-2</v>
      </c>
      <c r="AH21" s="32">
        <f t="shared" si="14"/>
        <v>0.25846953038557846</v>
      </c>
      <c r="AI21" s="33">
        <f t="shared" si="15"/>
        <v>2.6418842389355501E-2</v>
      </c>
      <c r="AJ21" s="34">
        <f t="shared" si="16"/>
        <v>0.34019652970668551</v>
      </c>
      <c r="AK21" s="16">
        <f t="shared" si="4"/>
        <v>2.1843483423306387E-3</v>
      </c>
      <c r="AL21" s="16">
        <f t="shared" si="5"/>
        <v>2.8127944244477652E-2</v>
      </c>
      <c r="AM21" s="27">
        <f t="shared" si="17"/>
        <v>2.1843483423306385</v>
      </c>
      <c r="AN21" s="27">
        <f t="shared" si="18"/>
        <v>28.127944244477654</v>
      </c>
      <c r="AO21" s="29" t="e">
        <f t="shared" si="19"/>
        <v>#VALUE!</v>
      </c>
      <c r="AP21" s="29" t="e">
        <f t="shared" si="20"/>
        <v>#VALUE!</v>
      </c>
      <c r="AQ21" s="27">
        <f t="shared" si="21"/>
        <v>12.877041495344065</v>
      </c>
      <c r="AR21" s="14">
        <f t="shared" si="22"/>
        <v>584.45320274934068</v>
      </c>
      <c r="AS21" s="25">
        <v>0.36849740461643371</v>
      </c>
      <c r="AT21" s="22">
        <f t="shared" si="23"/>
        <v>0.57907222015344229</v>
      </c>
      <c r="AU21" s="22">
        <f t="shared" si="24"/>
        <v>0.21057481553700858</v>
      </c>
      <c r="AV21" s="115">
        <f t="shared" si="25"/>
        <v>0.41023721944710917</v>
      </c>
      <c r="AW21" s="163">
        <f t="shared" si="26"/>
        <v>4.5996874925484472E-3</v>
      </c>
      <c r="AX21" s="116">
        <f t="shared" si="27"/>
        <v>2105.7481553700859</v>
      </c>
      <c r="AY21" s="115">
        <f t="shared" si="28"/>
        <v>0.42173643817848028</v>
      </c>
      <c r="AZ21" s="157">
        <f t="shared" si="29"/>
        <v>421.73643817848028</v>
      </c>
      <c r="BA21" s="117">
        <f t="shared" si="30"/>
        <v>410.23721944710917</v>
      </c>
      <c r="BB21" s="118">
        <f t="shared" si="31"/>
        <v>76.165952475625105</v>
      </c>
      <c r="BC21" s="118">
        <f t="shared" si="32"/>
        <v>591.53109587094116</v>
      </c>
      <c r="BD21" s="117">
        <f t="shared" si="33"/>
        <v>2.1843483423306385</v>
      </c>
      <c r="BE21" s="14">
        <f t="shared" si="34"/>
        <v>-26.043736610945739</v>
      </c>
      <c r="BF21" s="25">
        <v>1.0808848989999</v>
      </c>
      <c r="BG21" s="22">
        <f t="shared" si="35"/>
        <v>1.0825864518902668</v>
      </c>
      <c r="BH21" s="38">
        <f t="shared" si="36"/>
        <v>1.7015528903667754E-3</v>
      </c>
      <c r="BI21" s="115">
        <f t="shared" si="37"/>
        <v>0.26988673204895214</v>
      </c>
      <c r="BJ21" s="163">
        <f t="shared" si="38"/>
        <v>4.7861184829266445E-4</v>
      </c>
      <c r="BK21" s="116">
        <f t="shared" si="39"/>
        <v>17.015528903667754</v>
      </c>
      <c r="BL21" s="115">
        <f t="shared" si="40"/>
        <v>0.3048191031758028</v>
      </c>
      <c r="BM21" s="157">
        <f t="shared" si="41"/>
        <v>304.81910317580281</v>
      </c>
      <c r="BN21" s="117">
        <f t="shared" si="42"/>
        <v>269.88673204895213</v>
      </c>
      <c r="BO21" s="161">
        <f t="shared" si="43"/>
        <v>28.127944244477654</v>
      </c>
      <c r="BP21" s="161">
        <f t="shared" si="44"/>
        <v>7.7663454160866037</v>
      </c>
    </row>
    <row r="22" spans="1:68" ht="15.75">
      <c r="A22" s="67">
        <v>20</v>
      </c>
      <c r="B22" s="134">
        <v>3</v>
      </c>
      <c r="C22" s="66" t="s">
        <v>417</v>
      </c>
      <c r="D22" s="66" t="s">
        <v>420</v>
      </c>
      <c r="E22" s="66" t="s">
        <v>410</v>
      </c>
      <c r="F22" s="66" t="s">
        <v>411</v>
      </c>
      <c r="G22" s="66">
        <v>3</v>
      </c>
      <c r="H22" s="66" t="s">
        <v>429</v>
      </c>
      <c r="I22" s="66">
        <v>100</v>
      </c>
      <c r="J22" s="66">
        <v>7.29</v>
      </c>
      <c r="K22" s="66">
        <v>30</v>
      </c>
      <c r="L22" s="66" t="s">
        <v>81</v>
      </c>
      <c r="M22" s="66">
        <v>1</v>
      </c>
      <c r="N22"/>
      <c r="O22"/>
      <c r="P22"/>
      <c r="Q22" s="66">
        <v>7.29</v>
      </c>
      <c r="R22">
        <v>3.1069926199261988</v>
      </c>
      <c r="S22" s="55">
        <v>4.1830073800738008</v>
      </c>
      <c r="T22" s="80">
        <v>128</v>
      </c>
      <c r="U22" s="80" t="s">
        <v>208</v>
      </c>
      <c r="V22" s="81">
        <v>6.4251480000000001</v>
      </c>
      <c r="W22" s="81">
        <v>1312.6382563139089</v>
      </c>
      <c r="X22" s="81">
        <v>3.9255659999999999</v>
      </c>
      <c r="Y22" s="81">
        <v>7.8683965818861488</v>
      </c>
      <c r="Z22" s="69" t="s">
        <v>54</v>
      </c>
      <c r="AA22" s="73">
        <v>5.5661983611111108</v>
      </c>
      <c r="AB22" s="73">
        <v>3.0248816727959098</v>
      </c>
      <c r="AC22" s="73">
        <v>3.9982883888888887</v>
      </c>
      <c r="AD22" s="73">
        <v>-25.508901929003891</v>
      </c>
      <c r="AE22" s="73">
        <v>2.2461111111111109</v>
      </c>
      <c r="AF22" s="73">
        <v>2.2461111111111109</v>
      </c>
      <c r="AG22" s="32">
        <f t="shared" si="13"/>
        <v>1.1379460310984945E-2</v>
      </c>
      <c r="AH22" s="32">
        <f t="shared" si="14"/>
        <v>0.25846953038557846</v>
      </c>
      <c r="AI22" s="33">
        <f t="shared" si="15"/>
        <v>7.3114716658204307E-2</v>
      </c>
      <c r="AJ22" s="34">
        <f t="shared" si="16"/>
        <v>1.0146392005175937</v>
      </c>
      <c r="AK22" s="16">
        <f t="shared" si="4"/>
        <v>8.999545932099319E-3</v>
      </c>
      <c r="AL22" s="16">
        <f t="shared" si="5"/>
        <v>0.12488993333932288</v>
      </c>
      <c r="AM22" s="27">
        <f t="shared" si="17"/>
        <v>8.9995459320993199</v>
      </c>
      <c r="AN22" s="27">
        <f t="shared" si="18"/>
        <v>124.88993333932288</v>
      </c>
      <c r="AO22" s="29" t="e">
        <f t="shared" si="19"/>
        <v>#VALUE!</v>
      </c>
      <c r="AP22" s="29" t="e">
        <f t="shared" si="20"/>
        <v>#VALUE!</v>
      </c>
      <c r="AQ22" s="27">
        <f t="shared" si="21"/>
        <v>13.877359400308086</v>
      </c>
      <c r="AR22" s="14">
        <f t="shared" si="22"/>
        <v>1311.5933746411129</v>
      </c>
      <c r="AS22" s="25">
        <v>0.36849740461643371</v>
      </c>
      <c r="AT22" s="22">
        <f t="shared" si="23"/>
        <v>0.84258195409090286</v>
      </c>
      <c r="AU22" s="22">
        <f t="shared" si="24"/>
        <v>0.47408454947446915</v>
      </c>
      <c r="AV22" s="115">
        <f t="shared" si="25"/>
        <v>0.32009422772554319</v>
      </c>
      <c r="AW22" s="163">
        <f t="shared" si="26"/>
        <v>4.2665456786940975E-2</v>
      </c>
      <c r="AX22" s="116">
        <f t="shared" si="27"/>
        <v>4740.8454947446917</v>
      </c>
      <c r="AY22" s="115">
        <f t="shared" si="28"/>
        <v>0.42675786969289564</v>
      </c>
      <c r="AZ22" s="157">
        <f t="shared" si="29"/>
        <v>426.75786969289567</v>
      </c>
      <c r="BA22" s="117">
        <f t="shared" si="30"/>
        <v>320.09422772554319</v>
      </c>
      <c r="BB22" s="118">
        <f t="shared" si="31"/>
        <v>88.070946048857266</v>
      </c>
      <c r="BC22" s="118">
        <f t="shared" si="32"/>
        <v>647.4981568437064</v>
      </c>
      <c r="BD22" s="117">
        <f t="shared" si="33"/>
        <v>8.9995459320993199</v>
      </c>
      <c r="BE22" s="14">
        <f t="shared" si="34"/>
        <v>7.3472985108900382</v>
      </c>
      <c r="BF22" s="25">
        <v>1.0808848989999</v>
      </c>
      <c r="BG22" s="22">
        <f t="shared" si="35"/>
        <v>1.1192863287972532</v>
      </c>
      <c r="BH22" s="38">
        <f t="shared" si="36"/>
        <v>3.840142979735317E-2</v>
      </c>
      <c r="BI22" s="115">
        <f t="shared" si="37"/>
        <v>1.4422428128124687</v>
      </c>
      <c r="BJ22" s="163">
        <f t="shared" si="38"/>
        <v>4.7959520075261247E-2</v>
      </c>
      <c r="BK22" s="116">
        <f t="shared" si="39"/>
        <v>384.01429797353171</v>
      </c>
      <c r="BL22" s="115">
        <f t="shared" si="40"/>
        <v>1.7424219646021804</v>
      </c>
      <c r="BM22" s="157">
        <f t="shared" si="41"/>
        <v>1742.4219646021804</v>
      </c>
      <c r="BN22" s="117">
        <f t="shared" si="42"/>
        <v>1442.2428128124686</v>
      </c>
      <c r="BO22" s="161">
        <f t="shared" si="43"/>
        <v>124.88993333932288</v>
      </c>
      <c r="BP22" s="161">
        <f t="shared" si="44"/>
        <v>7.352006375456754</v>
      </c>
    </row>
    <row r="23" spans="1:68" ht="15.75">
      <c r="A23" s="67">
        <v>21</v>
      </c>
      <c r="B23" s="134">
        <v>3</v>
      </c>
      <c r="C23" s="66" t="s">
        <v>419</v>
      </c>
      <c r="D23" s="66" t="s">
        <v>422</v>
      </c>
      <c r="E23" s="66" t="s">
        <v>410</v>
      </c>
      <c r="F23" s="66" t="s">
        <v>411</v>
      </c>
      <c r="G23" s="66">
        <v>3</v>
      </c>
      <c r="H23" s="66" t="s">
        <v>429</v>
      </c>
      <c r="I23" s="66">
        <v>100</v>
      </c>
      <c r="J23" s="66">
        <v>7.82</v>
      </c>
      <c r="K23" s="66">
        <v>30</v>
      </c>
      <c r="L23" s="66" t="s">
        <v>82</v>
      </c>
      <c r="M23" s="66">
        <v>1</v>
      </c>
      <c r="N23"/>
      <c r="O23"/>
      <c r="P23"/>
      <c r="Q23" s="66">
        <v>7.82</v>
      </c>
      <c r="R23">
        <v>5.5587951807228926</v>
      </c>
      <c r="S23" s="55">
        <v>2.2612048192771086</v>
      </c>
      <c r="T23" s="82">
        <v>129</v>
      </c>
      <c r="U23" s="82" t="s">
        <v>209</v>
      </c>
      <c r="V23" s="83">
        <v>12.830360000000001</v>
      </c>
      <c r="W23" s="83">
        <v>1584.1106366888087</v>
      </c>
      <c r="X23" s="83">
        <v>8.5774500000000007</v>
      </c>
      <c r="Y23" s="83">
        <v>11.379856199276404</v>
      </c>
      <c r="Z23" s="69" t="s">
        <v>54</v>
      </c>
      <c r="AA23" s="73">
        <v>5.5661983611111108</v>
      </c>
      <c r="AB23" s="73">
        <v>3.0248816727959098</v>
      </c>
      <c r="AC23" s="73">
        <v>3.9982883888888887</v>
      </c>
      <c r="AD23" s="73">
        <v>-25.508901929003891</v>
      </c>
      <c r="AE23" s="73">
        <v>2.2461111111111109</v>
      </c>
      <c r="AF23" s="73">
        <v>2.2461111111111109</v>
      </c>
      <c r="AG23" s="32">
        <f t="shared" si="13"/>
        <v>1.1379460310984945E-2</v>
      </c>
      <c r="AH23" s="32">
        <f t="shared" si="14"/>
        <v>0.25846953038557846</v>
      </c>
      <c r="AI23" s="33">
        <f t="shared" si="15"/>
        <v>0.14600257239564882</v>
      </c>
      <c r="AJ23" s="34">
        <f t="shared" si="16"/>
        <v>2.2170094734057804</v>
      </c>
      <c r="AK23" s="16">
        <f t="shared" si="4"/>
        <v>8.8261442069685978E-3</v>
      </c>
      <c r="AL23" s="16">
        <f t="shared" si="5"/>
        <v>0.1340226065844172</v>
      </c>
      <c r="AM23" s="27">
        <f t="shared" si="17"/>
        <v>8.826144206968598</v>
      </c>
      <c r="AN23" s="27">
        <f t="shared" si="18"/>
        <v>134.02260658441719</v>
      </c>
      <c r="AO23" s="29" t="e">
        <f t="shared" si="19"/>
        <v>#VALUE!</v>
      </c>
      <c r="AP23" s="29" t="e">
        <f t="shared" si="20"/>
        <v>#VALUE!</v>
      </c>
      <c r="AQ23" s="27">
        <f t="shared" si="21"/>
        <v>15.184728851201061</v>
      </c>
      <c r="AR23" s="14">
        <f t="shared" si="22"/>
        <v>1583.0657550160126</v>
      </c>
      <c r="AS23" s="25">
        <v>0.36849740461643371</v>
      </c>
      <c r="AT23" s="22">
        <f t="shared" si="23"/>
        <v>0.94060361131088466</v>
      </c>
      <c r="AU23" s="22">
        <f t="shared" si="24"/>
        <v>0.57210620669445089</v>
      </c>
      <c r="AV23" s="115">
        <f t="shared" si="25"/>
        <v>0.22552674226214467</v>
      </c>
      <c r="AW23" s="163">
        <f t="shared" si="26"/>
        <v>5.049491881987006E-2</v>
      </c>
      <c r="AX23" s="116">
        <f t="shared" si="27"/>
        <v>5721.0620669445088</v>
      </c>
      <c r="AY23" s="115">
        <f t="shared" si="28"/>
        <v>0.35176403931181977</v>
      </c>
      <c r="AZ23" s="157">
        <f t="shared" si="29"/>
        <v>351.76403931181977</v>
      </c>
      <c r="BA23" s="117">
        <f t="shared" si="30"/>
        <v>225.52674226214467</v>
      </c>
      <c r="BB23" s="118">
        <f t="shared" si="31"/>
        <v>7.7812709454068649</v>
      </c>
      <c r="BC23" s="118">
        <f t="shared" si="32"/>
        <v>39.085790609283968</v>
      </c>
      <c r="BD23" s="117">
        <f t="shared" si="33"/>
        <v>8.826144206968598</v>
      </c>
      <c r="BE23" s="14">
        <f t="shared" si="34"/>
        <v>10.858758128280293</v>
      </c>
      <c r="BF23" s="25">
        <v>1.0808848989999</v>
      </c>
      <c r="BG23" s="22">
        <f t="shared" si="35"/>
        <v>1.1231441695751867</v>
      </c>
      <c r="BH23" s="38">
        <f t="shared" si="36"/>
        <v>4.2259270575286667E-2</v>
      </c>
      <c r="BI23" s="115">
        <f t="shared" si="37"/>
        <v>0.24299194620527068</v>
      </c>
      <c r="BJ23" s="163">
        <f t="shared" si="38"/>
        <v>5.6636975948560819E-2</v>
      </c>
      <c r="BK23" s="116">
        <f t="shared" si="39"/>
        <v>422.59270575286666</v>
      </c>
      <c r="BL23" s="115">
        <f t="shared" si="40"/>
        <v>0.41495837935233154</v>
      </c>
      <c r="BM23" s="157">
        <f t="shared" si="41"/>
        <v>414.95837935233152</v>
      </c>
      <c r="BN23" s="117">
        <f t="shared" si="42"/>
        <v>242.99194620527066</v>
      </c>
      <c r="BO23" s="161">
        <f t="shared" si="43"/>
        <v>134.02260658441719</v>
      </c>
      <c r="BP23" s="161">
        <f t="shared" si="44"/>
        <v>5.0230599709878447</v>
      </c>
    </row>
    <row r="24" spans="1:68" ht="15.75">
      <c r="A24" s="67">
        <v>22</v>
      </c>
      <c r="B24" s="134">
        <v>3</v>
      </c>
      <c r="C24" s="66" t="s">
        <v>421</v>
      </c>
      <c r="D24" s="66" t="s">
        <v>424</v>
      </c>
      <c r="E24" s="66" t="s">
        <v>410</v>
      </c>
      <c r="F24" s="66" t="s">
        <v>411</v>
      </c>
      <c r="G24" s="66">
        <v>3</v>
      </c>
      <c r="H24" s="66" t="s">
        <v>429</v>
      </c>
      <c r="I24" s="66">
        <v>100</v>
      </c>
      <c r="J24" s="66">
        <v>7.15</v>
      </c>
      <c r="K24" s="66">
        <v>30</v>
      </c>
      <c r="L24" s="66" t="s">
        <v>83</v>
      </c>
      <c r="M24" s="66">
        <v>1</v>
      </c>
      <c r="N24"/>
      <c r="O24"/>
      <c r="P24"/>
      <c r="Q24" s="66">
        <v>7.15</v>
      </c>
      <c r="R24">
        <v>3.8669977924944812</v>
      </c>
      <c r="S24" s="55">
        <v>3.2830022075055192</v>
      </c>
      <c r="T24" s="80">
        <v>130</v>
      </c>
      <c r="U24" s="80" t="s">
        <v>210</v>
      </c>
      <c r="V24" s="81">
        <v>5.6651210000000001</v>
      </c>
      <c r="W24" s="81">
        <v>1312.2469043323244</v>
      </c>
      <c r="X24" s="81">
        <v>4.1254332500000004</v>
      </c>
      <c r="Y24" s="81">
        <v>-3.0537534258326438</v>
      </c>
      <c r="Z24" s="69" t="s">
        <v>54</v>
      </c>
      <c r="AA24" s="73">
        <v>5.5661983611111108</v>
      </c>
      <c r="AB24" s="73">
        <v>3.0248816727959098</v>
      </c>
      <c r="AC24" s="73">
        <v>3.9982883888888887</v>
      </c>
      <c r="AD24" s="73">
        <v>-25.508901929003891</v>
      </c>
      <c r="AE24" s="73">
        <v>2.2461111111111109</v>
      </c>
      <c r="AF24" s="73">
        <v>2.2461111111111109</v>
      </c>
      <c r="AG24" s="32">
        <f t="shared" si="13"/>
        <v>1.1379460310984945E-2</v>
      </c>
      <c r="AH24" s="32">
        <f t="shared" si="14"/>
        <v>0.25846953038557846</v>
      </c>
      <c r="AI24" s="33">
        <f t="shared" si="15"/>
        <v>6.446601957642735E-2</v>
      </c>
      <c r="AJ24" s="34">
        <f t="shared" si="16"/>
        <v>1.0662987947645508</v>
      </c>
      <c r="AK24" s="16">
        <f t="shared" si="4"/>
        <v>5.7975563183698614E-3</v>
      </c>
      <c r="AL24" s="16">
        <f t="shared" si="5"/>
        <v>9.5894354195832407E-2</v>
      </c>
      <c r="AM24" s="27">
        <f t="shared" si="17"/>
        <v>5.7975563183698613</v>
      </c>
      <c r="AN24" s="27">
        <f t="shared" si="18"/>
        <v>95.894354195832406</v>
      </c>
      <c r="AO24" s="29" t="e">
        <f t="shared" si="19"/>
        <v>#VALUE!</v>
      </c>
      <c r="AP24" s="29" t="e">
        <f t="shared" si="20"/>
        <v>#VALUE!</v>
      </c>
      <c r="AQ24" s="27">
        <f t="shared" si="21"/>
        <v>16.540478251498154</v>
      </c>
      <c r="AR24" s="14">
        <f t="shared" si="22"/>
        <v>1311.2020226595284</v>
      </c>
      <c r="AS24" s="25">
        <v>0.36849740461643371</v>
      </c>
      <c r="AT24" s="22">
        <f t="shared" si="23"/>
        <v>0.84244050698082507</v>
      </c>
      <c r="AU24" s="22">
        <f t="shared" si="24"/>
        <v>0.47394310236439136</v>
      </c>
      <c r="AV24" s="115">
        <f t="shared" si="25"/>
        <v>9.8755754467901163E-2</v>
      </c>
      <c r="AW24" s="163">
        <f t="shared" si="26"/>
        <v>2.7477118276604911E-2</v>
      </c>
      <c r="AX24" s="116">
        <f t="shared" si="27"/>
        <v>4739.4310236439142</v>
      </c>
      <c r="AY24" s="115">
        <f t="shared" si="28"/>
        <v>0.1674485501594134</v>
      </c>
      <c r="AZ24" s="157">
        <f t="shared" si="29"/>
        <v>167.4485501594134</v>
      </c>
      <c r="BA24" s="117">
        <f t="shared" si="30"/>
        <v>98.75575446790117</v>
      </c>
      <c r="BB24" s="118">
        <f t="shared" si="31"/>
        <v>4.7869258993860075</v>
      </c>
      <c r="BC24" s="118">
        <f t="shared" si="32"/>
        <v>97.498208734047296</v>
      </c>
      <c r="BD24" s="117">
        <f t="shared" si="33"/>
        <v>5.7975563183698613</v>
      </c>
      <c r="BE24" s="14">
        <f t="shared" si="34"/>
        <v>-3.5748514968287544</v>
      </c>
      <c r="BF24" s="25">
        <v>1.0808848989999</v>
      </c>
      <c r="BG24" s="22">
        <f t="shared" si="35"/>
        <v>1.107284859708596</v>
      </c>
      <c r="BH24" s="38">
        <f t="shared" si="36"/>
        <v>2.6399960708695991E-2</v>
      </c>
      <c r="BI24" s="115">
        <f t="shared" si="37"/>
        <v>3.9336767902822117E-2</v>
      </c>
      <c r="BJ24" s="163">
        <f t="shared" si="38"/>
        <v>2.5316071829557519E-2</v>
      </c>
      <c r="BK24" s="116">
        <f t="shared" si="39"/>
        <v>263.99960708695988</v>
      </c>
      <c r="BL24" s="115">
        <f t="shared" si="40"/>
        <v>0.10754404346456867</v>
      </c>
      <c r="BM24" s="157">
        <f t="shared" si="41"/>
        <v>107.54404346456867</v>
      </c>
      <c r="BN24" s="117">
        <f t="shared" si="42"/>
        <v>39.336767902822118</v>
      </c>
      <c r="BO24" s="161">
        <f t="shared" si="43"/>
        <v>95.894354195832406</v>
      </c>
      <c r="BP24" s="161">
        <f t="shared" si="44"/>
        <v>20.367603506574618</v>
      </c>
    </row>
    <row r="25" spans="1:68" ht="15.75">
      <c r="A25" s="67">
        <v>23</v>
      </c>
      <c r="B25" s="134">
        <v>3</v>
      </c>
      <c r="C25" s="66" t="s">
        <v>423</v>
      </c>
      <c r="D25" s="66" t="s">
        <v>414</v>
      </c>
      <c r="E25" s="66" t="s">
        <v>410</v>
      </c>
      <c r="F25" s="66" t="s">
        <v>411</v>
      </c>
      <c r="G25" s="66">
        <v>3</v>
      </c>
      <c r="H25" s="66" t="s">
        <v>429</v>
      </c>
      <c r="I25" s="66">
        <v>100</v>
      </c>
      <c r="J25" s="66">
        <v>10.01</v>
      </c>
      <c r="K25" s="66">
        <v>30</v>
      </c>
      <c r="L25" s="66" t="s">
        <v>84</v>
      </c>
      <c r="M25" s="66">
        <v>1</v>
      </c>
      <c r="N25"/>
      <c r="O25"/>
      <c r="P25"/>
      <c r="Q25" s="66">
        <v>10.01</v>
      </c>
      <c r="R25">
        <v>5.3664259567387678</v>
      </c>
      <c r="S25" s="55">
        <v>4.643574043261232</v>
      </c>
      <c r="T25" s="80">
        <v>132</v>
      </c>
      <c r="U25" s="80" t="s">
        <v>212</v>
      </c>
      <c r="V25" s="81">
        <v>2.1247180000000001</v>
      </c>
      <c r="W25" s="81">
        <v>683.96662715281104</v>
      </c>
      <c r="X25" s="81">
        <v>1.1550164999999999</v>
      </c>
      <c r="Y25" s="81">
        <v>-22.629625458936047</v>
      </c>
      <c r="Z25" s="69" t="s">
        <v>54</v>
      </c>
      <c r="AA25" s="73">
        <v>5.5661983611111108</v>
      </c>
      <c r="AB25" s="73">
        <v>3.0248816727959098</v>
      </c>
      <c r="AC25" s="73">
        <v>3.9982883888888887</v>
      </c>
      <c r="AD25" s="73">
        <v>-25.508901929003891</v>
      </c>
      <c r="AE25" s="73">
        <v>2.2461111111111109</v>
      </c>
      <c r="AF25" s="73">
        <v>2.2461111111111109</v>
      </c>
      <c r="AG25" s="32">
        <f t="shared" si="13"/>
        <v>1.1379460310984945E-2</v>
      </c>
      <c r="AH25" s="32">
        <f t="shared" si="14"/>
        <v>0.25846953038557846</v>
      </c>
      <c r="AI25" s="33">
        <f t="shared" si="15"/>
        <v>2.4178144153035312E-2</v>
      </c>
      <c r="AJ25" s="34">
        <f t="shared" si="16"/>
        <v>0.29853657234259445</v>
      </c>
      <c r="AK25" s="16">
        <f t="shared" si="4"/>
        <v>2.2006963817339615E-3</v>
      </c>
      <c r="AL25" s="16">
        <f t="shared" si="5"/>
        <v>2.7172819816575076E-2</v>
      </c>
      <c r="AM25" s="27">
        <f t="shared" si="17"/>
        <v>2.2006963817339615</v>
      </c>
      <c r="AN25" s="27">
        <f t="shared" si="18"/>
        <v>27.172819816575075</v>
      </c>
      <c r="AO25" s="29" t="e">
        <f t="shared" si="19"/>
        <v>#VALUE!</v>
      </c>
      <c r="AP25" s="29" t="e">
        <f t="shared" si="20"/>
        <v>#VALUE!</v>
      </c>
      <c r="AQ25" s="27">
        <f t="shared" si="21"/>
        <v>12.347373332419988</v>
      </c>
      <c r="AR25" s="14">
        <f t="shared" si="22"/>
        <v>682.92174548001515</v>
      </c>
      <c r="AS25" s="25">
        <v>0.36849740461643371</v>
      </c>
      <c r="AT25" s="22">
        <f t="shared" si="23"/>
        <v>0.61483838495020771</v>
      </c>
      <c r="AU25" s="22">
        <f t="shared" si="24"/>
        <v>0.246340980333774</v>
      </c>
      <c r="AV25" s="115">
        <f t="shared" si="25"/>
        <v>0.31506285560322517</v>
      </c>
      <c r="AW25" s="163">
        <f t="shared" si="26"/>
        <v>5.4212170409333347E-3</v>
      </c>
      <c r="AX25" s="116">
        <f t="shared" si="27"/>
        <v>2463.40980333774</v>
      </c>
      <c r="AY25" s="115">
        <f t="shared" si="28"/>
        <v>0.32861589820555848</v>
      </c>
      <c r="AZ25" s="157">
        <f t="shared" si="29"/>
        <v>328.61589820555849</v>
      </c>
      <c r="BA25" s="117">
        <f t="shared" si="30"/>
        <v>315.06285560322516</v>
      </c>
      <c r="BB25" s="118">
        <f t="shared" si="31"/>
        <v>78.028453798379019</v>
      </c>
      <c r="BC25" s="118">
        <f t="shared" si="32"/>
        <v>445.84292759605154</v>
      </c>
      <c r="BD25" s="117">
        <f t="shared" si="33"/>
        <v>2.2006963817339615</v>
      </c>
      <c r="BE25" s="14">
        <f t="shared" si="34"/>
        <v>-23.150723529932158</v>
      </c>
      <c r="BF25" s="25">
        <v>1.0808848989999</v>
      </c>
      <c r="BG25" s="22">
        <f t="shared" si="35"/>
        <v>1.0857672222598034</v>
      </c>
      <c r="BH25" s="38">
        <f t="shared" si="36"/>
        <v>4.8823232599033428E-3</v>
      </c>
      <c r="BI25" s="115">
        <f t="shared" si="37"/>
        <v>0.18804033939729528</v>
      </c>
      <c r="BJ25" s="163">
        <f t="shared" si="38"/>
        <v>1.3266649022762697E-3</v>
      </c>
      <c r="BK25" s="116">
        <f t="shared" si="39"/>
        <v>48.823232599033432</v>
      </c>
      <c r="BL25" s="115">
        <f t="shared" si="40"/>
        <v>0.21486204407764789</v>
      </c>
      <c r="BM25" s="157">
        <f t="shared" si="41"/>
        <v>214.86204407764788</v>
      </c>
      <c r="BN25" s="117">
        <f t="shared" si="42"/>
        <v>188.04033939729527</v>
      </c>
      <c r="BO25" s="161">
        <f t="shared" si="43"/>
        <v>27.172819816575075</v>
      </c>
      <c r="BP25" s="161">
        <f t="shared" si="44"/>
        <v>5.7138506005525072</v>
      </c>
    </row>
    <row r="26" spans="1:68" ht="15.75">
      <c r="A26" s="67">
        <v>24</v>
      </c>
      <c r="B26" s="134">
        <v>3</v>
      </c>
      <c r="C26" s="66" t="s">
        <v>425</v>
      </c>
      <c r="D26" s="66" t="s">
        <v>409</v>
      </c>
      <c r="E26" s="66" t="s">
        <v>410</v>
      </c>
      <c r="F26" s="66" t="s">
        <v>411</v>
      </c>
      <c r="G26" s="66">
        <v>3</v>
      </c>
      <c r="H26" s="66" t="s">
        <v>429</v>
      </c>
      <c r="I26" s="66">
        <v>100</v>
      </c>
      <c r="J26" s="66">
        <v>8.89</v>
      </c>
      <c r="K26" s="66">
        <v>30</v>
      </c>
      <c r="L26" s="66" t="s">
        <v>85</v>
      </c>
      <c r="M26" s="66">
        <v>1</v>
      </c>
      <c r="N26"/>
      <c r="O26"/>
      <c r="P26"/>
      <c r="Q26" s="66">
        <v>8.89</v>
      </c>
      <c r="R26">
        <v>4.4604878048780501</v>
      </c>
      <c r="S26" s="55">
        <v>4.4295121951219505</v>
      </c>
      <c r="T26" s="82">
        <v>133</v>
      </c>
      <c r="U26" s="82" t="s">
        <v>213</v>
      </c>
      <c r="V26" s="83">
        <v>7.9669825000000003</v>
      </c>
      <c r="W26" s="83">
        <v>1101.7326398965754</v>
      </c>
      <c r="X26" s="83">
        <v>5.0831315000000004</v>
      </c>
      <c r="Y26" s="83">
        <v>-1.6725509158680993</v>
      </c>
      <c r="Z26" s="69" t="s">
        <v>54</v>
      </c>
      <c r="AA26" s="73">
        <v>5.5661983611111108</v>
      </c>
      <c r="AB26" s="73">
        <v>3.0248816727959098</v>
      </c>
      <c r="AC26" s="73">
        <v>3.9982883888888887</v>
      </c>
      <c r="AD26" s="73">
        <v>-25.508901929003891</v>
      </c>
      <c r="AE26" s="73">
        <v>2.2461111111111109</v>
      </c>
      <c r="AF26" s="73">
        <v>2.2461111111111109</v>
      </c>
      <c r="AG26" s="32">
        <f t="shared" si="13"/>
        <v>1.1379460310984945E-2</v>
      </c>
      <c r="AH26" s="32">
        <f t="shared" si="14"/>
        <v>0.25846953038557846</v>
      </c>
      <c r="AI26" s="33">
        <f t="shared" si="15"/>
        <v>9.0659961157061625E-2</v>
      </c>
      <c r="AJ26" s="34">
        <f t="shared" si="16"/>
        <v>1.3138346116931412</v>
      </c>
      <c r="AK26" s="16">
        <f t="shared" si="4"/>
        <v>9.0240239114667813E-3</v>
      </c>
      <c r="AL26" s="16">
        <f t="shared" si="5"/>
        <v>0.13077520440464133</v>
      </c>
      <c r="AM26" s="27">
        <f t="shared" si="17"/>
        <v>9.0240239114667808</v>
      </c>
      <c r="AN26" s="27">
        <f t="shared" si="18"/>
        <v>130.77520440464133</v>
      </c>
      <c r="AO26" s="29" t="e">
        <f t="shared" si="19"/>
        <v>#VALUE!</v>
      </c>
      <c r="AP26" s="29" t="e">
        <f t="shared" si="20"/>
        <v>#VALUE!</v>
      </c>
      <c r="AQ26" s="27">
        <f t="shared" si="21"/>
        <v>14.491894712121271</v>
      </c>
      <c r="AR26" s="14">
        <f t="shared" si="22"/>
        <v>1100.6877582237794</v>
      </c>
      <c r="AS26" s="25">
        <v>0.36849740461643371</v>
      </c>
      <c r="AT26" s="22">
        <f t="shared" si="23"/>
        <v>0.7662953886930941</v>
      </c>
      <c r="AU26" s="22">
        <f t="shared" si="24"/>
        <v>0.39779798407666039</v>
      </c>
      <c r="AV26" s="115">
        <f t="shared" si="25"/>
        <v>0.10099959136412499</v>
      </c>
      <c r="AW26" s="163">
        <f t="shared" si="26"/>
        <v>3.5897385202410648E-2</v>
      </c>
      <c r="AX26" s="116">
        <f t="shared" si="27"/>
        <v>3977.9798407666044</v>
      </c>
      <c r="AY26" s="115">
        <f t="shared" si="28"/>
        <v>0.19074305437015163</v>
      </c>
      <c r="AZ26" s="157">
        <f t="shared" si="29"/>
        <v>190.74305437015164</v>
      </c>
      <c r="BA26" s="117">
        <f t="shared" si="30"/>
        <v>100.999591364125</v>
      </c>
      <c r="BB26" s="118">
        <f t="shared" si="31"/>
        <v>14.835901239905596</v>
      </c>
      <c r="BC26" s="118">
        <f t="shared" si="32"/>
        <v>103.07108654187756</v>
      </c>
      <c r="BD26" s="117">
        <f t="shared" si="33"/>
        <v>9.0240239114667808</v>
      </c>
      <c r="BE26" s="14">
        <f t="shared" si="34"/>
        <v>-2.1936489868642099</v>
      </c>
      <c r="BF26" s="25">
        <v>1.0808848989999</v>
      </c>
      <c r="BG26" s="22">
        <f t="shared" si="35"/>
        <v>1.1088027125764326</v>
      </c>
      <c r="BH26" s="38">
        <f t="shared" si="36"/>
        <v>2.7917813576532557E-2</v>
      </c>
      <c r="BI26" s="115">
        <f t="shared" si="37"/>
        <v>2.375832544474633E-2</v>
      </c>
      <c r="BJ26" s="163">
        <f t="shared" si="38"/>
        <v>3.6509577770017156E-2</v>
      </c>
      <c r="BK26" s="116">
        <f t="shared" si="39"/>
        <v>279.17813576532558</v>
      </c>
      <c r="BL26" s="115">
        <f t="shared" si="40"/>
        <v>0.11800206055038252</v>
      </c>
      <c r="BM26" s="157">
        <f t="shared" si="41"/>
        <v>118.00206055038252</v>
      </c>
      <c r="BN26" s="117">
        <f t="shared" si="42"/>
        <v>23.75832544474633</v>
      </c>
      <c r="BO26" s="161">
        <f t="shared" si="43"/>
        <v>130.77520440464133</v>
      </c>
      <c r="BP26" s="161">
        <f t="shared" si="44"/>
        <v>6.9474098590409215</v>
      </c>
    </row>
    <row r="27" spans="1:68" ht="15.75">
      <c r="A27" s="67">
        <v>25</v>
      </c>
      <c r="B27" s="134">
        <v>4</v>
      </c>
      <c r="C27" s="66" t="s">
        <v>408</v>
      </c>
      <c r="D27" s="66" t="s">
        <v>416</v>
      </c>
      <c r="E27" s="66" t="s">
        <v>410</v>
      </c>
      <c r="F27" s="66" t="s">
        <v>411</v>
      </c>
      <c r="G27" s="66">
        <v>4</v>
      </c>
      <c r="H27" s="66" t="s">
        <v>430</v>
      </c>
      <c r="I27" s="66">
        <v>100</v>
      </c>
      <c r="J27" s="66">
        <v>4.59</v>
      </c>
      <c r="K27" s="66">
        <v>30</v>
      </c>
      <c r="L27" s="66" t="s">
        <v>86</v>
      </c>
      <c r="M27" s="66">
        <v>1</v>
      </c>
      <c r="N27"/>
      <c r="O27"/>
      <c r="P27"/>
      <c r="Q27" s="66">
        <v>4.59</v>
      </c>
      <c r="R27">
        <v>2.6406478405315617</v>
      </c>
      <c r="S27" s="55">
        <v>1.949352159468438</v>
      </c>
      <c r="T27" s="80">
        <v>134</v>
      </c>
      <c r="U27" s="80" t="s">
        <v>214</v>
      </c>
      <c r="V27" s="81">
        <v>2.4514887500000002</v>
      </c>
      <c r="W27" s="81">
        <v>682.95483338621773</v>
      </c>
      <c r="X27" s="81">
        <v>1.606986</v>
      </c>
      <c r="Y27" s="81">
        <v>-21.614155723320977</v>
      </c>
      <c r="Z27" s="69" t="s">
        <v>54</v>
      </c>
      <c r="AA27" s="73">
        <v>5.5661983611111108</v>
      </c>
      <c r="AB27" s="73">
        <v>3.0248816727959098</v>
      </c>
      <c r="AC27" s="73">
        <v>3.9982883888888887</v>
      </c>
      <c r="AD27" s="73">
        <v>-25.508901929003891</v>
      </c>
      <c r="AE27" s="73">
        <v>2.2461111111111109</v>
      </c>
      <c r="AF27" s="73">
        <v>2.2461111111111109</v>
      </c>
      <c r="AG27" s="32">
        <f t="shared" si="13"/>
        <v>1.1379460310984945E-2</v>
      </c>
      <c r="AH27" s="32">
        <f t="shared" si="14"/>
        <v>0.25846953038557846</v>
      </c>
      <c r="AI27" s="33">
        <f t="shared" si="15"/>
        <v>2.7896618933451096E-2</v>
      </c>
      <c r="AJ27" s="34">
        <f t="shared" si="16"/>
        <v>0.41535691675619918</v>
      </c>
      <c r="AK27" s="16">
        <f t="shared" si="4"/>
        <v>2.3027911618790395E-3</v>
      </c>
      <c r="AL27" s="16">
        <f t="shared" si="5"/>
        <v>3.4286600796076365E-2</v>
      </c>
      <c r="AM27" s="27">
        <f t="shared" si="17"/>
        <v>2.3027911618790395</v>
      </c>
      <c r="AN27" s="27">
        <f t="shared" si="18"/>
        <v>34.286600796076364</v>
      </c>
      <c r="AO27" s="29" t="e">
        <f t="shared" si="19"/>
        <v>#VALUE!</v>
      </c>
      <c r="AP27" s="29" t="e">
        <f t="shared" si="20"/>
        <v>#VALUE!</v>
      </c>
      <c r="AQ27" s="27">
        <f t="shared" si="21"/>
        <v>14.889149030821827</v>
      </c>
      <c r="AR27" s="14">
        <f t="shared" si="22"/>
        <v>681.90995171342183</v>
      </c>
      <c r="AS27" s="25">
        <v>0.36849740461643371</v>
      </c>
      <c r="AT27" s="22">
        <f t="shared" si="23"/>
        <v>0.6144710077465424</v>
      </c>
      <c r="AU27" s="22">
        <f t="shared" si="24"/>
        <v>0.24597360313010869</v>
      </c>
      <c r="AV27" s="115">
        <f t="shared" si="25"/>
        <v>0.10064478233872635</v>
      </c>
      <c r="AW27" s="163">
        <f t="shared" si="26"/>
        <v>5.6642583934355673E-3</v>
      </c>
      <c r="AX27" s="116">
        <f t="shared" si="27"/>
        <v>2459.7360313010868</v>
      </c>
      <c r="AY27" s="115">
        <f t="shared" si="28"/>
        <v>0.11480542832231527</v>
      </c>
      <c r="AZ27" s="157">
        <f t="shared" si="29"/>
        <v>114.80542832231528</v>
      </c>
      <c r="BA27" s="117">
        <f t="shared" si="30"/>
        <v>100.64478233872636</v>
      </c>
      <c r="BB27" s="118">
        <f t="shared" si="31"/>
        <v>18.676375362558076</v>
      </c>
      <c r="BC27" s="118">
        <f t="shared" si="32"/>
        <v>146.68111154879892</v>
      </c>
      <c r="BD27" s="117">
        <f t="shared" si="33"/>
        <v>2.3027911618790395</v>
      </c>
      <c r="BE27" s="14">
        <f t="shared" si="34"/>
        <v>-22.135253794317087</v>
      </c>
      <c r="BF27" s="25">
        <v>1.0808848989999</v>
      </c>
      <c r="BG27" s="22">
        <f t="shared" si="35"/>
        <v>1.086883648504096</v>
      </c>
      <c r="BH27" s="38">
        <f t="shared" si="36"/>
        <v>5.9987495041959882E-3</v>
      </c>
      <c r="BI27" s="115">
        <f t="shared" si="37"/>
        <v>8.8136826729948547E-2</v>
      </c>
      <c r="BJ27" s="163">
        <f t="shared" si="38"/>
        <v>2.0567672952602886E-3</v>
      </c>
      <c r="BK27" s="116">
        <f t="shared" si="39"/>
        <v>59.987495041959882</v>
      </c>
      <c r="BL27" s="115">
        <f t="shared" si="40"/>
        <v>0.10429584830934283</v>
      </c>
      <c r="BM27" s="157">
        <f t="shared" si="41"/>
        <v>104.29584830934283</v>
      </c>
      <c r="BN27" s="117">
        <f t="shared" si="42"/>
        <v>88.136826729948552</v>
      </c>
      <c r="BO27" s="161">
        <f t="shared" si="43"/>
        <v>34.286600796076364</v>
      </c>
      <c r="BP27" s="161">
        <f t="shared" si="44"/>
        <v>7.8538318437774333</v>
      </c>
    </row>
    <row r="28" spans="1:68" ht="15.75">
      <c r="A28" s="67">
        <v>26</v>
      </c>
      <c r="B28" s="134">
        <v>4</v>
      </c>
      <c r="C28" s="66" t="s">
        <v>413</v>
      </c>
      <c r="D28" s="66" t="s">
        <v>409</v>
      </c>
      <c r="E28" s="66" t="s">
        <v>410</v>
      </c>
      <c r="F28" s="66" t="s">
        <v>411</v>
      </c>
      <c r="G28" s="66">
        <v>4</v>
      </c>
      <c r="H28" s="66" t="s">
        <v>430</v>
      </c>
      <c r="I28" s="66">
        <v>100</v>
      </c>
      <c r="J28" s="66">
        <v>5.44</v>
      </c>
      <c r="K28" s="66">
        <v>30</v>
      </c>
      <c r="L28" s="66" t="s">
        <v>87</v>
      </c>
      <c r="M28" s="66">
        <v>1</v>
      </c>
      <c r="N28"/>
      <c r="O28"/>
      <c r="P28"/>
      <c r="Q28" s="66">
        <v>5.44</v>
      </c>
      <c r="R28">
        <v>3.6747019867549664</v>
      </c>
      <c r="S28" s="55">
        <v>1.7652980132450338</v>
      </c>
      <c r="T28" s="82">
        <v>135</v>
      </c>
      <c r="U28" s="82" t="s">
        <v>215</v>
      </c>
      <c r="V28" s="83">
        <v>10.023908</v>
      </c>
      <c r="W28" s="83">
        <v>92.625321504389618</v>
      </c>
      <c r="X28" s="83">
        <v>7.5566500000000003</v>
      </c>
      <c r="Y28" s="83">
        <v>-25.038013998667083</v>
      </c>
      <c r="Z28" s="69" t="s">
        <v>54</v>
      </c>
      <c r="AA28" s="73">
        <v>5.5661983611111108</v>
      </c>
      <c r="AB28" s="73">
        <v>3.0248816727959098</v>
      </c>
      <c r="AC28" s="73">
        <v>3.9982883888888887</v>
      </c>
      <c r="AD28" s="73">
        <v>-25.508901929003891</v>
      </c>
      <c r="AE28" s="73">
        <v>2.2461111111111109</v>
      </c>
      <c r="AF28" s="73">
        <v>2.2461111111111109</v>
      </c>
      <c r="AG28" s="32">
        <f t="shared" si="13"/>
        <v>1.1379460310984945E-2</v>
      </c>
      <c r="AH28" s="32">
        <f t="shared" si="14"/>
        <v>0.25846953038557846</v>
      </c>
      <c r="AI28" s="33">
        <f t="shared" si="15"/>
        <v>0.11406666324696449</v>
      </c>
      <c r="AJ28" s="34">
        <f t="shared" si="16"/>
        <v>1.9531637767881815</v>
      </c>
      <c r="AK28" s="16">
        <f t="shared" si="4"/>
        <v>7.4553374671218631E-3</v>
      </c>
      <c r="AL28" s="16">
        <f t="shared" si="5"/>
        <v>0.12765776318877006</v>
      </c>
      <c r="AM28" s="27">
        <f t="shared" si="17"/>
        <v>7.4553374671218631</v>
      </c>
      <c r="AN28" s="27">
        <f t="shared" si="18"/>
        <v>127.65776318877006</v>
      </c>
      <c r="AO28" s="29" t="e">
        <f t="shared" si="19"/>
        <v>#VALUE!</v>
      </c>
      <c r="AP28" s="29" t="e">
        <f t="shared" si="20"/>
        <v>#VALUE!</v>
      </c>
      <c r="AQ28" s="27">
        <f t="shared" si="21"/>
        <v>17.123002647665846</v>
      </c>
      <c r="AR28" s="14">
        <f t="shared" si="22"/>
        <v>91.580439831593708</v>
      </c>
      <c r="AS28" s="25">
        <v>0.36849740461643371</v>
      </c>
      <c r="AT28" s="22">
        <f t="shared" si="23"/>
        <v>0.39966126901216115</v>
      </c>
      <c r="AU28" s="22">
        <f t="shared" si="24"/>
        <v>3.1163864395727436E-2</v>
      </c>
      <c r="AV28" s="115">
        <f t="shared" si="25"/>
        <v>7.7683612173197079E-3</v>
      </c>
      <c r="AW28" s="163">
        <f t="shared" si="26"/>
        <v>2.3233712584977179E-3</v>
      </c>
      <c r="AX28" s="116">
        <f t="shared" si="27"/>
        <v>311.63864395727438</v>
      </c>
      <c r="AY28" s="115">
        <f t="shared" si="28"/>
        <v>1.3576789363564002E-2</v>
      </c>
      <c r="AZ28" s="157">
        <f t="shared" si="29"/>
        <v>13.576789363564002</v>
      </c>
      <c r="BA28" s="117">
        <f t="shared" si="30"/>
        <v>7.7683612173197076</v>
      </c>
      <c r="BB28" s="118">
        <f t="shared" si="31"/>
        <v>34.394501544549385</v>
      </c>
      <c r="BC28" s="118">
        <f t="shared" si="32"/>
        <v>379.42284821056688</v>
      </c>
      <c r="BD28" s="117">
        <f t="shared" si="33"/>
        <v>7.4553374671218631</v>
      </c>
      <c r="BE28" s="14">
        <f t="shared" si="34"/>
        <v>-25.559112069663193</v>
      </c>
      <c r="BF28" s="25">
        <v>1.0808848989999</v>
      </c>
      <c r="BG28" s="22">
        <f t="shared" si="35"/>
        <v>1.0831192945022425</v>
      </c>
      <c r="BH28" s="38">
        <f t="shared" si="36"/>
        <v>2.2343955023425011E-3</v>
      </c>
      <c r="BI28" s="115">
        <f t="shared" si="37"/>
        <v>-8.8156136460962268E-3</v>
      </c>
      <c r="BJ28" s="163">
        <f t="shared" si="38"/>
        <v>2.8523793190809192E-3</v>
      </c>
      <c r="BK28" s="116">
        <f t="shared" si="39"/>
        <v>22.343955023425011</v>
      </c>
      <c r="BL28" s="115">
        <f t="shared" si="40"/>
        <v>-2.7866170541559552E-3</v>
      </c>
      <c r="BM28" s="157">
        <f t="shared" si="41"/>
        <v>-2.7866170541559554</v>
      </c>
      <c r="BN28" s="117">
        <f t="shared" si="42"/>
        <v>-8.8156136460962262</v>
      </c>
      <c r="BO28" s="161">
        <f t="shared" si="43"/>
        <v>127.65776318877006</v>
      </c>
      <c r="BP28" s="161">
        <f t="shared" si="44"/>
        <v>11.031497221121827</v>
      </c>
    </row>
    <row r="29" spans="1:68" ht="15.75">
      <c r="A29" s="67">
        <v>27</v>
      </c>
      <c r="B29" s="134">
        <v>4</v>
      </c>
      <c r="C29" s="66" t="s">
        <v>415</v>
      </c>
      <c r="D29" s="66" t="s">
        <v>418</v>
      </c>
      <c r="E29" s="66" t="s">
        <v>410</v>
      </c>
      <c r="F29" s="66" t="s">
        <v>411</v>
      </c>
      <c r="G29" s="66">
        <v>4</v>
      </c>
      <c r="H29" s="66" t="s">
        <v>430</v>
      </c>
      <c r="I29" s="66">
        <v>100</v>
      </c>
      <c r="J29" s="66">
        <v>7.91</v>
      </c>
      <c r="K29" s="66">
        <v>30</v>
      </c>
      <c r="L29" s="66" t="s">
        <v>88</v>
      </c>
      <c r="M29" s="66">
        <v>1</v>
      </c>
      <c r="N29"/>
      <c r="O29"/>
      <c r="P29"/>
      <c r="Q29" s="66">
        <v>7.91</v>
      </c>
      <c r="R29">
        <v>5.3137560975609768</v>
      </c>
      <c r="S29" s="55">
        <v>2.5962439024390238</v>
      </c>
      <c r="T29" s="80">
        <v>136</v>
      </c>
      <c r="U29" s="80" t="s">
        <v>216</v>
      </c>
      <c r="V29" s="81">
        <v>1.6231211249999999</v>
      </c>
      <c r="W29" s="81">
        <v>626.37796122187729</v>
      </c>
      <c r="X29" s="81">
        <v>1.0652483749999999</v>
      </c>
      <c r="Y29" s="81">
        <v>-25.225216128355925</v>
      </c>
      <c r="Z29" s="69" t="s">
        <v>54</v>
      </c>
      <c r="AA29" s="73">
        <v>5.5661983611111108</v>
      </c>
      <c r="AB29" s="73">
        <v>3.0248816727959098</v>
      </c>
      <c r="AC29" s="73">
        <v>3.9982883888888887</v>
      </c>
      <c r="AD29" s="73">
        <v>-25.508901929003891</v>
      </c>
      <c r="AE29" s="73">
        <v>2.2461111111111109</v>
      </c>
      <c r="AF29" s="73">
        <v>2.2461111111111109</v>
      </c>
      <c r="AG29" s="32">
        <f t="shared" si="13"/>
        <v>1.1379460310984945E-2</v>
      </c>
      <c r="AH29" s="32">
        <f t="shared" si="14"/>
        <v>0.25846953038557846</v>
      </c>
      <c r="AI29" s="33">
        <f t="shared" si="15"/>
        <v>1.8470242421858733E-2</v>
      </c>
      <c r="AJ29" s="34">
        <f t="shared" si="16"/>
        <v>0.27533424723025057</v>
      </c>
      <c r="AK29" s="16">
        <f t="shared" si="4"/>
        <v>1.2172988262815609E-3</v>
      </c>
      <c r="AL29" s="16">
        <f t="shared" si="5"/>
        <v>1.8146164426723978E-2</v>
      </c>
      <c r="AM29" s="27">
        <f t="shared" si="17"/>
        <v>1.2172988262815609</v>
      </c>
      <c r="AN29" s="27">
        <f t="shared" si="18"/>
        <v>18.146164426723978</v>
      </c>
      <c r="AO29" s="29" t="e">
        <f t="shared" si="19"/>
        <v>#VALUE!</v>
      </c>
      <c r="AP29" s="29" t="e">
        <f t="shared" si="20"/>
        <v>#VALUE!</v>
      </c>
      <c r="AQ29" s="27">
        <f t="shared" si="21"/>
        <v>14.906910312363003</v>
      </c>
      <c r="AR29" s="14">
        <f t="shared" si="22"/>
        <v>625.33307954908139</v>
      </c>
      <c r="AS29" s="25">
        <v>0.36849740461643371</v>
      </c>
      <c r="AT29" s="22">
        <f t="shared" si="23"/>
        <v>0.59392390837488063</v>
      </c>
      <c r="AU29" s="22">
        <f t="shared" si="24"/>
        <v>0.22542650375844692</v>
      </c>
      <c r="AV29" s="115">
        <f t="shared" si="25"/>
        <v>0.12064040694088997</v>
      </c>
      <c r="AW29" s="163">
        <f t="shared" si="26"/>
        <v>2.7441141843791332E-3</v>
      </c>
      <c r="AX29" s="116">
        <f t="shared" si="27"/>
        <v>2254.2650375844692</v>
      </c>
      <c r="AY29" s="115">
        <f t="shared" si="28"/>
        <v>0.12750069240183781</v>
      </c>
      <c r="AZ29" s="157">
        <f t="shared" si="29"/>
        <v>127.50069240183781</v>
      </c>
      <c r="BA29" s="117">
        <f t="shared" si="30"/>
        <v>120.64040694088997</v>
      </c>
      <c r="BB29" s="118">
        <f t="shared" si="31"/>
        <v>8.3795585308419618</v>
      </c>
      <c r="BC29" s="118">
        <f t="shared" si="32"/>
        <v>73.442625638046508</v>
      </c>
      <c r="BD29" s="117">
        <f t="shared" si="33"/>
        <v>1.2172988262815609</v>
      </c>
      <c r="BE29" s="14">
        <f t="shared" si="34"/>
        <v>-25.746314199352035</v>
      </c>
      <c r="BF29" s="25">
        <v>1.0808848989999</v>
      </c>
      <c r="BG29" s="22">
        <f t="shared" si="35"/>
        <v>1.0829134672411602</v>
      </c>
      <c r="BH29" s="38">
        <f t="shared" si="36"/>
        <v>2.0285682412601869E-3</v>
      </c>
      <c r="BI29" s="115">
        <f t="shared" si="37"/>
        <v>9.9890963920468395E-2</v>
      </c>
      <c r="BJ29" s="163">
        <f t="shared" si="38"/>
        <v>3.6810732856737627E-4</v>
      </c>
      <c r="BK29" s="116">
        <f t="shared" si="39"/>
        <v>20.285682412601869</v>
      </c>
      <c r="BL29" s="115">
        <f t="shared" si="40"/>
        <v>0.11329760273194538</v>
      </c>
      <c r="BM29" s="157">
        <f t="shared" si="41"/>
        <v>113.29760273194537</v>
      </c>
      <c r="BN29" s="117">
        <f t="shared" si="42"/>
        <v>99.890963920468394</v>
      </c>
      <c r="BO29" s="161">
        <f t="shared" si="43"/>
        <v>18.146164426723978</v>
      </c>
      <c r="BP29" s="161">
        <f t="shared" si="44"/>
        <v>8.7644981973372698</v>
      </c>
    </row>
    <row r="30" spans="1:68" ht="15.75">
      <c r="A30" s="67">
        <v>28</v>
      </c>
      <c r="B30" s="134">
        <v>4</v>
      </c>
      <c r="C30" s="66" t="s">
        <v>417</v>
      </c>
      <c r="D30" s="66" t="s">
        <v>424</v>
      </c>
      <c r="E30" s="66" t="s">
        <v>410</v>
      </c>
      <c r="F30" s="66" t="s">
        <v>411</v>
      </c>
      <c r="G30" s="66">
        <v>4</v>
      </c>
      <c r="H30" s="66" t="s">
        <v>430</v>
      </c>
      <c r="I30" s="66">
        <v>100</v>
      </c>
      <c r="J30" s="66">
        <v>4.96</v>
      </c>
      <c r="K30" s="66">
        <v>30</v>
      </c>
      <c r="L30" s="66" t="s">
        <v>89</v>
      </c>
      <c r="M30" s="66">
        <v>1</v>
      </c>
      <c r="N30"/>
      <c r="O30"/>
      <c r="P30"/>
      <c r="Q30" s="66">
        <v>4.96</v>
      </c>
      <c r="R30">
        <v>3.0523076923076924</v>
      </c>
      <c r="S30" s="55">
        <v>1.9076923076923071</v>
      </c>
      <c r="T30" s="82">
        <v>137</v>
      </c>
      <c r="U30" s="82" t="s">
        <v>217</v>
      </c>
      <c r="V30" s="83">
        <v>10.001783</v>
      </c>
      <c r="W30" s="83">
        <v>1475.8289988209701</v>
      </c>
      <c r="X30" s="83">
        <v>4.9146809999999999</v>
      </c>
      <c r="Y30" s="83">
        <v>7.4878417952287704</v>
      </c>
      <c r="Z30" s="69" t="s">
        <v>54</v>
      </c>
      <c r="AA30" s="73">
        <v>5.5661983611111108</v>
      </c>
      <c r="AB30" s="73">
        <v>3.0248816727959098</v>
      </c>
      <c r="AC30" s="73">
        <v>3.9982883888888887</v>
      </c>
      <c r="AD30" s="73">
        <v>-25.508901929003891</v>
      </c>
      <c r="AE30" s="73">
        <v>2.2461111111111109</v>
      </c>
      <c r="AF30" s="73">
        <v>2.2461111111111109</v>
      </c>
      <c r="AG30" s="32">
        <f t="shared" si="13"/>
        <v>1.1379460310984945E-2</v>
      </c>
      <c r="AH30" s="32">
        <f t="shared" si="14"/>
        <v>0.25846953038557846</v>
      </c>
      <c r="AI30" s="33">
        <f t="shared" si="15"/>
        <v>0.11381489268758394</v>
      </c>
      <c r="AJ30" s="34">
        <f t="shared" si="16"/>
        <v>1.2702952900649251</v>
      </c>
      <c r="AK30" s="16">
        <f t="shared" si="4"/>
        <v>8.5361169515687941E-3</v>
      </c>
      <c r="AL30" s="16">
        <f t="shared" si="5"/>
        <v>9.5272146754869377E-2</v>
      </c>
      <c r="AM30" s="27">
        <f t="shared" si="17"/>
        <v>8.5361169515687934</v>
      </c>
      <c r="AN30" s="27">
        <f t="shared" si="18"/>
        <v>95.272146754869382</v>
      </c>
      <c r="AO30" s="29" t="e">
        <f t="shared" si="19"/>
        <v>#VALUE!</v>
      </c>
      <c r="AP30" s="29" t="e">
        <f t="shared" si="20"/>
        <v>#VALUE!</v>
      </c>
      <c r="AQ30" s="27">
        <f t="shared" si="21"/>
        <v>11.161063900062892</v>
      </c>
      <c r="AR30" s="14">
        <f t="shared" si="22"/>
        <v>1474.7841171481741</v>
      </c>
      <c r="AS30" s="25">
        <v>0.36849740461643371</v>
      </c>
      <c r="AT30" s="22">
        <f t="shared" si="23"/>
        <v>0.90152915450342286</v>
      </c>
      <c r="AU30" s="22">
        <f t="shared" si="24"/>
        <v>0.5330317498869892</v>
      </c>
      <c r="AV30" s="115">
        <f t="shared" si="25"/>
        <v>0.11206990888270475</v>
      </c>
      <c r="AW30" s="163">
        <f t="shared" si="26"/>
        <v>4.5500213559347059E-2</v>
      </c>
      <c r="AX30" s="116">
        <f t="shared" si="27"/>
        <v>5330.317498869892</v>
      </c>
      <c r="AY30" s="115">
        <f t="shared" si="28"/>
        <v>0.22582044278107241</v>
      </c>
      <c r="AZ30" s="157">
        <f t="shared" si="29"/>
        <v>225.82044278107242</v>
      </c>
      <c r="BA30" s="117">
        <f t="shared" si="30"/>
        <v>112.06990888270475</v>
      </c>
      <c r="BB30" s="118">
        <f t="shared" si="31"/>
        <v>13.785634261291989</v>
      </c>
      <c r="BC30" s="118">
        <f t="shared" si="32"/>
        <v>98.275092229033518</v>
      </c>
      <c r="BD30" s="117">
        <f t="shared" si="33"/>
        <v>8.5361169515687934</v>
      </c>
      <c r="BE30" s="14">
        <f t="shared" si="34"/>
        <v>6.9667437242326598</v>
      </c>
      <c r="BF30" s="25">
        <v>1.0808848989999</v>
      </c>
      <c r="BG30" s="22">
        <f t="shared" si="35"/>
        <v>1.118868216837168</v>
      </c>
      <c r="BH30" s="38">
        <f t="shared" si="36"/>
        <v>3.7983317837267938E-2</v>
      </c>
      <c r="BI30" s="115">
        <f t="shared" si="37"/>
        <v>2.6666489107764146E-2</v>
      </c>
      <c r="BJ30" s="163">
        <f t="shared" si="38"/>
        <v>3.6187522312290388E-2</v>
      </c>
      <c r="BK30" s="116">
        <f t="shared" si="39"/>
        <v>379.83317837267936</v>
      </c>
      <c r="BL30" s="115">
        <f t="shared" si="40"/>
        <v>0.12046860602696062</v>
      </c>
      <c r="BM30" s="157">
        <f t="shared" si="41"/>
        <v>120.46860602696061</v>
      </c>
      <c r="BN30" s="117">
        <f t="shared" si="42"/>
        <v>26.666489107764146</v>
      </c>
      <c r="BO30" s="161">
        <f t="shared" si="43"/>
        <v>95.272146754869382</v>
      </c>
      <c r="BP30" s="161">
        <f t="shared" si="44"/>
        <v>7.1288045487305114</v>
      </c>
    </row>
    <row r="31" spans="1:68" ht="15.75">
      <c r="A31" s="67">
        <v>29</v>
      </c>
      <c r="B31" s="134">
        <v>4</v>
      </c>
      <c r="C31" s="66" t="s">
        <v>419</v>
      </c>
      <c r="D31" s="66" t="s">
        <v>414</v>
      </c>
      <c r="E31" s="66" t="s">
        <v>410</v>
      </c>
      <c r="F31" s="66" t="s">
        <v>411</v>
      </c>
      <c r="G31" s="66">
        <v>4</v>
      </c>
      <c r="H31" s="66" t="s">
        <v>430</v>
      </c>
      <c r="I31" s="66">
        <v>100</v>
      </c>
      <c r="J31" s="66">
        <v>17.48</v>
      </c>
      <c r="K31" s="66">
        <v>30</v>
      </c>
      <c r="L31" s="66" t="s">
        <v>90</v>
      </c>
      <c r="M31" s="66">
        <v>1</v>
      </c>
      <c r="N31"/>
      <c r="O31"/>
      <c r="P31"/>
      <c r="Q31" s="66">
        <v>17.48</v>
      </c>
      <c r="R31">
        <v>9.5360223048327164</v>
      </c>
      <c r="S31" s="55">
        <v>7.943977695167284</v>
      </c>
      <c r="T31" s="80">
        <v>138</v>
      </c>
      <c r="U31" s="80" t="s">
        <v>218</v>
      </c>
      <c r="V31" s="81">
        <v>1.6994285</v>
      </c>
      <c r="W31" s="81">
        <v>839.58520635698619</v>
      </c>
      <c r="X31" s="81">
        <v>1.1199874999999999</v>
      </c>
      <c r="Y31" s="81">
        <v>-14.647483704175844</v>
      </c>
      <c r="Z31" s="69" t="s">
        <v>54</v>
      </c>
      <c r="AA31" s="73">
        <v>5.5661983611111108</v>
      </c>
      <c r="AB31" s="73">
        <v>3.0248816727959098</v>
      </c>
      <c r="AC31" s="73">
        <v>3.9982883888888887</v>
      </c>
      <c r="AD31" s="73">
        <v>-25.508901929003891</v>
      </c>
      <c r="AE31" s="73">
        <v>2.2461111111111109</v>
      </c>
      <c r="AF31" s="73">
        <v>2.2461111111111109</v>
      </c>
      <c r="AG31" s="32">
        <f t="shared" si="13"/>
        <v>1.1379460310984945E-2</v>
      </c>
      <c r="AH31" s="32">
        <f t="shared" si="14"/>
        <v>0.25846953038557846</v>
      </c>
      <c r="AI31" s="33">
        <f t="shared" si="15"/>
        <v>1.9338579167106681E-2</v>
      </c>
      <c r="AJ31" s="34">
        <f t="shared" si="16"/>
        <v>0.28948264316271805</v>
      </c>
      <c r="AK31" s="16">
        <f t="shared" si="4"/>
        <v>1.7186187618695029E-3</v>
      </c>
      <c r="AL31" s="16">
        <f t="shared" si="5"/>
        <v>2.572631099089458E-2</v>
      </c>
      <c r="AM31" s="27">
        <f t="shared" si="17"/>
        <v>1.718618761869503</v>
      </c>
      <c r="AN31" s="27">
        <f t="shared" si="18"/>
        <v>25.726310990894582</v>
      </c>
      <c r="AO31" s="29" t="e">
        <f t="shared" si="19"/>
        <v>#VALUE!</v>
      </c>
      <c r="AP31" s="29" t="e">
        <f t="shared" si="20"/>
        <v>#VALUE!</v>
      </c>
      <c r="AQ31" s="27">
        <f t="shared" si="21"/>
        <v>14.969178483138203</v>
      </c>
      <c r="AR31" s="14">
        <f t="shared" si="22"/>
        <v>838.5403246841903</v>
      </c>
      <c r="AS31" s="25">
        <v>0.36849740461643371</v>
      </c>
      <c r="AT31" s="22">
        <f t="shared" si="23"/>
        <v>0.67131038938454579</v>
      </c>
      <c r="AU31" s="22">
        <f t="shared" si="24"/>
        <v>0.30281298476811208</v>
      </c>
      <c r="AV31" s="115">
        <f t="shared" si="25"/>
        <v>0.21312901735469217</v>
      </c>
      <c r="AW31" s="163">
        <f t="shared" si="26"/>
        <v>5.2042007696018145E-3</v>
      </c>
      <c r="AX31" s="116">
        <f t="shared" si="27"/>
        <v>3028.1298476811207</v>
      </c>
      <c r="AY31" s="115">
        <f t="shared" si="28"/>
        <v>0.22613951927869672</v>
      </c>
      <c r="AZ31" s="157">
        <f t="shared" si="29"/>
        <v>226.13951927869672</v>
      </c>
      <c r="BA31" s="117">
        <f t="shared" si="30"/>
        <v>213.12901735469217</v>
      </c>
      <c r="BB31" s="118">
        <f t="shared" si="31"/>
        <v>36.740707625360287</v>
      </c>
      <c r="BC31" s="118">
        <f t="shared" si="32"/>
        <v>339.53226330726164</v>
      </c>
      <c r="BD31" s="117">
        <f t="shared" si="33"/>
        <v>1.718618761869503</v>
      </c>
      <c r="BE31" s="14">
        <f t="shared" si="34"/>
        <v>-15.168581775171955</v>
      </c>
      <c r="BF31" s="25">
        <v>1.0808848989999</v>
      </c>
      <c r="BG31" s="22">
        <f t="shared" si="35"/>
        <v>1.0945422573336214</v>
      </c>
      <c r="BH31" s="38">
        <f t="shared" si="36"/>
        <v>1.3657358333721392E-2</v>
      </c>
      <c r="BI31" s="115">
        <f t="shared" si="37"/>
        <v>0.135672561527347</v>
      </c>
      <c r="BJ31" s="163">
        <f t="shared" si="38"/>
        <v>3.5135344780740231E-3</v>
      </c>
      <c r="BK31" s="116">
        <f t="shared" si="39"/>
        <v>136.57358333721393</v>
      </c>
      <c r="BL31" s="115">
        <f t="shared" si="40"/>
        <v>0.16141546791345043</v>
      </c>
      <c r="BM31" s="157">
        <f t="shared" si="41"/>
        <v>161.41546791345044</v>
      </c>
      <c r="BN31" s="117">
        <f t="shared" si="42"/>
        <v>135.672561527347</v>
      </c>
      <c r="BO31" s="161">
        <f t="shared" si="43"/>
        <v>25.726310990894582</v>
      </c>
      <c r="BP31" s="161">
        <f t="shared" si="44"/>
        <v>9.2413098508995333</v>
      </c>
    </row>
    <row r="32" spans="1:68" ht="15.75">
      <c r="A32" s="67">
        <v>30</v>
      </c>
      <c r="B32" s="134">
        <v>4</v>
      </c>
      <c r="C32" s="66" t="s">
        <v>421</v>
      </c>
      <c r="D32" s="66" t="s">
        <v>420</v>
      </c>
      <c r="E32" s="66" t="s">
        <v>410</v>
      </c>
      <c r="F32" s="66" t="s">
        <v>411</v>
      </c>
      <c r="G32" s="66">
        <v>4</v>
      </c>
      <c r="H32" s="66" t="s">
        <v>430</v>
      </c>
      <c r="I32" s="66">
        <v>100</v>
      </c>
      <c r="J32" s="66">
        <v>11.67</v>
      </c>
      <c r="K32" s="66">
        <v>30</v>
      </c>
      <c r="L32" s="66" t="s">
        <v>91</v>
      </c>
      <c r="M32" s="66">
        <v>1</v>
      </c>
      <c r="N32"/>
      <c r="O32"/>
      <c r="P32"/>
      <c r="Q32" s="66">
        <v>11.67</v>
      </c>
      <c r="R32">
        <v>5.5982577565632452</v>
      </c>
      <c r="S32" s="55">
        <v>6.0717422434367547</v>
      </c>
      <c r="T32" s="82">
        <v>139</v>
      </c>
      <c r="U32" s="82" t="s">
        <v>219</v>
      </c>
      <c r="V32" s="83">
        <v>7.4832530000000004</v>
      </c>
      <c r="W32" s="83">
        <v>879.66516566658834</v>
      </c>
      <c r="X32" s="83">
        <v>4.0239867499999997</v>
      </c>
      <c r="Y32" s="83">
        <v>-4.2481044141885622</v>
      </c>
      <c r="Z32" s="69" t="s">
        <v>54</v>
      </c>
      <c r="AA32" s="73">
        <v>5.5661983611111108</v>
      </c>
      <c r="AB32" s="73">
        <v>3.0248816727959098</v>
      </c>
      <c r="AC32" s="73">
        <v>3.9982883888888887</v>
      </c>
      <c r="AD32" s="73">
        <v>-25.508901929003891</v>
      </c>
      <c r="AE32" s="73">
        <v>2.2461111111111109</v>
      </c>
      <c r="AF32" s="73">
        <v>2.2461111111111109</v>
      </c>
      <c r="AG32" s="32">
        <f t="shared" si="13"/>
        <v>1.1379460310984945E-2</v>
      </c>
      <c r="AH32" s="32">
        <f t="shared" si="14"/>
        <v>0.25846953038557846</v>
      </c>
      <c r="AI32" s="33">
        <f t="shared" si="15"/>
        <v>8.5155380510559028E-2</v>
      </c>
      <c r="AJ32" s="34">
        <f t="shared" si="16"/>
        <v>1.0400779655502901</v>
      </c>
      <c r="AK32" s="16">
        <f t="shared" si="4"/>
        <v>8.9956844751618754E-3</v>
      </c>
      <c r="AL32" s="16">
        <f t="shared" si="5"/>
        <v>0.10987224942877859</v>
      </c>
      <c r="AM32" s="27">
        <f t="shared" si="17"/>
        <v>8.995684475161875</v>
      </c>
      <c r="AN32" s="27">
        <f t="shared" si="18"/>
        <v>109.87224942877859</v>
      </c>
      <c r="AO32" s="29" t="e">
        <f t="shared" si="19"/>
        <v>#VALUE!</v>
      </c>
      <c r="AP32" s="29" t="e">
        <f t="shared" si="20"/>
        <v>#VALUE!</v>
      </c>
      <c r="AQ32" s="27">
        <f t="shared" si="21"/>
        <v>12.213884305541015</v>
      </c>
      <c r="AR32" s="14">
        <f t="shared" si="22"/>
        <v>878.62028399379244</v>
      </c>
      <c r="AS32" s="25">
        <v>0.36849740461643371</v>
      </c>
      <c r="AT32" s="22">
        <f t="shared" si="23"/>
        <v>0.68584450580869638</v>
      </c>
      <c r="AU32" s="22">
        <f t="shared" si="24"/>
        <v>0.31734710119226267</v>
      </c>
      <c r="AV32" s="115">
        <f t="shared" si="25"/>
        <v>0.30881219687899625</v>
      </c>
      <c r="AW32" s="163">
        <f t="shared" si="26"/>
        <v>2.8547543914328618E-2</v>
      </c>
      <c r="AX32" s="116">
        <f t="shared" si="27"/>
        <v>3173.4710119226265</v>
      </c>
      <c r="AY32" s="115">
        <f t="shared" si="28"/>
        <v>0.38018105666481772</v>
      </c>
      <c r="AZ32" s="157">
        <f t="shared" si="29"/>
        <v>380.18105666481773</v>
      </c>
      <c r="BA32" s="117">
        <f t="shared" si="30"/>
        <v>308.81219687899625</v>
      </c>
      <c r="BB32" s="118">
        <f t="shared" si="31"/>
        <v>34.457624724633895</v>
      </c>
      <c r="BC32" s="118">
        <f t="shared" si="32"/>
        <v>245.70356370581325</v>
      </c>
      <c r="BD32" s="117">
        <f t="shared" si="33"/>
        <v>8.995684475161875</v>
      </c>
      <c r="BE32" s="14">
        <f t="shared" si="34"/>
        <v>-4.7692024851846728</v>
      </c>
      <c r="BF32" s="25">
        <v>1.0808848989999</v>
      </c>
      <c r="BG32" s="22">
        <f t="shared" si="35"/>
        <v>1.105972307098753</v>
      </c>
      <c r="BH32" s="38">
        <f t="shared" si="36"/>
        <v>2.5087408098853015E-2</v>
      </c>
      <c r="BI32" s="115">
        <f t="shared" si="37"/>
        <v>0.11011942111152145</v>
      </c>
      <c r="BJ32" s="163">
        <f t="shared" si="38"/>
        <v>2.7564099601587386E-2</v>
      </c>
      <c r="BK32" s="116">
        <f t="shared" si="39"/>
        <v>250.87408098853015</v>
      </c>
      <c r="BL32" s="115">
        <f t="shared" si="40"/>
        <v>0.19279459775443009</v>
      </c>
      <c r="BM32" s="157">
        <f t="shared" si="41"/>
        <v>192.79459775443007</v>
      </c>
      <c r="BN32" s="117">
        <f t="shared" si="42"/>
        <v>110.11942111152145</v>
      </c>
      <c r="BO32" s="161">
        <f t="shared" si="43"/>
        <v>109.87224942877859</v>
      </c>
      <c r="BP32" s="161">
        <f t="shared" si="44"/>
        <v>7.1306007210113584</v>
      </c>
    </row>
    <row r="33" spans="1:68" ht="15.75">
      <c r="A33" s="67">
        <v>31</v>
      </c>
      <c r="B33" s="134">
        <v>4</v>
      </c>
      <c r="C33" s="66" t="s">
        <v>423</v>
      </c>
      <c r="D33" s="66" t="s">
        <v>426</v>
      </c>
      <c r="E33" s="66" t="s">
        <v>410</v>
      </c>
      <c r="F33" s="66" t="s">
        <v>411</v>
      </c>
      <c r="G33" s="66">
        <v>4</v>
      </c>
      <c r="H33" s="66" t="s">
        <v>430</v>
      </c>
      <c r="I33" s="66">
        <v>100</v>
      </c>
      <c r="J33" s="66">
        <v>15.56</v>
      </c>
      <c r="K33" s="66">
        <v>30</v>
      </c>
      <c r="L33" s="66" t="s">
        <v>92</v>
      </c>
      <c r="M33" s="66">
        <v>1</v>
      </c>
      <c r="N33"/>
      <c r="O33"/>
      <c r="P33"/>
      <c r="Q33" s="66">
        <v>15.56</v>
      </c>
      <c r="R33">
        <v>10.996637608966376</v>
      </c>
      <c r="S33" s="55">
        <v>4.5633623910336256</v>
      </c>
      <c r="T33" s="80">
        <v>140</v>
      </c>
      <c r="U33" s="80" t="s">
        <v>220</v>
      </c>
      <c r="V33" s="81">
        <v>2.74769</v>
      </c>
      <c r="W33" s="81">
        <v>299.88608465443826</v>
      </c>
      <c r="X33" s="81">
        <v>1.9534425</v>
      </c>
      <c r="Y33" s="81">
        <v>-25.806348071912527</v>
      </c>
      <c r="Z33" s="69" t="s">
        <v>54</v>
      </c>
      <c r="AA33" s="73">
        <v>5.5661983611111108</v>
      </c>
      <c r="AB33" s="73">
        <v>3.0248816727959098</v>
      </c>
      <c r="AC33" s="73">
        <v>3.9982883888888887</v>
      </c>
      <c r="AD33" s="73">
        <v>-25.508901929003891</v>
      </c>
      <c r="AE33" s="73">
        <v>2.2461111111111109</v>
      </c>
      <c r="AF33" s="73">
        <v>2.2461111111111109</v>
      </c>
      <c r="AG33" s="32">
        <f t="shared" si="13"/>
        <v>1.1379460310984945E-2</v>
      </c>
      <c r="AH33" s="32">
        <f t="shared" si="14"/>
        <v>0.25846953038557846</v>
      </c>
      <c r="AI33" s="33">
        <f t="shared" si="15"/>
        <v>3.1267229301890222E-2</v>
      </c>
      <c r="AJ33" s="34">
        <f t="shared" si="16"/>
        <v>0.50490536561023036</v>
      </c>
      <c r="AK33" s="16">
        <f t="shared" si="4"/>
        <v>1.9072550737158885E-3</v>
      </c>
      <c r="AL33" s="16">
        <f t="shared" si="5"/>
        <v>3.0798485884653407E-2</v>
      </c>
      <c r="AM33" s="27">
        <f t="shared" si="17"/>
        <v>1.9072550737158884</v>
      </c>
      <c r="AN33" s="27">
        <f t="shared" si="18"/>
        <v>30.798485884653406</v>
      </c>
      <c r="AO33" s="29" t="e">
        <f t="shared" si="19"/>
        <v>#VALUE!</v>
      </c>
      <c r="AP33" s="29" t="e">
        <f t="shared" si="20"/>
        <v>#VALUE!</v>
      </c>
      <c r="AQ33" s="27">
        <f t="shared" si="21"/>
        <v>16.14806866113036</v>
      </c>
      <c r="AR33" s="14">
        <f t="shared" si="22"/>
        <v>298.84120298164237</v>
      </c>
      <c r="AS33" s="25">
        <v>0.36849740461643371</v>
      </c>
      <c r="AT33" s="22">
        <f t="shared" si="23"/>
        <v>0.4751852351787067</v>
      </c>
      <c r="AU33" s="22">
        <f t="shared" si="24"/>
        <v>0.10668783056227299</v>
      </c>
      <c r="AV33" s="115">
        <f t="shared" si="25"/>
        <v>0.2522447150575407</v>
      </c>
      <c r="AW33" s="163">
        <f t="shared" si="26"/>
        <v>2.0348090614363619E-3</v>
      </c>
      <c r="AX33" s="116">
        <f t="shared" si="27"/>
        <v>1066.8783056227298</v>
      </c>
      <c r="AY33" s="115">
        <f t="shared" si="28"/>
        <v>0.2573317377111316</v>
      </c>
      <c r="AZ33" s="157">
        <f t="shared" si="29"/>
        <v>257.33173771113161</v>
      </c>
      <c r="BA33" s="117">
        <f t="shared" si="30"/>
        <v>252.2447150575407</v>
      </c>
      <c r="BB33" s="118">
        <f t="shared" si="31"/>
        <v>24.865887027074706</v>
      </c>
      <c r="BC33" s="118">
        <f t="shared" si="32"/>
        <v>205.33262339838672</v>
      </c>
      <c r="BD33" s="117">
        <f t="shared" si="33"/>
        <v>1.9072550737158884</v>
      </c>
      <c r="BE33" s="14">
        <f t="shared" si="34"/>
        <v>-26.327446142908638</v>
      </c>
      <c r="BF33" s="25">
        <v>1.0808848989999</v>
      </c>
      <c r="BG33" s="22">
        <f t="shared" si="35"/>
        <v>1.0822745118083292</v>
      </c>
      <c r="BH33" s="38">
        <f t="shared" si="36"/>
        <v>1.389612808429197E-3</v>
      </c>
      <c r="BI33" s="115">
        <f t="shared" si="37"/>
        <v>0.17525721131027575</v>
      </c>
      <c r="BJ33" s="163">
        <f t="shared" si="38"/>
        <v>4.27979704655402E-4</v>
      </c>
      <c r="BK33" s="116">
        <f t="shared" si="39"/>
        <v>13.89612808429197</v>
      </c>
      <c r="BL33" s="115">
        <f t="shared" si="40"/>
        <v>0.19823431198569871</v>
      </c>
      <c r="BM33" s="157">
        <f t="shared" si="41"/>
        <v>198.23431198569872</v>
      </c>
      <c r="BN33" s="117">
        <f t="shared" si="42"/>
        <v>175.25721131027575</v>
      </c>
      <c r="BO33" s="161">
        <f t="shared" si="43"/>
        <v>30.798485884653406</v>
      </c>
      <c r="BP33" s="161">
        <f t="shared" si="44"/>
        <v>8.2576030034566852</v>
      </c>
    </row>
    <row r="34" spans="1:68" ht="15.75">
      <c r="A34" s="67">
        <v>32</v>
      </c>
      <c r="B34" s="134">
        <v>4</v>
      </c>
      <c r="C34" s="66" t="s">
        <v>425</v>
      </c>
      <c r="D34" s="66" t="s">
        <v>422</v>
      </c>
      <c r="E34" s="66" t="s">
        <v>410</v>
      </c>
      <c r="F34" s="66" t="s">
        <v>411</v>
      </c>
      <c r="G34" s="66">
        <v>4</v>
      </c>
      <c r="H34" s="66" t="s">
        <v>430</v>
      </c>
      <c r="I34" s="66">
        <v>100</v>
      </c>
      <c r="J34" s="66">
        <v>7.53</v>
      </c>
      <c r="K34" s="66">
        <v>30</v>
      </c>
      <c r="L34" s="66" t="s">
        <v>93</v>
      </c>
      <c r="M34" s="66">
        <v>1</v>
      </c>
      <c r="N34"/>
      <c r="O34"/>
      <c r="P34"/>
      <c r="Q34" s="66">
        <v>7.53</v>
      </c>
      <c r="R34">
        <v>4.8432959999999996</v>
      </c>
      <c r="S34" s="55">
        <v>2.6867040000000006</v>
      </c>
      <c r="T34" s="82">
        <v>141</v>
      </c>
      <c r="U34" s="82" t="s">
        <v>221</v>
      </c>
      <c r="V34" s="83">
        <v>8.0421364999999998</v>
      </c>
      <c r="W34" s="83">
        <v>284.10969246942494</v>
      </c>
      <c r="X34" s="83">
        <v>5.1145684999999999</v>
      </c>
      <c r="Y34" s="83">
        <v>-20.515641539140439</v>
      </c>
      <c r="Z34" s="69" t="s">
        <v>54</v>
      </c>
      <c r="AA34" s="73">
        <v>5.5661983611111108</v>
      </c>
      <c r="AB34" s="73">
        <v>3.0248816727959098</v>
      </c>
      <c r="AC34" s="73">
        <v>3.9982883888888887</v>
      </c>
      <c r="AD34" s="73">
        <v>-25.508901929003891</v>
      </c>
      <c r="AE34" s="73">
        <v>2.2461111111111109</v>
      </c>
      <c r="AF34" s="73">
        <v>2.2461111111111109</v>
      </c>
      <c r="AG34" s="32">
        <f t="shared" si="13"/>
        <v>1.1379460310984945E-2</v>
      </c>
      <c r="AH34" s="32">
        <f t="shared" si="14"/>
        <v>0.25846953038557846</v>
      </c>
      <c r="AI34" s="33">
        <f t="shared" si="15"/>
        <v>9.1515173117273377E-2</v>
      </c>
      <c r="AJ34" s="34">
        <f t="shared" si="16"/>
        <v>1.3219601183198724</v>
      </c>
      <c r="AK34" s="16">
        <f t="shared" si="4"/>
        <v>6.4348977448961718E-3</v>
      </c>
      <c r="AL34" s="16">
        <f t="shared" si="5"/>
        <v>9.2953746296455378E-2</v>
      </c>
      <c r="AM34" s="27">
        <f t="shared" si="17"/>
        <v>6.4348977448961717</v>
      </c>
      <c r="AN34" s="27">
        <f t="shared" si="18"/>
        <v>92.953746296455378</v>
      </c>
      <c r="AO34" s="29" t="e">
        <f t="shared" si="19"/>
        <v>#VALUE!</v>
      </c>
      <c r="AP34" s="29" t="e">
        <f t="shared" si="20"/>
        <v>#VALUE!</v>
      </c>
      <c r="AQ34" s="27">
        <f t="shared" si="21"/>
        <v>14.445256161246927</v>
      </c>
      <c r="AR34" s="14">
        <f t="shared" si="22"/>
        <v>283.06481079662905</v>
      </c>
      <c r="AS34" s="25">
        <v>0.36849740461643371</v>
      </c>
      <c r="AT34" s="22">
        <f t="shared" si="23"/>
        <v>0.46944048668435884</v>
      </c>
      <c r="AU34" s="22">
        <f t="shared" si="24"/>
        <v>0.10094308206792513</v>
      </c>
      <c r="AV34" s="115">
        <f t="shared" si="25"/>
        <v>6.4835853366953647E-2</v>
      </c>
      <c r="AW34" s="163">
        <f t="shared" si="26"/>
        <v>6.4955841116176062E-3</v>
      </c>
      <c r="AX34" s="116">
        <f t="shared" si="27"/>
        <v>1009.4308206792513</v>
      </c>
      <c r="AY34" s="115">
        <f t="shared" si="28"/>
        <v>8.1074813645997668E-2</v>
      </c>
      <c r="AZ34" s="157">
        <f t="shared" si="29"/>
        <v>81.074813645997665</v>
      </c>
      <c r="BA34" s="117">
        <f t="shared" si="30"/>
        <v>64.835853366953643</v>
      </c>
      <c r="BB34" s="118">
        <f t="shared" si="31"/>
        <v>10.859885734932552</v>
      </c>
      <c r="BC34" s="118">
        <f t="shared" si="32"/>
        <v>153.48304106958651</v>
      </c>
      <c r="BD34" s="117">
        <f t="shared" si="33"/>
        <v>6.4348977448961717</v>
      </c>
      <c r="BE34" s="14">
        <f t="shared" si="34"/>
        <v>-21.03673961013655</v>
      </c>
      <c r="BF34" s="25">
        <v>1.0808848989999</v>
      </c>
      <c r="BG34" s="22">
        <f t="shared" si="35"/>
        <v>1.0880913469767921</v>
      </c>
      <c r="BH34" s="38">
        <f t="shared" si="36"/>
        <v>7.2064479768920719E-3</v>
      </c>
      <c r="BI34" s="115">
        <f t="shared" si="37"/>
        <v>2.7697694848671392E-2</v>
      </c>
      <c r="BJ34" s="163">
        <f t="shared" si="38"/>
        <v>6.6986633694262974E-3</v>
      </c>
      <c r="BK34" s="116">
        <f t="shared" si="39"/>
        <v>72.064479768920719</v>
      </c>
      <c r="BL34" s="115">
        <f t="shared" si="40"/>
        <v>4.7906565128321053E-2</v>
      </c>
      <c r="BM34" s="157">
        <f t="shared" si="41"/>
        <v>47.906565128321056</v>
      </c>
      <c r="BN34" s="117">
        <f t="shared" si="42"/>
        <v>27.697694848671393</v>
      </c>
      <c r="BO34" s="161">
        <f t="shared" si="43"/>
        <v>92.953746296455378</v>
      </c>
      <c r="BP34" s="161">
        <f t="shared" si="44"/>
        <v>14.13302541258642</v>
      </c>
    </row>
    <row r="35" spans="1:68" ht="15.75">
      <c r="A35" s="67">
        <v>33</v>
      </c>
      <c r="B35" s="66">
        <v>5</v>
      </c>
      <c r="C35" s="66" t="s">
        <v>408</v>
      </c>
      <c r="D35" s="66" t="s">
        <v>420</v>
      </c>
      <c r="E35" s="66" t="s">
        <v>410</v>
      </c>
      <c r="F35" s="66" t="s">
        <v>411</v>
      </c>
      <c r="G35" s="66">
        <v>5</v>
      </c>
      <c r="H35" s="66" t="s">
        <v>431</v>
      </c>
      <c r="I35" s="66">
        <v>100</v>
      </c>
      <c r="J35" s="66">
        <v>11.8</v>
      </c>
      <c r="K35" s="66">
        <v>30</v>
      </c>
      <c r="L35" s="66" t="s">
        <v>94</v>
      </c>
      <c r="M35" s="66">
        <v>1</v>
      </c>
      <c r="N35"/>
      <c r="O35"/>
      <c r="P35"/>
      <c r="Q35" s="66">
        <v>11.8</v>
      </c>
      <c r="R35">
        <v>6.7792479108635115</v>
      </c>
      <c r="S35" s="55">
        <v>5.0207520891364901</v>
      </c>
      <c r="T35" s="80">
        <v>142</v>
      </c>
      <c r="U35" s="80" t="s">
        <v>222</v>
      </c>
      <c r="V35" s="81">
        <v>8.8467839999999995</v>
      </c>
      <c r="W35" s="81">
        <v>1276.3005405956369</v>
      </c>
      <c r="X35" s="81">
        <v>7.0657325000000002</v>
      </c>
      <c r="Y35" s="81">
        <v>-2.8569453289676585</v>
      </c>
      <c r="Z35" s="69" t="s">
        <v>54</v>
      </c>
      <c r="AA35" s="73">
        <v>5.5661983611111108</v>
      </c>
      <c r="AB35" s="73">
        <v>3.0248816727959098</v>
      </c>
      <c r="AC35" s="73">
        <v>3.9982883888888887</v>
      </c>
      <c r="AD35" s="73">
        <v>-25.508901929003891</v>
      </c>
      <c r="AE35" s="73">
        <v>2.2461111111111109</v>
      </c>
      <c r="AF35" s="73">
        <v>2.2461111111111109</v>
      </c>
      <c r="AG35" s="32">
        <f t="shared" si="13"/>
        <v>1.1379460310984945E-2</v>
      </c>
      <c r="AH35" s="32">
        <f t="shared" si="14"/>
        <v>0.25846953038557846</v>
      </c>
      <c r="AI35" s="33">
        <f t="shared" si="15"/>
        <v>0.10067162740785664</v>
      </c>
      <c r="AJ35" s="34">
        <f t="shared" si="16"/>
        <v>1.8262765611051193</v>
      </c>
      <c r="AK35" s="16">
        <f t="shared" ref="AK35:AK66" si="47">((AI35/K35)*(J35+S35))/(R35)</f>
        <v>8.326255406217474E-3</v>
      </c>
      <c r="AL35" s="16">
        <f t="shared" ref="AL35:AL66" si="48">((AJ35/K35)*(J35+S35))/(R35)</f>
        <v>0.151045984669987</v>
      </c>
      <c r="AM35" s="27">
        <f t="shared" si="17"/>
        <v>8.3262554062174736</v>
      </c>
      <c r="AN35" s="27">
        <f t="shared" si="18"/>
        <v>151.04598466998701</v>
      </c>
      <c r="AO35" s="29" t="e">
        <f t="shared" si="19"/>
        <v>#VALUE!</v>
      </c>
      <c r="AP35" s="29" t="e">
        <f t="shared" si="20"/>
        <v>#VALUE!</v>
      </c>
      <c r="AQ35" s="27">
        <f t="shared" si="21"/>
        <v>18.140926178795365</v>
      </c>
      <c r="AR35" s="14">
        <f t="shared" si="22"/>
        <v>1275.2556589228409</v>
      </c>
      <c r="AS35" s="25">
        <v>0.36849740461643371</v>
      </c>
      <c r="AT35" s="22">
        <f t="shared" si="23"/>
        <v>0.82944662155289162</v>
      </c>
      <c r="AU35" s="22">
        <f t="shared" si="24"/>
        <v>0.46094921693645791</v>
      </c>
      <c r="AV35" s="115">
        <f t="shared" si="25"/>
        <v>-9.5949522737722351E-2</v>
      </c>
      <c r="AW35" s="163">
        <f t="shared" si="26"/>
        <v>3.8379809095088945E-2</v>
      </c>
      <c r="AX35" s="116">
        <f t="shared" si="27"/>
        <v>4609.4921693645792</v>
      </c>
      <c r="AY35" s="115">
        <f t="shared" si="28"/>
        <v>0</v>
      </c>
      <c r="AZ35" s="157"/>
      <c r="BA35" s="117"/>
      <c r="BB35" s="118"/>
      <c r="BC35" s="118"/>
      <c r="BD35" s="117">
        <f t="shared" si="33"/>
        <v>8.3262554062174736</v>
      </c>
      <c r="BE35" s="14">
        <f t="shared" si="34"/>
        <v>-3.3780433999637691</v>
      </c>
      <c r="BF35" s="25">
        <v>1.0808848989999</v>
      </c>
      <c r="BG35" s="22">
        <f t="shared" si="35"/>
        <v>1.1075011420160827</v>
      </c>
      <c r="BH35" s="38">
        <f t="shared" si="36"/>
        <v>2.6616243016182706E-2</v>
      </c>
      <c r="BI35" s="115"/>
      <c r="BJ35" s="163">
        <f t="shared" si="38"/>
        <v>4.0202766345949811E-2</v>
      </c>
      <c r="BK35" s="116">
        <f t="shared" si="39"/>
        <v>266.16243016182705</v>
      </c>
      <c r="BL35" s="115"/>
      <c r="BM35" s="157"/>
      <c r="BN35" s="117"/>
      <c r="BO35" s="161">
        <f t="shared" si="43"/>
        <v>151.04598466998701</v>
      </c>
      <c r="BP35" s="161"/>
    </row>
    <row r="36" spans="1:68" ht="15.75">
      <c r="A36" s="67">
        <v>34</v>
      </c>
      <c r="B36" s="66">
        <v>5</v>
      </c>
      <c r="C36" s="66" t="s">
        <v>413</v>
      </c>
      <c r="D36" s="66" t="s">
        <v>424</v>
      </c>
      <c r="E36" s="66" t="s">
        <v>410</v>
      </c>
      <c r="F36" s="66" t="s">
        <v>411</v>
      </c>
      <c r="G36" s="66">
        <v>5</v>
      </c>
      <c r="H36" s="66" t="s">
        <v>431</v>
      </c>
      <c r="I36" s="66">
        <v>100</v>
      </c>
      <c r="J36" s="66">
        <v>7.67</v>
      </c>
      <c r="K36" s="66">
        <v>30</v>
      </c>
      <c r="L36" s="66" t="s">
        <v>95</v>
      </c>
      <c r="M36" s="66">
        <v>1</v>
      </c>
      <c r="N36"/>
      <c r="O36"/>
      <c r="P36"/>
      <c r="Q36" s="66">
        <v>7.67</v>
      </c>
      <c r="R36">
        <v>4.5040049140049128</v>
      </c>
      <c r="S36" s="55">
        <v>3.1659950859950872</v>
      </c>
      <c r="T36" s="80">
        <v>144</v>
      </c>
      <c r="U36" s="80" t="s">
        <v>224</v>
      </c>
      <c r="V36" s="81">
        <v>3.3431782499999998</v>
      </c>
      <c r="W36" s="81">
        <v>844.01496902663655</v>
      </c>
      <c r="X36" s="81">
        <v>3.7119752500000001</v>
      </c>
      <c r="Y36" s="81">
        <v>-10.077325820703734</v>
      </c>
      <c r="Z36" s="69" t="s">
        <v>54</v>
      </c>
      <c r="AA36" s="73">
        <v>5.5661983611111108</v>
      </c>
      <c r="AB36" s="73">
        <v>3.0248816727959098</v>
      </c>
      <c r="AC36" s="73">
        <v>3.9982883888888887</v>
      </c>
      <c r="AD36" s="73">
        <v>-25.508901929003891</v>
      </c>
      <c r="AE36" s="73">
        <v>2.2461111111111109</v>
      </c>
      <c r="AF36" s="73">
        <v>2.2461111111111109</v>
      </c>
      <c r="AG36" s="32">
        <f t="shared" si="13"/>
        <v>1.1379460310984945E-2</v>
      </c>
      <c r="AH36" s="32">
        <f t="shared" si="14"/>
        <v>0.25846953038557846</v>
      </c>
      <c r="AI36" s="33">
        <f t="shared" si="15"/>
        <v>3.80435642084231E-2</v>
      </c>
      <c r="AJ36" s="34">
        <f t="shared" si="16"/>
        <v>0.95943249967039024</v>
      </c>
      <c r="AK36" s="16">
        <f t="shared" si="47"/>
        <v>3.0509134476768888E-3</v>
      </c>
      <c r="AL36" s="16">
        <f t="shared" si="48"/>
        <v>7.6941936863385588E-2</v>
      </c>
      <c r="AM36" s="27">
        <f t="shared" si="17"/>
        <v>3.0509134476768889</v>
      </c>
      <c r="AN36" s="27">
        <f t="shared" si="18"/>
        <v>76.941936863385592</v>
      </c>
      <c r="AO36" s="29" t="e">
        <f t="shared" si="19"/>
        <v>#VALUE!</v>
      </c>
      <c r="AP36" s="29" t="e">
        <f t="shared" si="20"/>
        <v>#VALUE!</v>
      </c>
      <c r="AQ36" s="27">
        <f t="shared" si="21"/>
        <v>25.219311587476483</v>
      </c>
      <c r="AR36" s="14">
        <f t="shared" si="22"/>
        <v>842.97008735384065</v>
      </c>
      <c r="AS36" s="25">
        <v>0.36849740461643371</v>
      </c>
      <c r="AT36" s="22">
        <f t="shared" si="23"/>
        <v>0.67291695456234935</v>
      </c>
      <c r="AU36" s="22">
        <f t="shared" si="24"/>
        <v>0.30441954994591564</v>
      </c>
      <c r="AV36" s="115">
        <f t="shared" si="25"/>
        <v>0.11255342480496854</v>
      </c>
      <c r="AW36" s="163">
        <f t="shared" si="26"/>
        <v>9.2875769866574021E-3</v>
      </c>
      <c r="AX36" s="116">
        <f t="shared" si="27"/>
        <v>3044.1954994591565</v>
      </c>
      <c r="AY36" s="115">
        <f t="shared" si="28"/>
        <v>0.13577236727161204</v>
      </c>
      <c r="AZ36" s="157">
        <f t="shared" si="29"/>
        <v>135.77236727161204</v>
      </c>
      <c r="BA36" s="117">
        <f t="shared" si="30"/>
        <v>112.55342480496853</v>
      </c>
      <c r="BB36" s="118">
        <f t="shared" si="31"/>
        <v>10.21517706845095</v>
      </c>
      <c r="BC36" s="118">
        <f t="shared" si="32"/>
        <v>167.97776728653614</v>
      </c>
      <c r="BD36" s="117">
        <f t="shared" si="33"/>
        <v>3.0509134476768889</v>
      </c>
      <c r="BE36" s="14">
        <f t="shared" si="34"/>
        <v>-10.598423891699845</v>
      </c>
      <c r="BF36" s="25">
        <v>1.0808848989999</v>
      </c>
      <c r="BG36" s="22">
        <f t="shared" si="35"/>
        <v>1.0995656836986949</v>
      </c>
      <c r="BH36" s="38">
        <f t="shared" si="36"/>
        <v>1.8680784698794861E-2</v>
      </c>
      <c r="BI36" s="115">
        <f t="shared" si="37"/>
        <v>5.0599600552250476E-2</v>
      </c>
      <c r="BJ36" s="163">
        <f t="shared" si="38"/>
        <v>1.4373357568531737E-2</v>
      </c>
      <c r="BK36" s="116">
        <f t="shared" si="39"/>
        <v>186.80784698794861</v>
      </c>
      <c r="BL36" s="115">
        <f t="shared" si="40"/>
        <v>9.2857944542611107E-2</v>
      </c>
      <c r="BM36" s="157">
        <f t="shared" si="41"/>
        <v>92.857944542611108</v>
      </c>
      <c r="BN36" s="117">
        <f t="shared" si="42"/>
        <v>50.599600552250479</v>
      </c>
      <c r="BO36" s="161">
        <f t="shared" si="43"/>
        <v>76.941936863385592</v>
      </c>
      <c r="BP36" s="161">
        <f t="shared" si="44"/>
        <v>16.443940830485147</v>
      </c>
    </row>
    <row r="37" spans="1:68" ht="15.75">
      <c r="A37" s="67">
        <v>35</v>
      </c>
      <c r="B37" s="66">
        <v>5</v>
      </c>
      <c r="C37" s="66" t="s">
        <v>415</v>
      </c>
      <c r="D37" s="66" t="s">
        <v>409</v>
      </c>
      <c r="E37" s="66" t="s">
        <v>410</v>
      </c>
      <c r="F37" s="66" t="s">
        <v>411</v>
      </c>
      <c r="G37" s="66">
        <v>5</v>
      </c>
      <c r="H37" s="66" t="s">
        <v>431</v>
      </c>
      <c r="I37" s="66">
        <v>100</v>
      </c>
      <c r="J37" s="66">
        <v>7.93</v>
      </c>
      <c r="K37" s="66">
        <v>30</v>
      </c>
      <c r="L37" s="66" t="s">
        <v>96</v>
      </c>
      <c r="M37" s="66">
        <v>1</v>
      </c>
      <c r="N37"/>
      <c r="O37"/>
      <c r="P37"/>
      <c r="Q37" s="66">
        <v>7.93</v>
      </c>
      <c r="R37">
        <v>4.531428571428572</v>
      </c>
      <c r="S37" s="55">
        <v>3.3985714285714281</v>
      </c>
      <c r="T37" s="82">
        <v>145</v>
      </c>
      <c r="U37" s="82" t="s">
        <v>225</v>
      </c>
      <c r="V37" s="83">
        <v>2.3385864999999999</v>
      </c>
      <c r="W37" s="83">
        <v>488.00607306142768</v>
      </c>
      <c r="X37" s="83">
        <v>2.1636652500000002</v>
      </c>
      <c r="Y37" s="83">
        <v>-17.809496331901883</v>
      </c>
      <c r="Z37" s="69" t="s">
        <v>54</v>
      </c>
      <c r="AA37" s="73">
        <v>5.5661983611111108</v>
      </c>
      <c r="AB37" s="73">
        <v>3.0248816727959098</v>
      </c>
      <c r="AC37" s="73">
        <v>3.9982883888888887</v>
      </c>
      <c r="AD37" s="73">
        <v>-25.508901929003891</v>
      </c>
      <c r="AE37" s="73">
        <v>2.2461111111111109</v>
      </c>
      <c r="AF37" s="73">
        <v>2.2461111111111109</v>
      </c>
      <c r="AG37" s="32">
        <f t="shared" si="13"/>
        <v>1.1379460310984945E-2</v>
      </c>
      <c r="AH37" s="32">
        <f t="shared" si="14"/>
        <v>0.25846953038557846</v>
      </c>
      <c r="AI37" s="33">
        <f t="shared" si="15"/>
        <v>2.6611852260555194E-2</v>
      </c>
      <c r="AJ37" s="34">
        <f t="shared" si="16"/>
        <v>0.55924154107909529</v>
      </c>
      <c r="AK37" s="16">
        <f t="shared" si="47"/>
        <v>2.2176543550462657E-3</v>
      </c>
      <c r="AL37" s="16">
        <f t="shared" si="48"/>
        <v>4.6603461756591261E-2</v>
      </c>
      <c r="AM37" s="27">
        <f t="shared" si="17"/>
        <v>2.2176543550462657</v>
      </c>
      <c r="AN37" s="27">
        <f t="shared" si="18"/>
        <v>46.603461756591258</v>
      </c>
      <c r="AO37" s="29" t="e">
        <f t="shared" si="19"/>
        <v>#VALUE!</v>
      </c>
      <c r="AP37" s="29" t="e">
        <f t="shared" si="20"/>
        <v>#VALUE!</v>
      </c>
      <c r="AQ37" s="27">
        <f t="shared" si="21"/>
        <v>21.014754463672496</v>
      </c>
      <c r="AR37" s="14">
        <f t="shared" si="22"/>
        <v>486.96119138863179</v>
      </c>
      <c r="AS37" s="25">
        <v>0.36849740461643371</v>
      </c>
      <c r="AT37" s="22">
        <f t="shared" si="23"/>
        <v>0.54363538524329125</v>
      </c>
      <c r="AU37" s="22">
        <f t="shared" si="24"/>
        <v>0.17513798062685754</v>
      </c>
      <c r="AV37" s="115">
        <f t="shared" si="25"/>
        <v>0.26807412844146089</v>
      </c>
      <c r="AW37" s="163">
        <f t="shared" si="26"/>
        <v>3.8839550547115909E-3</v>
      </c>
      <c r="AX37" s="116">
        <f t="shared" si="27"/>
        <v>1751.3798062685753</v>
      </c>
      <c r="AY37" s="115">
        <f t="shared" si="28"/>
        <v>0.27778401607823988</v>
      </c>
      <c r="AZ37" s="157">
        <f t="shared" si="29"/>
        <v>277.78401607823986</v>
      </c>
      <c r="BA37" s="117">
        <f t="shared" si="30"/>
        <v>268.07412844146091</v>
      </c>
      <c r="BB37" s="118">
        <f t="shared" si="31"/>
        <v>18.673573591585864</v>
      </c>
      <c r="BC37" s="118">
        <f t="shared" si="32"/>
        <v>377.65041279956574</v>
      </c>
      <c r="BD37" s="117">
        <f t="shared" si="33"/>
        <v>2.2176543550462657</v>
      </c>
      <c r="BE37" s="14">
        <f t="shared" si="34"/>
        <v>-18.330594402897994</v>
      </c>
      <c r="BF37" s="25">
        <v>1.0808848989999</v>
      </c>
      <c r="BG37" s="22">
        <f t="shared" si="35"/>
        <v>1.0910663374500171</v>
      </c>
      <c r="BH37" s="38">
        <f t="shared" si="36"/>
        <v>1.0181438450117097E-2</v>
      </c>
      <c r="BI37" s="115">
        <f t="shared" si="37"/>
        <v>0.12489261473170964</v>
      </c>
      <c r="BJ37" s="163">
        <f t="shared" si="38"/>
        <v>4.7449027743711996E-3</v>
      </c>
      <c r="BK37" s="116">
        <f t="shared" si="39"/>
        <v>101.81438450117098</v>
      </c>
      <c r="BL37" s="115">
        <f t="shared" si="40"/>
        <v>0.15236644850910133</v>
      </c>
      <c r="BM37" s="157">
        <f t="shared" si="41"/>
        <v>152.36644850910133</v>
      </c>
      <c r="BN37" s="117">
        <f t="shared" si="42"/>
        <v>124.89261473170964</v>
      </c>
      <c r="BO37" s="161">
        <f t="shared" si="43"/>
        <v>46.603461756591258</v>
      </c>
      <c r="BP37" s="161">
        <f t="shared" si="44"/>
        <v>20.223789032525165</v>
      </c>
    </row>
    <row r="38" spans="1:68" ht="15.75">
      <c r="A38" s="67">
        <v>36</v>
      </c>
      <c r="B38" s="66">
        <v>5</v>
      </c>
      <c r="C38" s="66" t="s">
        <v>417</v>
      </c>
      <c r="D38" s="66" t="s">
        <v>426</v>
      </c>
      <c r="E38" s="66" t="s">
        <v>410</v>
      </c>
      <c r="F38" s="66" t="s">
        <v>411</v>
      </c>
      <c r="G38" s="66">
        <v>5</v>
      </c>
      <c r="H38" s="66" t="s">
        <v>431</v>
      </c>
      <c r="I38" s="66">
        <v>100</v>
      </c>
      <c r="J38" s="66">
        <v>7.41</v>
      </c>
      <c r="K38" s="66">
        <v>30</v>
      </c>
      <c r="L38" s="66" t="s">
        <v>97</v>
      </c>
      <c r="M38" s="66">
        <v>1</v>
      </c>
      <c r="N38"/>
      <c r="O38"/>
      <c r="P38"/>
      <c r="Q38" s="66">
        <v>7.41</v>
      </c>
      <c r="R38">
        <v>5.1087577639751549</v>
      </c>
      <c r="S38" s="55">
        <v>2.3012422360248448</v>
      </c>
      <c r="T38" s="80">
        <v>146</v>
      </c>
      <c r="U38" s="80" t="s">
        <v>226</v>
      </c>
      <c r="V38" s="81">
        <v>3.8821034999999999</v>
      </c>
      <c r="W38" s="81">
        <v>899.2092567766914</v>
      </c>
      <c r="X38" s="81">
        <v>2.76701825</v>
      </c>
      <c r="Y38" s="81">
        <v>-8.8152251738005187</v>
      </c>
      <c r="Z38" s="69" t="s">
        <v>54</v>
      </c>
      <c r="AA38" s="73">
        <v>5.5661983611111108</v>
      </c>
      <c r="AB38" s="73">
        <v>3.0248816727959098</v>
      </c>
      <c r="AC38" s="73">
        <v>3.9982883888888887</v>
      </c>
      <c r="AD38" s="73">
        <v>-25.508901929003891</v>
      </c>
      <c r="AE38" s="73">
        <v>2.2461111111111109</v>
      </c>
      <c r="AF38" s="73">
        <v>2.2461111111111109</v>
      </c>
      <c r="AG38" s="32">
        <f t="shared" si="13"/>
        <v>1.1379460310984945E-2</v>
      </c>
      <c r="AH38" s="32">
        <f t="shared" si="14"/>
        <v>0.25846953038557846</v>
      </c>
      <c r="AI38" s="33">
        <f t="shared" si="15"/>
        <v>4.4176242701385746E-2</v>
      </c>
      <c r="AJ38" s="34">
        <f t="shared" si="16"/>
        <v>0.71518990764582513</v>
      </c>
      <c r="AK38" s="16">
        <f t="shared" si="47"/>
        <v>2.7991553183160339E-3</v>
      </c>
      <c r="AL38" s="16">
        <f t="shared" si="48"/>
        <v>4.5316837991972704E-2</v>
      </c>
      <c r="AM38" s="27">
        <f t="shared" si="17"/>
        <v>2.7991553183160338</v>
      </c>
      <c r="AN38" s="27">
        <f t="shared" si="18"/>
        <v>45.316837991972704</v>
      </c>
      <c r="AO38" s="29" t="e">
        <f t="shared" si="19"/>
        <v>#VALUE!</v>
      </c>
      <c r="AP38" s="29" t="e">
        <f t="shared" si="20"/>
        <v>#VALUE!</v>
      </c>
      <c r="AQ38" s="27">
        <f t="shared" si="21"/>
        <v>16.189468907082734</v>
      </c>
      <c r="AR38" s="14">
        <f t="shared" si="22"/>
        <v>898.16437510389551</v>
      </c>
      <c r="AS38" s="25">
        <v>0.36849740461643371</v>
      </c>
      <c r="AT38" s="22">
        <f t="shared" si="23"/>
        <v>0.69293019833561487</v>
      </c>
      <c r="AU38" s="22">
        <f t="shared" si="24"/>
        <v>0.32443279371918116</v>
      </c>
      <c r="AV38" s="115">
        <f t="shared" si="25"/>
        <v>0.28238601619107778</v>
      </c>
      <c r="AW38" s="163">
        <f t="shared" si="26"/>
        <v>9.0813777997517473E-3</v>
      </c>
      <c r="AX38" s="116">
        <f t="shared" si="27"/>
        <v>3244.3279371918115</v>
      </c>
      <c r="AY38" s="115">
        <f t="shared" si="28"/>
        <v>0.30508946069045717</v>
      </c>
      <c r="AZ38" s="157">
        <f t="shared" si="29"/>
        <v>305.08946069045714</v>
      </c>
      <c r="BA38" s="117">
        <f t="shared" si="30"/>
        <v>282.38601619107777</v>
      </c>
      <c r="BB38" s="118">
        <f t="shared" si="31"/>
        <v>8.0355793332223211</v>
      </c>
      <c r="BC38" s="118">
        <f t="shared" si="32"/>
        <v>83.698758116246935</v>
      </c>
      <c r="BD38" s="117">
        <f t="shared" si="33"/>
        <v>2.7991553183160338</v>
      </c>
      <c r="BE38" s="14">
        <f t="shared" si="34"/>
        <v>-9.3363232447966293</v>
      </c>
      <c r="BF38" s="25">
        <v>1.0808848989999</v>
      </c>
      <c r="BG38" s="22">
        <f t="shared" si="35"/>
        <v>1.1009528696322077</v>
      </c>
      <c r="BH38" s="38">
        <f t="shared" si="36"/>
        <v>2.0067970632307697E-2</v>
      </c>
      <c r="BI38" s="115">
        <f t="shared" si="37"/>
        <v>0.2008792135577589</v>
      </c>
      <c r="BJ38" s="163">
        <f t="shared" si="38"/>
        <v>9.0941697397195383E-3</v>
      </c>
      <c r="BK38" s="116">
        <f t="shared" si="39"/>
        <v>200.67970632307697</v>
      </c>
      <c r="BL38" s="115">
        <f t="shared" si="40"/>
        <v>0.24872453960177759</v>
      </c>
      <c r="BM38" s="157">
        <f t="shared" si="41"/>
        <v>248.72453960177759</v>
      </c>
      <c r="BN38" s="117">
        <f t="shared" si="42"/>
        <v>200.8792135577589</v>
      </c>
      <c r="BO38" s="161">
        <f t="shared" si="43"/>
        <v>45.316837991972704</v>
      </c>
      <c r="BP38" s="161">
        <f t="shared" si="44"/>
        <v>10.416020382028034</v>
      </c>
    </row>
    <row r="39" spans="1:68" ht="15.75">
      <c r="A39" s="67">
        <v>37</v>
      </c>
      <c r="B39" s="66">
        <v>5</v>
      </c>
      <c r="C39" s="66" t="s">
        <v>419</v>
      </c>
      <c r="D39" s="66" t="s">
        <v>418</v>
      </c>
      <c r="E39" s="66" t="s">
        <v>410</v>
      </c>
      <c r="F39" s="66" t="s">
        <v>411</v>
      </c>
      <c r="G39" s="66">
        <v>5</v>
      </c>
      <c r="H39" s="66" t="s">
        <v>431</v>
      </c>
      <c r="I39" s="66">
        <v>100</v>
      </c>
      <c r="J39" s="66">
        <v>2.4500000000000002</v>
      </c>
      <c r="K39" s="66">
        <v>30</v>
      </c>
      <c r="L39" s="66" t="s">
        <v>98</v>
      </c>
      <c r="M39" s="66">
        <v>1</v>
      </c>
      <c r="N39"/>
      <c r="O39"/>
      <c r="P39"/>
      <c r="Q39" s="66">
        <v>2.4500000000000002</v>
      </c>
      <c r="R39">
        <v>1.7624076809453475</v>
      </c>
      <c r="S39" s="55">
        <v>0.68759231905465246</v>
      </c>
      <c r="T39" s="82">
        <v>147</v>
      </c>
      <c r="U39" s="82" t="s">
        <v>227</v>
      </c>
      <c r="V39" s="83">
        <v>2.2015630000000002</v>
      </c>
      <c r="W39" s="83">
        <v>87.193436761395489</v>
      </c>
      <c r="X39" s="83">
        <v>2.9478825</v>
      </c>
      <c r="Y39" s="83">
        <v>-26.276828838355421</v>
      </c>
      <c r="Z39" s="69" t="s">
        <v>54</v>
      </c>
      <c r="AA39" s="73">
        <v>5.5661983611111108</v>
      </c>
      <c r="AB39" s="73">
        <v>3.0248816727959098</v>
      </c>
      <c r="AC39" s="73">
        <v>3.9982883888888887</v>
      </c>
      <c r="AD39" s="73">
        <v>-25.508901929003891</v>
      </c>
      <c r="AE39" s="73">
        <v>2.2461111111111109</v>
      </c>
      <c r="AF39" s="73">
        <v>2.2461111111111109</v>
      </c>
      <c r="AG39" s="32">
        <f t="shared" si="13"/>
        <v>1.1379460310984945E-2</v>
      </c>
      <c r="AH39" s="32">
        <f t="shared" si="14"/>
        <v>0.25846953038557846</v>
      </c>
      <c r="AI39" s="33">
        <f t="shared" si="15"/>
        <v>2.5052598780632949E-2</v>
      </c>
      <c r="AJ39" s="34">
        <f t="shared" si="16"/>
        <v>0.76193780540686495</v>
      </c>
      <c r="AK39" s="16">
        <f t="shared" si="47"/>
        <v>1.4866942602880741E-3</v>
      </c>
      <c r="AL39" s="16">
        <f t="shared" si="48"/>
        <v>4.5215611039544953E-2</v>
      </c>
      <c r="AM39" s="27">
        <f t="shared" si="17"/>
        <v>1.4866942602880742</v>
      </c>
      <c r="AN39" s="27">
        <f t="shared" si="18"/>
        <v>45.215611039544953</v>
      </c>
      <c r="AO39" s="29" t="e">
        <f t="shared" si="19"/>
        <v>#VALUE!</v>
      </c>
      <c r="AP39" s="29" t="e">
        <f t="shared" si="20"/>
        <v>#VALUE!</v>
      </c>
      <c r="AQ39" s="27">
        <f t="shared" si="21"/>
        <v>30.413523645933498</v>
      </c>
      <c r="AR39" s="14">
        <f t="shared" si="22"/>
        <v>86.148555088599579</v>
      </c>
      <c r="AS39" s="25">
        <v>0.36849740461643371</v>
      </c>
      <c r="AT39" s="22">
        <f t="shared" si="23"/>
        <v>0.39768039745071787</v>
      </c>
      <c r="AU39" s="22">
        <f t="shared" si="24"/>
        <v>2.918299283428416E-2</v>
      </c>
      <c r="AV39" s="115">
        <f t="shared" si="25"/>
        <v>1.7054126391503516E-2</v>
      </c>
      <c r="AW39" s="163">
        <f t="shared" si="26"/>
        <v>4.3386187944758259E-4</v>
      </c>
      <c r="AX39" s="116">
        <f t="shared" si="27"/>
        <v>291.82992834284158</v>
      </c>
      <c r="AY39" s="115">
        <f t="shared" si="28"/>
        <v>1.8138781090122475E-2</v>
      </c>
      <c r="AZ39" s="157">
        <f t="shared" si="29"/>
        <v>18.138781090122475</v>
      </c>
      <c r="BA39" s="117">
        <f t="shared" si="30"/>
        <v>17.054126391503516</v>
      </c>
      <c r="BB39" s="118">
        <f t="shared" si="31"/>
        <v>3.9147126163799983</v>
      </c>
      <c r="BC39" s="118">
        <f t="shared" si="32"/>
        <v>61.120371822329254</v>
      </c>
      <c r="BD39" s="117">
        <f t="shared" si="33"/>
        <v>1.4866942602880742</v>
      </c>
      <c r="BE39" s="14">
        <f t="shared" si="34"/>
        <v>-26.797926909351531</v>
      </c>
      <c r="BF39" s="25">
        <v>1.0808848989999</v>
      </c>
      <c r="BG39" s="22">
        <f t="shared" si="35"/>
        <v>1.0817572114619276</v>
      </c>
      <c r="BH39" s="38">
        <f t="shared" si="36"/>
        <v>8.7231246202756907E-4</v>
      </c>
      <c r="BI39" s="115">
        <f t="shared" si="37"/>
        <v>1.2814932810837889E-2</v>
      </c>
      <c r="BJ39" s="163">
        <f t="shared" si="38"/>
        <v>3.9442140987986388E-4</v>
      </c>
      <c r="BK39" s="116">
        <f t="shared" si="39"/>
        <v>8.7231246202756907</v>
      </c>
      <c r="BL39" s="115">
        <f t="shared" si="40"/>
        <v>1.5402852936892284E-2</v>
      </c>
      <c r="BM39" s="157">
        <f t="shared" si="41"/>
        <v>15.402852936892284</v>
      </c>
      <c r="BN39" s="117">
        <f t="shared" si="42"/>
        <v>12.81493281083789</v>
      </c>
      <c r="BO39" s="161">
        <f t="shared" si="43"/>
        <v>45.215611039544953</v>
      </c>
      <c r="BP39" s="161">
        <f t="shared" si="44"/>
        <v>15.612990738218814</v>
      </c>
    </row>
    <row r="40" spans="1:68" ht="15.75">
      <c r="A40" s="67">
        <v>38</v>
      </c>
      <c r="B40" s="66">
        <v>5</v>
      </c>
      <c r="C40" s="66" t="s">
        <v>421</v>
      </c>
      <c r="D40" s="66" t="s">
        <v>416</v>
      </c>
      <c r="E40" s="66" t="s">
        <v>410</v>
      </c>
      <c r="F40" s="66" t="s">
        <v>411</v>
      </c>
      <c r="G40" s="66">
        <v>5</v>
      </c>
      <c r="H40" s="66" t="s">
        <v>431</v>
      </c>
      <c r="I40" s="66">
        <v>100</v>
      </c>
      <c r="J40" s="66">
        <v>4.43</v>
      </c>
      <c r="K40" s="66">
        <v>30</v>
      </c>
      <c r="L40" s="66" t="s">
        <v>99</v>
      </c>
      <c r="M40" s="66">
        <v>1</v>
      </c>
      <c r="N40"/>
      <c r="O40"/>
      <c r="P40"/>
      <c r="Q40" s="66">
        <v>4.43</v>
      </c>
      <c r="R40">
        <v>2.5213297872340421</v>
      </c>
      <c r="S40" s="55">
        <v>1.9086702127659576</v>
      </c>
      <c r="T40" s="80">
        <v>148</v>
      </c>
      <c r="U40" s="80" t="s">
        <v>228</v>
      </c>
      <c r="V40" s="81">
        <v>1.7487051250000001</v>
      </c>
      <c r="W40" s="81">
        <v>643.48543083379684</v>
      </c>
      <c r="X40" s="81">
        <v>1.5263655</v>
      </c>
      <c r="Y40" s="81">
        <v>-16.03644042721951</v>
      </c>
      <c r="Z40" s="69" t="s">
        <v>54</v>
      </c>
      <c r="AA40" s="73">
        <v>5.5661983611111108</v>
      </c>
      <c r="AB40" s="73">
        <v>3.0248816727959098</v>
      </c>
      <c r="AC40" s="73">
        <v>3.9982883888888887</v>
      </c>
      <c r="AD40" s="73">
        <v>-25.508901929003891</v>
      </c>
      <c r="AE40" s="73">
        <v>2.2461111111111109</v>
      </c>
      <c r="AF40" s="73">
        <v>2.2461111111111109</v>
      </c>
      <c r="AG40" s="32">
        <f t="shared" si="13"/>
        <v>1.1379460310984945E-2</v>
      </c>
      <c r="AH40" s="32">
        <f t="shared" si="14"/>
        <v>0.25846953038557846</v>
      </c>
      <c r="AI40" s="33">
        <f t="shared" si="15"/>
        <v>1.989932056555347E-2</v>
      </c>
      <c r="AJ40" s="34">
        <f t="shared" si="16"/>
        <v>0.39451897398174868</v>
      </c>
      <c r="AK40" s="16">
        <f t="shared" si="47"/>
        <v>1.6675754617239515E-3</v>
      </c>
      <c r="AL40" s="16">
        <f t="shared" si="48"/>
        <v>3.3060935825884867E-2</v>
      </c>
      <c r="AM40" s="27">
        <f t="shared" si="17"/>
        <v>1.6675754617239515</v>
      </c>
      <c r="AN40" s="27">
        <f t="shared" si="18"/>
        <v>33.060935825884869</v>
      </c>
      <c r="AO40" s="29" t="e">
        <f t="shared" si="19"/>
        <v>#VALUE!</v>
      </c>
      <c r="AP40" s="29" t="e">
        <f t="shared" si="20"/>
        <v>#VALUE!</v>
      </c>
      <c r="AQ40" s="27">
        <f t="shared" si="21"/>
        <v>19.825750968838452</v>
      </c>
      <c r="AR40" s="14">
        <f t="shared" si="22"/>
        <v>642.44054916100094</v>
      </c>
      <c r="AS40" s="25">
        <v>0.36849740461643371</v>
      </c>
      <c r="AT40" s="22">
        <f t="shared" si="23"/>
        <v>0.6001377473314875</v>
      </c>
      <c r="AU40" s="22">
        <f t="shared" si="24"/>
        <v>0.23164034271505379</v>
      </c>
      <c r="AV40" s="115">
        <f t="shared" si="25"/>
        <v>0.13053767548838632</v>
      </c>
      <c r="AW40" s="163">
        <f t="shared" si="26"/>
        <v>3.862777514569502E-3</v>
      </c>
      <c r="AX40" s="116">
        <f t="shared" si="27"/>
        <v>2316.4034271505379</v>
      </c>
      <c r="AY40" s="115">
        <f t="shared" si="28"/>
        <v>0.14019461927481008</v>
      </c>
      <c r="AZ40" s="157">
        <f t="shared" si="29"/>
        <v>140.19461927481009</v>
      </c>
      <c r="BA40" s="117">
        <f t="shared" si="30"/>
        <v>130.53767548838633</v>
      </c>
      <c r="BB40" s="118">
        <f t="shared" si="31"/>
        <v>16.860576819728117</v>
      </c>
      <c r="BC40" s="118">
        <f t="shared" si="32"/>
        <v>180.36582771623114</v>
      </c>
      <c r="BD40" s="117">
        <f t="shared" si="33"/>
        <v>1.6675754617239515</v>
      </c>
      <c r="BE40" s="14">
        <f t="shared" si="34"/>
        <v>-16.557538498215621</v>
      </c>
      <c r="BF40" s="25">
        <v>1.0808848989999</v>
      </c>
      <c r="BG40" s="22">
        <f t="shared" si="35"/>
        <v>1.0930154426998544</v>
      </c>
      <c r="BH40" s="38">
        <f t="shared" si="36"/>
        <v>1.2130543699954366E-2</v>
      </c>
      <c r="BI40" s="115">
        <f t="shared" si="37"/>
        <v>7.3710013706291017E-2</v>
      </c>
      <c r="BJ40" s="163">
        <f t="shared" si="38"/>
        <v>4.010471267972833E-3</v>
      </c>
      <c r="BK40" s="116">
        <f t="shared" si="39"/>
        <v>121.30543699954366</v>
      </c>
      <c r="BL40" s="115">
        <f t="shared" si="40"/>
        <v>9.2949943589509462E-2</v>
      </c>
      <c r="BM40" s="157">
        <f t="shared" si="41"/>
        <v>92.949943589509459</v>
      </c>
      <c r="BN40" s="117">
        <f t="shared" si="42"/>
        <v>73.710013706291022</v>
      </c>
      <c r="BO40" s="161">
        <f t="shared" si="43"/>
        <v>33.060935825884869</v>
      </c>
      <c r="BP40" s="161">
        <f t="shared" si="44"/>
        <v>10.697488564281493</v>
      </c>
    </row>
    <row r="41" spans="1:68" ht="15.75">
      <c r="A41" s="67">
        <v>39</v>
      </c>
      <c r="B41" s="66">
        <v>5</v>
      </c>
      <c r="C41" s="66" t="s">
        <v>423</v>
      </c>
      <c r="D41" s="66" t="s">
        <v>422</v>
      </c>
      <c r="E41" s="66" t="s">
        <v>410</v>
      </c>
      <c r="F41" s="66" t="s">
        <v>411</v>
      </c>
      <c r="G41" s="66">
        <v>5</v>
      </c>
      <c r="H41" s="66" t="s">
        <v>431</v>
      </c>
      <c r="I41" s="66">
        <v>100</v>
      </c>
      <c r="J41" s="66">
        <v>6.06</v>
      </c>
      <c r="K41" s="66">
        <v>30</v>
      </c>
      <c r="L41" s="66" t="s">
        <v>100</v>
      </c>
      <c r="M41" s="66">
        <v>1</v>
      </c>
      <c r="N41"/>
      <c r="O41"/>
      <c r="P41"/>
      <c r="Q41" s="66">
        <v>6.06</v>
      </c>
      <c r="R41">
        <v>4.1262946817785524</v>
      </c>
      <c r="S41" s="55">
        <v>1.933705318221447</v>
      </c>
      <c r="T41" s="82">
        <v>149</v>
      </c>
      <c r="U41" s="82" t="s">
        <v>229</v>
      </c>
      <c r="V41" s="83">
        <v>6.4736235000000004</v>
      </c>
      <c r="W41" s="83">
        <v>1240.7116253844927</v>
      </c>
      <c r="X41" s="83">
        <v>7.058573</v>
      </c>
      <c r="Y41" s="83">
        <v>-5.3424633112747841</v>
      </c>
      <c r="Z41" s="69" t="s">
        <v>54</v>
      </c>
      <c r="AA41" s="73">
        <v>5.5661983611111108</v>
      </c>
      <c r="AB41" s="73">
        <v>3.0248816727959098</v>
      </c>
      <c r="AC41" s="73">
        <v>3.9982883888888887</v>
      </c>
      <c r="AD41" s="73">
        <v>-25.508901929003891</v>
      </c>
      <c r="AE41" s="73">
        <v>2.2461111111111109</v>
      </c>
      <c r="AF41" s="73">
        <v>2.2461111111111109</v>
      </c>
      <c r="AG41" s="32">
        <f t="shared" si="13"/>
        <v>1.1379460310984945E-2</v>
      </c>
      <c r="AH41" s="32">
        <f t="shared" si="14"/>
        <v>0.25846953038557846</v>
      </c>
      <c r="AI41" s="33">
        <f t="shared" si="15"/>
        <v>7.3666341686509457E-2</v>
      </c>
      <c r="AJ41" s="34">
        <f t="shared" si="16"/>
        <v>1.8244260485023238</v>
      </c>
      <c r="AK41" s="16">
        <f t="shared" si="47"/>
        <v>4.7570283812073755E-3</v>
      </c>
      <c r="AL41" s="16">
        <f t="shared" si="48"/>
        <v>0.117812915552028</v>
      </c>
      <c r="AM41" s="27">
        <f t="shared" si="17"/>
        <v>4.7570283812073759</v>
      </c>
      <c r="AN41" s="27">
        <f t="shared" si="18"/>
        <v>117.812915552028</v>
      </c>
      <c r="AO41" s="29" t="e">
        <f t="shared" si="19"/>
        <v>#VALUE!</v>
      </c>
      <c r="AP41" s="29" t="e">
        <f t="shared" si="20"/>
        <v>#VALUE!</v>
      </c>
      <c r="AQ41" s="27">
        <f t="shared" si="21"/>
        <v>24.766073714726513</v>
      </c>
      <c r="AR41" s="14">
        <f t="shared" si="22"/>
        <v>1239.6667437116967</v>
      </c>
      <c r="AS41" s="25">
        <v>0.36849740461643371</v>
      </c>
      <c r="AT41" s="22">
        <f t="shared" si="23"/>
        <v>0.81657859123899357</v>
      </c>
      <c r="AU41" s="22">
        <f t="shared" si="24"/>
        <v>0.44808118662255986</v>
      </c>
      <c r="AV41" s="115">
        <f t="shared" si="25"/>
        <v>0.28741210323304472</v>
      </c>
      <c r="AW41" s="163">
        <f t="shared" si="26"/>
        <v>2.1315349218485959E-2</v>
      </c>
      <c r="AX41" s="116">
        <f t="shared" si="27"/>
        <v>4480.8118662255993</v>
      </c>
      <c r="AY41" s="115">
        <f t="shared" si="28"/>
        <v>0.34070047627925965</v>
      </c>
      <c r="AZ41" s="157">
        <f t="shared" si="29"/>
        <v>340.70047627925965</v>
      </c>
      <c r="BA41" s="117">
        <f t="shared" si="30"/>
        <v>287.41210323304472</v>
      </c>
      <c r="BB41" s="118">
        <f t="shared" si="31"/>
        <v>19.441720339812768</v>
      </c>
      <c r="BC41" s="118">
        <f t="shared" si="32"/>
        <v>256.89702902409914</v>
      </c>
      <c r="BD41" s="117">
        <f t="shared" si="33"/>
        <v>4.7570283812073759</v>
      </c>
      <c r="BE41" s="14">
        <f t="shared" si="34"/>
        <v>-5.8635613822708947</v>
      </c>
      <c r="BF41" s="25">
        <v>1.0808848989999</v>
      </c>
      <c r="BG41" s="22">
        <f t="shared" si="35"/>
        <v>1.1047696119328252</v>
      </c>
      <c r="BH41" s="38">
        <f t="shared" si="36"/>
        <v>2.3884712932925156E-2</v>
      </c>
      <c r="BI41" s="115">
        <f t="shared" si="37"/>
        <v>0.10649344253647222</v>
      </c>
      <c r="BJ41" s="163">
        <f t="shared" si="38"/>
        <v>2.8139276677511423E-2</v>
      </c>
      <c r="BK41" s="116">
        <f t="shared" si="39"/>
        <v>238.84712932925157</v>
      </c>
      <c r="BL41" s="115">
        <f t="shared" si="40"/>
        <v>0.1901533145473098</v>
      </c>
      <c r="BM41" s="157">
        <f t="shared" si="41"/>
        <v>190.1533145473098</v>
      </c>
      <c r="BN41" s="117">
        <f t="shared" si="42"/>
        <v>106.49344253647222</v>
      </c>
      <c r="BO41" s="161">
        <f t="shared" si="43"/>
        <v>117.812915552028</v>
      </c>
      <c r="BP41" s="161">
        <f t="shared" si="44"/>
        <v>13.213698403943463</v>
      </c>
    </row>
    <row r="42" spans="1:68" ht="15.75">
      <c r="A42" s="67">
        <v>40</v>
      </c>
      <c r="B42" s="66">
        <v>5</v>
      </c>
      <c r="C42" s="66" t="s">
        <v>425</v>
      </c>
      <c r="D42" s="66" t="s">
        <v>414</v>
      </c>
      <c r="E42" s="66" t="s">
        <v>410</v>
      </c>
      <c r="F42" s="66" t="s">
        <v>411</v>
      </c>
      <c r="G42" s="66">
        <v>5</v>
      </c>
      <c r="H42" s="66" t="s">
        <v>431</v>
      </c>
      <c r="I42" s="66">
        <v>100</v>
      </c>
      <c r="J42" s="66">
        <v>9.0299999999999994</v>
      </c>
      <c r="K42" s="66">
        <v>30</v>
      </c>
      <c r="L42" s="66" t="s">
        <v>101</v>
      </c>
      <c r="M42" s="66">
        <v>1</v>
      </c>
      <c r="N42"/>
      <c r="O42"/>
      <c r="P42"/>
      <c r="Q42" s="66">
        <v>9.0299999999999994</v>
      </c>
      <c r="R42">
        <v>4.8304810996563567</v>
      </c>
      <c r="S42" s="55">
        <v>4.1995189003436417</v>
      </c>
      <c r="T42" s="80">
        <v>150</v>
      </c>
      <c r="U42" s="80" t="s">
        <v>230</v>
      </c>
      <c r="V42" s="81">
        <v>0.57499068750000004</v>
      </c>
      <c r="W42" s="81">
        <v>145.94464961842473</v>
      </c>
      <c r="X42" s="81">
        <v>0.40933781250000001</v>
      </c>
      <c r="Y42" s="81">
        <v>-30.387247718947929</v>
      </c>
      <c r="Z42" s="69" t="s">
        <v>54</v>
      </c>
      <c r="AA42" s="73">
        <v>5.5661983611111108</v>
      </c>
      <c r="AB42" s="73">
        <v>3.0248816727959098</v>
      </c>
      <c r="AC42" s="73">
        <v>3.9982883888888887</v>
      </c>
      <c r="AD42" s="73">
        <v>-25.508901929003891</v>
      </c>
      <c r="AE42" s="73">
        <v>2.2461111111111109</v>
      </c>
      <c r="AF42" s="73">
        <v>2.2461111111111109</v>
      </c>
      <c r="AG42" s="32">
        <f t="shared" si="13"/>
        <v>1.1379460310984945E-2</v>
      </c>
      <c r="AH42" s="32">
        <f t="shared" si="14"/>
        <v>0.25846953038557846</v>
      </c>
      <c r="AI42" s="33">
        <f t="shared" si="15"/>
        <v>6.5430837075921983E-3</v>
      </c>
      <c r="AJ42" s="34">
        <f t="shared" si="16"/>
        <v>0.10580135216593498</v>
      </c>
      <c r="AK42" s="16">
        <f t="shared" si="47"/>
        <v>5.9733076816633997E-4</v>
      </c>
      <c r="AL42" s="16">
        <f t="shared" si="48"/>
        <v>9.658810094234891E-3</v>
      </c>
      <c r="AM42" s="27">
        <f t="shared" si="17"/>
        <v>0.59733076816634001</v>
      </c>
      <c r="AN42" s="27">
        <f t="shared" si="18"/>
        <v>9.6588100942348909</v>
      </c>
      <c r="AO42" s="29" t="e">
        <f t="shared" si="19"/>
        <v>#VALUE!</v>
      </c>
      <c r="AP42" s="29" t="e">
        <f t="shared" si="20"/>
        <v>#VALUE!</v>
      </c>
      <c r="AQ42" s="27">
        <f t="shared" si="21"/>
        <v>16.169952409927063</v>
      </c>
      <c r="AR42" s="14">
        <f t="shared" si="22"/>
        <v>144.89976794562881</v>
      </c>
      <c r="AS42" s="25">
        <v>0.36849740461643371</v>
      </c>
      <c r="AT42" s="22">
        <f t="shared" si="23"/>
        <v>0.41910130334814061</v>
      </c>
      <c r="AU42" s="22">
        <f t="shared" si="24"/>
        <v>5.0603898731706898E-2</v>
      </c>
      <c r="AV42" s="115">
        <f t="shared" si="25"/>
        <v>0.10927509420672055</v>
      </c>
      <c r="AW42" s="163">
        <f t="shared" si="26"/>
        <v>3.0227265701622162E-4</v>
      </c>
      <c r="AX42" s="116">
        <f t="shared" si="27"/>
        <v>506.03898731706897</v>
      </c>
      <c r="AY42" s="115">
        <f t="shared" si="28"/>
        <v>0.11003077584926109</v>
      </c>
      <c r="AZ42" s="157">
        <f t="shared" si="29"/>
        <v>110.03077584926109</v>
      </c>
      <c r="BA42" s="117">
        <f t="shared" si="30"/>
        <v>109.27509420672055</v>
      </c>
      <c r="BB42" s="118">
        <f t="shared" si="31"/>
        <v>21.640524241826501</v>
      </c>
      <c r="BC42" s="118">
        <f t="shared" si="32"/>
        <v>232.54752645011638</v>
      </c>
      <c r="BD42" s="117">
        <f t="shared" si="33"/>
        <v>0.59733076816634001</v>
      </c>
      <c r="BE42" s="14">
        <f t="shared" si="34"/>
        <v>-30.90834578994404</v>
      </c>
      <c r="BF42" s="25">
        <v>1.0808848989999</v>
      </c>
      <c r="BG42" s="22">
        <f t="shared" si="35"/>
        <v>1.0772375168495882</v>
      </c>
      <c r="BH42" s="38">
        <f t="shared" si="36"/>
        <v>-3.6473821503117954E-3</v>
      </c>
      <c r="BI42" s="115">
        <f t="shared" si="37"/>
        <v>9.5798724134561225E-2</v>
      </c>
      <c r="BJ42" s="163">
        <f t="shared" si="38"/>
        <v>-3.5229371530963737E-4</v>
      </c>
      <c r="BK42" s="116">
        <f t="shared" si="39"/>
        <v>-36.473821503117954</v>
      </c>
      <c r="BL42" s="115">
        <f t="shared" si="40"/>
        <v>0.10689283036310729</v>
      </c>
      <c r="BM42" s="157">
        <f t="shared" si="41"/>
        <v>106.89283036310729</v>
      </c>
      <c r="BN42" s="117">
        <f t="shared" si="42"/>
        <v>95.798724134561226</v>
      </c>
      <c r="BO42" s="161">
        <f t="shared" si="43"/>
        <v>9.6588100942348909</v>
      </c>
      <c r="BP42" s="161">
        <f t="shared" si="44"/>
        <v>10.745928511318214</v>
      </c>
    </row>
    <row r="43" spans="1:68" ht="15.75">
      <c r="A43" s="67">
        <v>41</v>
      </c>
      <c r="B43" s="66">
        <v>6</v>
      </c>
      <c r="C43" s="66" t="s">
        <v>408</v>
      </c>
      <c r="D43" s="66" t="s">
        <v>422</v>
      </c>
      <c r="E43" s="66" t="s">
        <v>410</v>
      </c>
      <c r="F43" s="66" t="s">
        <v>411</v>
      </c>
      <c r="G43" s="66">
        <v>6</v>
      </c>
      <c r="H43" s="66" t="s">
        <v>432</v>
      </c>
      <c r="I43" s="66">
        <v>100</v>
      </c>
      <c r="J43" s="66">
        <v>6.04</v>
      </c>
      <c r="K43" s="66">
        <v>30</v>
      </c>
      <c r="L43" s="66" t="s">
        <v>102</v>
      </c>
      <c r="M43" s="66">
        <v>1</v>
      </c>
      <c r="N43"/>
      <c r="O43"/>
      <c r="P43"/>
      <c r="Q43" s="66">
        <v>6.04</v>
      </c>
      <c r="R43">
        <v>4.5615899581589971</v>
      </c>
      <c r="S43" s="55">
        <v>1.4784100418410038</v>
      </c>
      <c r="T43" s="82">
        <v>151</v>
      </c>
      <c r="U43" s="82" t="s">
        <v>231</v>
      </c>
      <c r="V43" s="83">
        <v>9.3584420000000001</v>
      </c>
      <c r="W43" s="83">
        <v>1010.8631779827876</v>
      </c>
      <c r="X43" s="83">
        <v>8.8492639999999998</v>
      </c>
      <c r="Y43" s="83">
        <v>-10.236046165607096</v>
      </c>
      <c r="Z43" s="69" t="s">
        <v>54</v>
      </c>
      <c r="AA43" s="73">
        <v>5.5661983611111108</v>
      </c>
      <c r="AB43" s="73">
        <v>3.0248816727959098</v>
      </c>
      <c r="AC43" s="73">
        <v>3.9982883888888887</v>
      </c>
      <c r="AD43" s="73">
        <v>-25.508901929003891</v>
      </c>
      <c r="AE43" s="73">
        <v>2.2461111111111109</v>
      </c>
      <c r="AF43" s="73">
        <v>2.2461111111111109</v>
      </c>
      <c r="AG43" s="32">
        <f t="shared" si="13"/>
        <v>1.1379460310984945E-2</v>
      </c>
      <c r="AH43" s="32">
        <f t="shared" si="14"/>
        <v>0.25846953038557846</v>
      </c>
      <c r="AI43" s="33">
        <f t="shared" si="15"/>
        <v>0.10649401931165457</v>
      </c>
      <c r="AJ43" s="34">
        <f t="shared" si="16"/>
        <v>2.2872651103380055</v>
      </c>
      <c r="AK43" s="16">
        <f t="shared" si="47"/>
        <v>5.8507794543337438E-3</v>
      </c>
      <c r="AL43" s="16">
        <f t="shared" si="48"/>
        <v>0.12566230292254041</v>
      </c>
      <c r="AM43" s="27">
        <f t="shared" si="17"/>
        <v>5.8507794543337441</v>
      </c>
      <c r="AN43" s="27">
        <f t="shared" si="18"/>
        <v>125.66230292254041</v>
      </c>
      <c r="AO43" s="29" t="e">
        <f t="shared" si="19"/>
        <v>#VALUE!</v>
      </c>
      <c r="AP43" s="29" t="e">
        <f t="shared" si="20"/>
        <v>#VALUE!</v>
      </c>
      <c r="AQ43" s="27">
        <f t="shared" si="21"/>
        <v>21.477873829180282</v>
      </c>
      <c r="AR43" s="14">
        <f t="shared" si="22"/>
        <v>1009.8182963099918</v>
      </c>
      <c r="AS43" s="25">
        <v>0.36849740461643371</v>
      </c>
      <c r="AT43" s="22">
        <f t="shared" si="23"/>
        <v>0.7333908466346819</v>
      </c>
      <c r="AU43" s="22">
        <f t="shared" si="24"/>
        <v>0.36489344201824819</v>
      </c>
      <c r="AV43" s="115">
        <f t="shared" si="25"/>
        <v>0.14028073688615209</v>
      </c>
      <c r="AW43" s="163">
        <f t="shared" si="26"/>
        <v>2.1349110535814876E-2</v>
      </c>
      <c r="AX43" s="116">
        <f t="shared" si="27"/>
        <v>3648.9344201824829</v>
      </c>
      <c r="AY43" s="115">
        <f t="shared" si="28"/>
        <v>0.19365351322568927</v>
      </c>
      <c r="AZ43" s="157">
        <f t="shared" si="29"/>
        <v>193.65351322568927</v>
      </c>
      <c r="BA43" s="117">
        <f t="shared" si="30"/>
        <v>140.28073688615208</v>
      </c>
      <c r="BB43" s="118">
        <f t="shared" si="31"/>
        <v>13.442282608102248</v>
      </c>
      <c r="BC43" s="118">
        <f t="shared" si="32"/>
        <v>183.56507113743186</v>
      </c>
      <c r="BD43" s="117">
        <f t="shared" si="33"/>
        <v>5.8507794543337441</v>
      </c>
      <c r="BE43" s="14">
        <f t="shared" si="34"/>
        <v>-10.757144236603207</v>
      </c>
      <c r="BF43" s="25">
        <v>1.0808848989999</v>
      </c>
      <c r="BG43" s="22">
        <f t="shared" si="35"/>
        <v>1.099391230015494</v>
      </c>
      <c r="BH43" s="38">
        <f t="shared" si="36"/>
        <v>1.8506331015593958E-2</v>
      </c>
      <c r="BI43" s="115">
        <f t="shared" si="37"/>
        <v>3.1382694920287744E-2</v>
      </c>
      <c r="BJ43" s="163">
        <f t="shared" si="38"/>
        <v>2.3255481740663726E-2</v>
      </c>
      <c r="BK43" s="116">
        <f t="shared" si="39"/>
        <v>185.06331015593958</v>
      </c>
      <c r="BL43" s="115">
        <f t="shared" si="40"/>
        <v>9.3444236136983008E-2</v>
      </c>
      <c r="BM43" s="157">
        <f t="shared" si="41"/>
        <v>93.444236136983008</v>
      </c>
      <c r="BN43" s="117">
        <f t="shared" si="42"/>
        <v>31.382694920287744</v>
      </c>
      <c r="BO43" s="161">
        <f t="shared" si="43"/>
        <v>125.66230292254041</v>
      </c>
      <c r="BP43" s="161">
        <f t="shared" si="44"/>
        <v>13.655796153756596</v>
      </c>
    </row>
    <row r="44" spans="1:68" ht="15.75">
      <c r="A44" s="67">
        <v>42</v>
      </c>
      <c r="B44" s="66">
        <v>6</v>
      </c>
      <c r="C44" s="66" t="s">
        <v>413</v>
      </c>
      <c r="D44" s="66" t="s">
        <v>426</v>
      </c>
      <c r="E44" s="66" t="s">
        <v>410</v>
      </c>
      <c r="F44" s="66" t="s">
        <v>411</v>
      </c>
      <c r="G44" s="66">
        <v>6</v>
      </c>
      <c r="H44" s="66" t="s">
        <v>432</v>
      </c>
      <c r="I44" s="66">
        <v>100</v>
      </c>
      <c r="J44" s="66">
        <v>5.61</v>
      </c>
      <c r="K44" s="66">
        <v>30</v>
      </c>
      <c r="L44" s="66" t="s">
        <v>103</v>
      </c>
      <c r="M44" s="66">
        <v>1</v>
      </c>
      <c r="N44"/>
      <c r="O44"/>
      <c r="P44"/>
      <c r="Q44" s="66">
        <v>5.61</v>
      </c>
      <c r="R44">
        <v>3.2886206896551724</v>
      </c>
      <c r="S44" s="55">
        <v>2.3213793103448284</v>
      </c>
      <c r="T44" s="80">
        <v>152</v>
      </c>
      <c r="U44" s="80" t="s">
        <v>232</v>
      </c>
      <c r="V44" s="81">
        <v>1.8265271249999999</v>
      </c>
      <c r="W44" s="81">
        <v>98.052499382423022</v>
      </c>
      <c r="X44" s="81">
        <v>1.2374536249999999</v>
      </c>
      <c r="Y44" s="81">
        <v>-25.637604219821377</v>
      </c>
      <c r="Z44" s="69" t="s">
        <v>54</v>
      </c>
      <c r="AA44" s="73">
        <v>5.5661983611111108</v>
      </c>
      <c r="AB44" s="73">
        <v>3.0248816727959098</v>
      </c>
      <c r="AC44" s="73">
        <v>3.9982883888888887</v>
      </c>
      <c r="AD44" s="73">
        <v>-25.508901929003891</v>
      </c>
      <c r="AE44" s="73">
        <v>2.2461111111111109</v>
      </c>
      <c r="AF44" s="73">
        <v>2.2461111111111109</v>
      </c>
      <c r="AG44" s="32">
        <f t="shared" si="13"/>
        <v>1.1379460310984945E-2</v>
      </c>
      <c r="AH44" s="32">
        <f t="shared" si="14"/>
        <v>0.25846953038557846</v>
      </c>
      <c r="AI44" s="33">
        <f t="shared" si="15"/>
        <v>2.0784892925874938E-2</v>
      </c>
      <c r="AJ44" s="34">
        <f t="shared" si="16"/>
        <v>0.31984405732768167</v>
      </c>
      <c r="AK44" s="16">
        <f t="shared" si="47"/>
        <v>1.670942372472299E-3</v>
      </c>
      <c r="AL44" s="16">
        <f t="shared" si="48"/>
        <v>2.5712953628303826E-2</v>
      </c>
      <c r="AM44" s="27">
        <f t="shared" si="17"/>
        <v>1.6709423724722989</v>
      </c>
      <c r="AN44" s="27">
        <f t="shared" si="18"/>
        <v>25.712953628303826</v>
      </c>
      <c r="AO44" s="29" t="e">
        <f t="shared" si="19"/>
        <v>#VALUE!</v>
      </c>
      <c r="AP44" s="29" t="e">
        <f t="shared" si="20"/>
        <v>#VALUE!</v>
      </c>
      <c r="AQ44" s="27">
        <f t="shared" si="21"/>
        <v>15.388294684429695</v>
      </c>
      <c r="AR44" s="14">
        <f t="shared" si="22"/>
        <v>97.007617709627112</v>
      </c>
      <c r="AS44" s="25">
        <v>0.36849740461643371</v>
      </c>
      <c r="AT44" s="22">
        <f t="shared" si="23"/>
        <v>0.4016403454120655</v>
      </c>
      <c r="AU44" s="22">
        <f t="shared" si="24"/>
        <v>3.3142940795631792E-2</v>
      </c>
      <c r="AV44" s="115">
        <f t="shared" si="25"/>
        <v>0.13221864403356778</v>
      </c>
      <c r="AW44" s="163">
        <f t="shared" si="26"/>
        <v>5.5379944123761925E-4</v>
      </c>
      <c r="AX44" s="116">
        <f t="shared" si="27"/>
        <v>331.4294079563179</v>
      </c>
      <c r="AY44" s="115">
        <f t="shared" si="28"/>
        <v>0.13360314263666184</v>
      </c>
      <c r="AZ44" s="157">
        <f t="shared" si="29"/>
        <v>133.60314263666183</v>
      </c>
      <c r="BA44" s="117">
        <f t="shared" si="30"/>
        <v>132.21864403356778</v>
      </c>
      <c r="BB44" s="118">
        <f t="shared" si="31"/>
        <v>25.634910710039023</v>
      </c>
      <c r="BC44" s="118">
        <f t="shared" si="32"/>
        <v>202.57568167382112</v>
      </c>
      <c r="BD44" s="117">
        <f t="shared" si="33"/>
        <v>1.6709423724722989</v>
      </c>
      <c r="BE44" s="14">
        <f t="shared" si="34"/>
        <v>-26.158702290817487</v>
      </c>
      <c r="BF44" s="25">
        <v>1.0808848989999</v>
      </c>
      <c r="BG44" s="22">
        <f t="shared" si="35"/>
        <v>1.0824600467741403</v>
      </c>
      <c r="BH44" s="38">
        <f t="shared" si="36"/>
        <v>1.575147774240282E-3</v>
      </c>
      <c r="BI44" s="115">
        <f t="shared" si="37"/>
        <v>7.5508631597891757E-2</v>
      </c>
      <c r="BJ44" s="163">
        <f t="shared" si="38"/>
        <v>4.0501701676766357E-4</v>
      </c>
      <c r="BK44" s="116">
        <f t="shared" si="39"/>
        <v>15.75147774240282</v>
      </c>
      <c r="BL44" s="115">
        <f t="shared" si="40"/>
        <v>8.5959753089547369E-2</v>
      </c>
      <c r="BM44" s="157">
        <f t="shared" si="41"/>
        <v>85.959753089547362</v>
      </c>
      <c r="BN44" s="117">
        <f t="shared" si="42"/>
        <v>75.50863159789175</v>
      </c>
      <c r="BO44" s="161">
        <f t="shared" si="43"/>
        <v>25.712953628303826</v>
      </c>
      <c r="BP44" s="161">
        <f t="shared" si="44"/>
        <v>7.9023361526470772</v>
      </c>
    </row>
    <row r="45" spans="1:68" ht="15.75">
      <c r="A45" s="67">
        <v>43</v>
      </c>
      <c r="B45" s="66">
        <v>6</v>
      </c>
      <c r="C45" s="66" t="s">
        <v>415</v>
      </c>
      <c r="D45" s="66" t="s">
        <v>424</v>
      </c>
      <c r="E45" s="66" t="s">
        <v>410</v>
      </c>
      <c r="F45" s="66" t="s">
        <v>411</v>
      </c>
      <c r="G45" s="66">
        <v>6</v>
      </c>
      <c r="H45" s="66" t="s">
        <v>432</v>
      </c>
      <c r="I45" s="66">
        <v>100</v>
      </c>
      <c r="J45" s="66">
        <v>5.67</v>
      </c>
      <c r="K45" s="66">
        <v>30</v>
      </c>
      <c r="L45" s="66" t="s">
        <v>104</v>
      </c>
      <c r="M45" s="66">
        <v>1</v>
      </c>
      <c r="N45"/>
      <c r="O45"/>
      <c r="P45"/>
      <c r="Q45" s="66">
        <v>5.67</v>
      </c>
      <c r="R45">
        <v>3.0735310344827584</v>
      </c>
      <c r="S45" s="55">
        <v>2.5964689655172415</v>
      </c>
      <c r="T45" s="82">
        <v>153</v>
      </c>
      <c r="U45" s="82" t="s">
        <v>233</v>
      </c>
      <c r="V45" s="83">
        <v>10.547076000000001</v>
      </c>
      <c r="W45" s="83">
        <v>142.98151058122454</v>
      </c>
      <c r="X45" s="83">
        <v>6.7246439999999996</v>
      </c>
      <c r="Y45" s="83">
        <v>-25.025649028134424</v>
      </c>
      <c r="Z45" s="69" t="s">
        <v>54</v>
      </c>
      <c r="AA45" s="73">
        <v>5.5661983611111108</v>
      </c>
      <c r="AB45" s="73">
        <v>3.0248816727959098</v>
      </c>
      <c r="AC45" s="73">
        <v>3.9982883888888887</v>
      </c>
      <c r="AD45" s="73">
        <v>-25.508901929003891</v>
      </c>
      <c r="AE45" s="73">
        <v>2.2461111111111109</v>
      </c>
      <c r="AF45" s="73">
        <v>2.2461111111111109</v>
      </c>
      <c r="AG45" s="32">
        <f t="shared" si="13"/>
        <v>1.1379460310984945E-2</v>
      </c>
      <c r="AH45" s="32">
        <f t="shared" si="14"/>
        <v>0.25846953038557846</v>
      </c>
      <c r="AI45" s="33">
        <f t="shared" si="15"/>
        <v>0.12002003273894186</v>
      </c>
      <c r="AJ45" s="34">
        <f t="shared" si="16"/>
        <v>1.7381155766901979</v>
      </c>
      <c r="AK45" s="16">
        <f t="shared" si="47"/>
        <v>1.0760065700174855E-2</v>
      </c>
      <c r="AL45" s="16">
        <f t="shared" si="48"/>
        <v>0.15582596815619501</v>
      </c>
      <c r="AM45" s="27">
        <f t="shared" si="17"/>
        <v>10.760065700174854</v>
      </c>
      <c r="AN45" s="27">
        <f t="shared" si="18"/>
        <v>155.82596815619502</v>
      </c>
      <c r="AO45" s="29" t="e">
        <f t="shared" si="19"/>
        <v>#VALUE!</v>
      </c>
      <c r="AP45" s="29" t="e">
        <f t="shared" si="20"/>
        <v>#VALUE!</v>
      </c>
      <c r="AQ45" s="27">
        <f t="shared" si="21"/>
        <v>14.481878874927572</v>
      </c>
      <c r="AR45" s="14">
        <f t="shared" si="22"/>
        <v>141.93662890842864</v>
      </c>
      <c r="AS45" s="25">
        <v>0.36849740461643371</v>
      </c>
      <c r="AT45" s="22">
        <f t="shared" si="23"/>
        <v>0.41802115271074686</v>
      </c>
      <c r="AU45" s="22">
        <f t="shared" si="24"/>
        <v>4.9523748094313147E-2</v>
      </c>
      <c r="AV45" s="115">
        <f t="shared" si="25"/>
        <v>9.5260961795975846E-2</v>
      </c>
      <c r="AW45" s="163">
        <f t="shared" si="26"/>
        <v>5.328787832137187E-3</v>
      </c>
      <c r="AX45" s="116">
        <f t="shared" si="27"/>
        <v>495.23748094313152</v>
      </c>
      <c r="AY45" s="115">
        <f t="shared" si="28"/>
        <v>0.1085829313763188</v>
      </c>
      <c r="AZ45" s="157">
        <f t="shared" si="29"/>
        <v>108.5829313763188</v>
      </c>
      <c r="BA45" s="117">
        <f t="shared" si="30"/>
        <v>95.260961795975845</v>
      </c>
      <c r="BB45" s="118">
        <f t="shared" si="31"/>
        <v>5.1270530449684877</v>
      </c>
      <c r="BC45" s="118">
        <f t="shared" si="32"/>
        <v>13.15942777630536</v>
      </c>
      <c r="BD45" s="117">
        <f t="shared" si="33"/>
        <v>10.760065700174854</v>
      </c>
      <c r="BE45" s="14">
        <f t="shared" si="34"/>
        <v>-25.546747099130535</v>
      </c>
      <c r="BF45" s="25">
        <v>1.0808848989999</v>
      </c>
      <c r="BG45" s="22">
        <f t="shared" si="35"/>
        <v>1.0831328896593957</v>
      </c>
      <c r="BH45" s="38">
        <f t="shared" si="36"/>
        <v>2.2479906594956578E-3</v>
      </c>
      <c r="BI45" s="115">
        <f t="shared" si="37"/>
        <v>3.6329005299951804E-2</v>
      </c>
      <c r="BJ45" s="163">
        <f t="shared" si="38"/>
        <v>3.5029532092199422E-3</v>
      </c>
      <c r="BK45" s="116">
        <f t="shared" si="39"/>
        <v>22.479906594956578</v>
      </c>
      <c r="BL45" s="115">
        <f t="shared" si="40"/>
        <v>4.9627513985495628E-2</v>
      </c>
      <c r="BM45" s="157">
        <f t="shared" si="41"/>
        <v>49.627513985495625</v>
      </c>
      <c r="BN45" s="117">
        <f t="shared" si="42"/>
        <v>36.329005299951802</v>
      </c>
      <c r="BO45" s="161">
        <f t="shared" si="43"/>
        <v>155.82596815619502</v>
      </c>
      <c r="BP45" s="161">
        <f t="shared" si="44"/>
        <v>2.5666650336726216</v>
      </c>
    </row>
    <row r="46" spans="1:68" ht="15.75">
      <c r="A46" s="67">
        <v>44</v>
      </c>
      <c r="B46" s="66">
        <v>6</v>
      </c>
      <c r="C46" s="66" t="s">
        <v>417</v>
      </c>
      <c r="D46" s="66" t="s">
        <v>409</v>
      </c>
      <c r="E46" s="66" t="s">
        <v>410</v>
      </c>
      <c r="F46" s="66" t="s">
        <v>411</v>
      </c>
      <c r="G46" s="66">
        <v>6</v>
      </c>
      <c r="H46" s="66" t="s">
        <v>432</v>
      </c>
      <c r="I46" s="66">
        <v>100</v>
      </c>
      <c r="J46" s="66">
        <v>6.1</v>
      </c>
      <c r="K46" s="66">
        <v>30</v>
      </c>
      <c r="L46" s="66" t="s">
        <v>105</v>
      </c>
      <c r="M46" s="66">
        <v>1</v>
      </c>
      <c r="N46"/>
      <c r="O46"/>
      <c r="P46"/>
      <c r="Q46" s="66">
        <v>6.1</v>
      </c>
      <c r="R46">
        <v>3.8370967741935469</v>
      </c>
      <c r="S46" s="55">
        <v>2.2629032258064523</v>
      </c>
      <c r="T46" s="80">
        <v>154</v>
      </c>
      <c r="U46" s="80" t="s">
        <v>234</v>
      </c>
      <c r="V46" s="81">
        <v>2.7772785</v>
      </c>
      <c r="W46" s="81">
        <v>1122.5633208259637</v>
      </c>
      <c r="X46" s="81">
        <v>2.6510229999999999</v>
      </c>
      <c r="Y46" s="81">
        <v>-3.9764548558250978</v>
      </c>
      <c r="Z46" s="69" t="s">
        <v>54</v>
      </c>
      <c r="AA46" s="73">
        <v>5.5661983611111108</v>
      </c>
      <c r="AB46" s="73">
        <v>3.0248816727959098</v>
      </c>
      <c r="AC46" s="73">
        <v>3.9982883888888887</v>
      </c>
      <c r="AD46" s="73">
        <v>-25.508901929003891</v>
      </c>
      <c r="AE46" s="73">
        <v>2.2461111111111109</v>
      </c>
      <c r="AF46" s="73">
        <v>2.2461111111111109</v>
      </c>
      <c r="AG46" s="32">
        <f t="shared" si="13"/>
        <v>1.1379460310984945E-2</v>
      </c>
      <c r="AH46" s="32">
        <f t="shared" si="14"/>
        <v>0.25846953038557846</v>
      </c>
      <c r="AI46" s="33">
        <f t="shared" si="15"/>
        <v>3.1603930463301802E-2</v>
      </c>
      <c r="AJ46" s="34">
        <f t="shared" si="16"/>
        <v>0.6852086698513673</v>
      </c>
      <c r="AK46" s="16">
        <f t="shared" si="47"/>
        <v>2.2960120422056873E-3</v>
      </c>
      <c r="AL46" s="16">
        <f t="shared" si="48"/>
        <v>4.9780117040483969E-2</v>
      </c>
      <c r="AM46" s="27">
        <f t="shared" si="17"/>
        <v>2.2960120422056876</v>
      </c>
      <c r="AN46" s="27">
        <f t="shared" si="18"/>
        <v>49.780117040483972</v>
      </c>
      <c r="AO46" s="29" t="e">
        <f t="shared" si="19"/>
        <v>#VALUE!</v>
      </c>
      <c r="AP46" s="29" t="e">
        <f t="shared" si="20"/>
        <v>#VALUE!</v>
      </c>
      <c r="AQ46" s="27">
        <f t="shared" si="21"/>
        <v>21.681121930293621</v>
      </c>
      <c r="AR46" s="14">
        <f t="shared" si="22"/>
        <v>1121.5184391531677</v>
      </c>
      <c r="AS46" s="25">
        <v>0.36849740461643371</v>
      </c>
      <c r="AT46" s="22">
        <f t="shared" si="23"/>
        <v>0.77383526775086819</v>
      </c>
      <c r="AU46" s="22">
        <f t="shared" si="24"/>
        <v>0.40533786313443448</v>
      </c>
      <c r="AV46" s="115">
        <f t="shared" si="25"/>
        <v>0.31188356451004151</v>
      </c>
      <c r="AW46" s="163">
        <f t="shared" si="26"/>
        <v>9.3066061491858237E-3</v>
      </c>
      <c r="AX46" s="116">
        <f t="shared" si="27"/>
        <v>4053.3786313443443</v>
      </c>
      <c r="AY46" s="115">
        <f t="shared" si="28"/>
        <v>0.33515007988300605</v>
      </c>
      <c r="AZ46" s="157">
        <f t="shared" si="29"/>
        <v>335.15007988300607</v>
      </c>
      <c r="BA46" s="117">
        <f t="shared" si="30"/>
        <v>311.88356451004154</v>
      </c>
      <c r="BB46" s="118">
        <f t="shared" si="31"/>
        <v>26.411457522544087</v>
      </c>
      <c r="BC46" s="118">
        <f t="shared" si="32"/>
        <v>240.97720080435525</v>
      </c>
      <c r="BD46" s="117">
        <f t="shared" si="33"/>
        <v>2.2960120422056876</v>
      </c>
      <c r="BE46" s="14">
        <f t="shared" si="34"/>
        <v>-4.4975529268212089</v>
      </c>
      <c r="BF46" s="25">
        <v>1.0808848989999</v>
      </c>
      <c r="BG46" s="22">
        <f t="shared" si="35"/>
        <v>1.1062708441253624</v>
      </c>
      <c r="BH46" s="38">
        <f t="shared" si="36"/>
        <v>2.5385945125462328E-2</v>
      </c>
      <c r="BI46" s="115">
        <f t="shared" si="37"/>
        <v>0.14447806710701969</v>
      </c>
      <c r="BJ46" s="163">
        <f t="shared" si="38"/>
        <v>1.2637153195288183E-2</v>
      </c>
      <c r="BK46" s="116">
        <f t="shared" si="39"/>
        <v>253.85945125462328</v>
      </c>
      <c r="BL46" s="115">
        <f t="shared" si="40"/>
        <v>0.1941307084836176</v>
      </c>
      <c r="BM46" s="157">
        <f t="shared" si="41"/>
        <v>194.13070848361761</v>
      </c>
      <c r="BN46" s="117">
        <f t="shared" si="42"/>
        <v>144.47806710701968</v>
      </c>
      <c r="BO46" s="161">
        <f t="shared" si="43"/>
        <v>49.780117040483972</v>
      </c>
      <c r="BP46" s="161">
        <f t="shared" si="44"/>
        <v>9.1239644990687765</v>
      </c>
    </row>
    <row r="47" spans="1:68" s="24" customFormat="1" ht="15.75">
      <c r="A47" s="67">
        <v>45</v>
      </c>
      <c r="B47" s="66">
        <v>6</v>
      </c>
      <c r="C47" s="66" t="s">
        <v>419</v>
      </c>
      <c r="D47" s="66" t="s">
        <v>416</v>
      </c>
      <c r="E47" s="66" t="s">
        <v>410</v>
      </c>
      <c r="F47" s="66" t="s">
        <v>411</v>
      </c>
      <c r="G47" s="66">
        <v>6</v>
      </c>
      <c r="H47" s="66" t="s">
        <v>432</v>
      </c>
      <c r="I47" s="66">
        <v>100</v>
      </c>
      <c r="J47" s="66">
        <v>8.4499999999999993</v>
      </c>
      <c r="K47" s="66">
        <v>30</v>
      </c>
      <c r="L47" s="66" t="s">
        <v>433</v>
      </c>
      <c r="M47" s="66">
        <v>1</v>
      </c>
      <c r="N47"/>
      <c r="O47"/>
      <c r="P47"/>
      <c r="Q47" s="66">
        <v>8.4499999999999993</v>
      </c>
      <c r="R47">
        <v>5.483046471600689</v>
      </c>
      <c r="S47" s="55">
        <v>2.9669535283993103</v>
      </c>
      <c r="T47" s="80">
        <v>156</v>
      </c>
      <c r="U47" s="80" t="s">
        <v>236</v>
      </c>
      <c r="V47" s="81">
        <v>2.0423464999999998</v>
      </c>
      <c r="W47" s="81">
        <v>553.10537659981321</v>
      </c>
      <c r="X47" s="81">
        <v>1.3697103749999999</v>
      </c>
      <c r="Y47" s="81">
        <v>-15.713237400513844</v>
      </c>
      <c r="Z47" s="69" t="s">
        <v>54</v>
      </c>
      <c r="AA47" s="73">
        <v>5.5661983611111108</v>
      </c>
      <c r="AB47" s="73">
        <v>3.0248816727959098</v>
      </c>
      <c r="AC47" s="73">
        <v>3.9982883888888887</v>
      </c>
      <c r="AD47" s="73">
        <v>-25.508901929003891</v>
      </c>
      <c r="AE47" s="73">
        <v>2.2461111111111109</v>
      </c>
      <c r="AF47" s="73">
        <v>2.2461111111111109</v>
      </c>
      <c r="AG47" s="32">
        <f t="shared" si="13"/>
        <v>1.1379460310984945E-2</v>
      </c>
      <c r="AH47" s="32">
        <f t="shared" si="14"/>
        <v>0.25846953038557846</v>
      </c>
      <c r="AI47" s="33">
        <f t="shared" si="15"/>
        <v>2.3240800938029015E-2</v>
      </c>
      <c r="AJ47" s="34">
        <f t="shared" si="16"/>
        <v>0.35402839739050457</v>
      </c>
      <c r="AK47" s="16">
        <f t="shared" si="47"/>
        <v>1.6130883056014831E-3</v>
      </c>
      <c r="AL47" s="16">
        <f t="shared" si="48"/>
        <v>2.4572262772019984E-2</v>
      </c>
      <c r="AM47" s="27">
        <f t="shared" si="17"/>
        <v>1.6130883056014831</v>
      </c>
      <c r="AN47" s="27">
        <f t="shared" si="18"/>
        <v>24.572262772019982</v>
      </c>
      <c r="AO47" s="29" t="e">
        <f t="shared" si="19"/>
        <v>#VALUE!</v>
      </c>
      <c r="AP47" s="29" t="e">
        <f t="shared" si="20"/>
        <v>#VALUE!</v>
      </c>
      <c r="AQ47" s="27">
        <f t="shared" si="21"/>
        <v>15.233054933627804</v>
      </c>
      <c r="AR47" s="14">
        <f t="shared" si="22"/>
        <v>552.06049492701732</v>
      </c>
      <c r="AS47" s="25">
        <v>0.36849740461643371</v>
      </c>
      <c r="AT47" s="22">
        <f t="shared" si="23"/>
        <v>0.56730077463020989</v>
      </c>
      <c r="AU47" s="22">
        <f t="shared" si="24"/>
        <v>0.19880337001377618</v>
      </c>
      <c r="AV47" s="115">
        <f t="shared" si="25"/>
        <v>0.12905624747931188</v>
      </c>
      <c r="AW47" s="163">
        <f t="shared" si="26"/>
        <v>3.2068739128338691E-3</v>
      </c>
      <c r="AX47" s="116">
        <f t="shared" si="27"/>
        <v>1988.0337001377618</v>
      </c>
      <c r="AY47" s="115">
        <f t="shared" si="28"/>
        <v>0.13707343226139654</v>
      </c>
      <c r="AZ47" s="157">
        <f t="shared" si="29"/>
        <v>137.07343226139653</v>
      </c>
      <c r="BA47" s="117">
        <f t="shared" si="30"/>
        <v>129.05624747931188</v>
      </c>
      <c r="BB47" s="118">
        <f t="shared" si="31"/>
        <v>8.8842665536131182</v>
      </c>
      <c r="BC47" s="118">
        <f t="shared" si="32"/>
        <v>98.263680974495472</v>
      </c>
      <c r="BD47" s="117">
        <f t="shared" si="33"/>
        <v>1.6130883056014831</v>
      </c>
      <c r="BE47" s="14">
        <f t="shared" si="34"/>
        <v>-16.234335471509954</v>
      </c>
      <c r="BF47" s="25">
        <v>1.0808848989999</v>
      </c>
      <c r="BG47" s="22">
        <f t="shared" si="35"/>
        <v>1.0933707287557823</v>
      </c>
      <c r="BH47" s="38">
        <f t="shared" si="36"/>
        <v>1.2485829755882305E-2</v>
      </c>
      <c r="BI47" s="115">
        <f t="shared" si="37"/>
        <v>0.10656904355856754</v>
      </c>
      <c r="BJ47" s="163">
        <f t="shared" si="38"/>
        <v>3.0680508968824616E-3</v>
      </c>
      <c r="BK47" s="116">
        <f t="shared" si="39"/>
        <v>124.85829755882305</v>
      </c>
      <c r="BL47" s="115">
        <f t="shared" si="40"/>
        <v>0.12756030124559464</v>
      </c>
      <c r="BM47" s="157">
        <f t="shared" si="41"/>
        <v>127.56030124559464</v>
      </c>
      <c r="BN47" s="117">
        <f t="shared" si="42"/>
        <v>106.56904355856754</v>
      </c>
      <c r="BO47" s="161">
        <f t="shared" si="43"/>
        <v>24.572262772019982</v>
      </c>
      <c r="BP47" s="161">
        <f t="shared" si="44"/>
        <v>11.060415666449458</v>
      </c>
    </row>
    <row r="48" spans="1:68" ht="15.75">
      <c r="A48" s="67">
        <v>46</v>
      </c>
      <c r="B48" s="66">
        <v>6</v>
      </c>
      <c r="C48" s="66" t="s">
        <v>421</v>
      </c>
      <c r="D48" s="66" t="s">
        <v>414</v>
      </c>
      <c r="E48" s="66" t="s">
        <v>410</v>
      </c>
      <c r="F48" s="66" t="s">
        <v>411</v>
      </c>
      <c r="G48" s="66">
        <v>6</v>
      </c>
      <c r="H48" s="66" t="s">
        <v>432</v>
      </c>
      <c r="I48" s="66">
        <v>100</v>
      </c>
      <c r="J48" s="66">
        <v>3.85</v>
      </c>
      <c r="K48" s="66">
        <v>30</v>
      </c>
      <c r="L48" s="66" t="s">
        <v>434</v>
      </c>
      <c r="M48" s="66">
        <v>1</v>
      </c>
      <c r="N48"/>
      <c r="O48"/>
      <c r="P48"/>
      <c r="Q48" s="66">
        <v>3.85</v>
      </c>
      <c r="R48">
        <v>2.6044117647058824</v>
      </c>
      <c r="S48" s="55">
        <v>1.2455882352941174</v>
      </c>
      <c r="T48" s="82">
        <v>157</v>
      </c>
      <c r="U48" s="82" t="s">
        <v>237</v>
      </c>
      <c r="V48" s="83">
        <v>0.8426273125</v>
      </c>
      <c r="W48" s="83">
        <v>273.72693771806121</v>
      </c>
      <c r="X48" s="83">
        <v>0.66150006250000004</v>
      </c>
      <c r="Y48" s="83">
        <v>-18.843044580995027</v>
      </c>
      <c r="Z48" s="69" t="s">
        <v>54</v>
      </c>
      <c r="AA48" s="73">
        <v>5.5661983611111108</v>
      </c>
      <c r="AB48" s="73">
        <v>3.0248816727959098</v>
      </c>
      <c r="AC48" s="73">
        <v>3.9982883888888887</v>
      </c>
      <c r="AD48" s="73">
        <v>-25.508901929003891</v>
      </c>
      <c r="AE48" s="73">
        <v>2.2461111111111109</v>
      </c>
      <c r="AF48" s="73">
        <v>2.2461111111111109</v>
      </c>
      <c r="AG48" s="32">
        <f t="shared" si="13"/>
        <v>1.1379460310984945E-2</v>
      </c>
      <c r="AH48" s="32">
        <f t="shared" si="14"/>
        <v>0.25846953038557846</v>
      </c>
      <c r="AI48" s="33">
        <f t="shared" si="15"/>
        <v>9.5886440595456587E-3</v>
      </c>
      <c r="AJ48" s="34">
        <f t="shared" si="16"/>
        <v>0.17097761050440582</v>
      </c>
      <c r="AK48" s="16">
        <f t="shared" si="47"/>
        <v>6.2534635170949945E-4</v>
      </c>
      <c r="AL48" s="16">
        <f t="shared" si="48"/>
        <v>1.1150713728548206E-2</v>
      </c>
      <c r="AM48" s="27">
        <f t="shared" si="17"/>
        <v>0.62534635170949948</v>
      </c>
      <c r="AN48" s="27">
        <f t="shared" si="18"/>
        <v>11.150713728548206</v>
      </c>
      <c r="AO48" s="29" t="e">
        <f t="shared" si="19"/>
        <v>#VALUE!</v>
      </c>
      <c r="AP48" s="29" t="e">
        <f t="shared" si="20"/>
        <v>#VALUE!</v>
      </c>
      <c r="AQ48" s="27">
        <f t="shared" si="21"/>
        <v>17.831260545561154</v>
      </c>
      <c r="AR48" s="14">
        <f t="shared" si="22"/>
        <v>272.68205604526531</v>
      </c>
      <c r="AS48" s="25">
        <v>0.36849740461643371</v>
      </c>
      <c r="AT48" s="22">
        <f t="shared" si="23"/>
        <v>0.46565939256805894</v>
      </c>
      <c r="AU48" s="22">
        <f t="shared" si="24"/>
        <v>9.7161987951625228E-2</v>
      </c>
      <c r="AV48" s="115">
        <f t="shared" si="25"/>
        <v>9.026198922266529E-2</v>
      </c>
      <c r="AW48" s="163">
        <f t="shared" si="26"/>
        <v>6.0759894690391172E-4</v>
      </c>
      <c r="AX48" s="116">
        <f t="shared" si="27"/>
        <v>971.61987951625235</v>
      </c>
      <c r="AY48" s="115">
        <f t="shared" si="28"/>
        <v>9.1780986589925062E-2</v>
      </c>
      <c r="AZ48" s="157">
        <f t="shared" si="29"/>
        <v>91.780986589925064</v>
      </c>
      <c r="BA48" s="117">
        <f t="shared" si="30"/>
        <v>90.261989222665292</v>
      </c>
      <c r="BB48" s="118">
        <f t="shared" si="31"/>
        <v>15.771873359854466</v>
      </c>
      <c r="BC48" s="118">
        <f t="shared" si="32"/>
        <v>149.60519662681202</v>
      </c>
      <c r="BD48" s="117">
        <f t="shared" si="33"/>
        <v>0.62534635170949948</v>
      </c>
      <c r="BE48" s="14">
        <f t="shared" si="34"/>
        <v>-19.364142651991138</v>
      </c>
      <c r="BF48" s="25">
        <v>1.0808848989999</v>
      </c>
      <c r="BG48" s="22">
        <f t="shared" si="35"/>
        <v>1.0899301312236787</v>
      </c>
      <c r="BH48" s="38">
        <f t="shared" si="36"/>
        <v>9.0452322237786209E-3</v>
      </c>
      <c r="BI48" s="115">
        <f t="shared" si="37"/>
        <v>7.3228952719436399E-2</v>
      </c>
      <c r="BJ48" s="163">
        <f t="shared" si="38"/>
        <v>1.0086079513559488E-3</v>
      </c>
      <c r="BK48" s="116">
        <f t="shared" si="39"/>
        <v>90.452322237786206</v>
      </c>
      <c r="BL48" s="115">
        <f t="shared" si="40"/>
        <v>8.4904091687755812E-2</v>
      </c>
      <c r="BM48" s="157">
        <f t="shared" si="41"/>
        <v>84.904091687755809</v>
      </c>
      <c r="BN48" s="117">
        <f t="shared" si="42"/>
        <v>73.228952719436393</v>
      </c>
      <c r="BO48" s="161">
        <f t="shared" si="43"/>
        <v>11.150713728548206</v>
      </c>
      <c r="BP48" s="161">
        <f t="shared" si="44"/>
        <v>9.4855692290565337</v>
      </c>
    </row>
    <row r="49" spans="1:68" ht="15.75">
      <c r="A49" s="67">
        <v>47</v>
      </c>
      <c r="B49" s="66">
        <v>6</v>
      </c>
      <c r="C49" s="66" t="s">
        <v>423</v>
      </c>
      <c r="D49" s="66" t="s">
        <v>420</v>
      </c>
      <c r="E49" s="66" t="s">
        <v>410</v>
      </c>
      <c r="F49" s="66" t="s">
        <v>411</v>
      </c>
      <c r="G49" s="66">
        <v>6</v>
      </c>
      <c r="H49" s="66" t="s">
        <v>432</v>
      </c>
      <c r="I49" s="66">
        <v>100</v>
      </c>
      <c r="J49" s="66">
        <v>8.7200000000000006</v>
      </c>
      <c r="K49" s="66">
        <v>30</v>
      </c>
      <c r="L49" s="66" t="s">
        <v>435</v>
      </c>
      <c r="M49" s="66">
        <v>1</v>
      </c>
      <c r="N49"/>
      <c r="O49"/>
      <c r="P49"/>
      <c r="Q49" s="66">
        <v>8.7200000000000006</v>
      </c>
      <c r="R49">
        <v>4.4849681528662426</v>
      </c>
      <c r="S49" s="55">
        <v>4.235031847133758</v>
      </c>
      <c r="T49" s="80">
        <v>158</v>
      </c>
      <c r="U49" s="80" t="s">
        <v>238</v>
      </c>
      <c r="V49" s="81">
        <v>5.6066735000000003</v>
      </c>
      <c r="W49" s="81">
        <v>1707.2372603605079</v>
      </c>
      <c r="X49" s="81">
        <v>4.7268765000000004</v>
      </c>
      <c r="Y49" s="81">
        <v>8.9906775561036518</v>
      </c>
      <c r="Z49" s="69" t="s">
        <v>54</v>
      </c>
      <c r="AA49" s="73">
        <v>5.5661983611111108</v>
      </c>
      <c r="AB49" s="73">
        <v>3.0248816727959098</v>
      </c>
      <c r="AC49" s="73">
        <v>3.9982883888888887</v>
      </c>
      <c r="AD49" s="73">
        <v>-25.508901929003891</v>
      </c>
      <c r="AE49" s="73">
        <v>2.2461111111111109</v>
      </c>
      <c r="AF49" s="73">
        <v>2.2461111111111109</v>
      </c>
      <c r="AG49" s="32">
        <f t="shared" si="13"/>
        <v>1.1379460310984945E-2</v>
      </c>
      <c r="AH49" s="32">
        <f t="shared" si="14"/>
        <v>0.25846953038557846</v>
      </c>
      <c r="AI49" s="33">
        <f t="shared" si="15"/>
        <v>6.3800918569901055E-2</v>
      </c>
      <c r="AJ49" s="34">
        <f t="shared" si="16"/>
        <v>1.2217535491456268</v>
      </c>
      <c r="AK49" s="16">
        <f t="shared" si="47"/>
        <v>6.1430605805694203E-3</v>
      </c>
      <c r="AL49" s="16">
        <f t="shared" si="48"/>
        <v>0.11763633244095663</v>
      </c>
      <c r="AM49" s="27">
        <f t="shared" si="17"/>
        <v>6.1430605805694203</v>
      </c>
      <c r="AN49" s="27">
        <f t="shared" si="18"/>
        <v>117.63633244095662</v>
      </c>
      <c r="AO49" s="29" t="e">
        <f t="shared" si="19"/>
        <v>#VALUE!</v>
      </c>
      <c r="AP49" s="29" t="e">
        <f t="shared" si="20"/>
        <v>#VALUE!</v>
      </c>
      <c r="AQ49" s="27">
        <f t="shared" si="21"/>
        <v>19.149466442353159</v>
      </c>
      <c r="AR49" s="14">
        <f t="shared" si="22"/>
        <v>1706.1923786877119</v>
      </c>
      <c r="AS49" s="25">
        <v>0.36849740461643371</v>
      </c>
      <c r="AT49" s="22">
        <f t="shared" si="23"/>
        <v>0.98499759855875679</v>
      </c>
      <c r="AU49" s="22">
        <f t="shared" si="24"/>
        <v>0.61650019394232314</v>
      </c>
      <c r="AV49" s="115">
        <f t="shared" si="25"/>
        <v>0.10122926076186758</v>
      </c>
      <c r="AW49" s="163">
        <f t="shared" si="26"/>
        <v>3.7871980393204878E-2</v>
      </c>
      <c r="AX49" s="116">
        <f t="shared" si="27"/>
        <v>6165.0019394232322</v>
      </c>
      <c r="AY49" s="115">
        <f t="shared" si="28"/>
        <v>0.19590921174487977</v>
      </c>
      <c r="AZ49" s="157">
        <f t="shared" si="29"/>
        <v>195.90921174487977</v>
      </c>
      <c r="BA49" s="117">
        <f t="shared" si="30"/>
        <v>101.22926076186758</v>
      </c>
      <c r="BB49" s="118">
        <f t="shared" si="31"/>
        <v>14.459447512323589</v>
      </c>
      <c r="BC49" s="118">
        <f t="shared" si="32"/>
        <v>186.26064392669682</v>
      </c>
      <c r="BD49" s="117">
        <f t="shared" si="33"/>
        <v>6.1430605805694203</v>
      </c>
      <c r="BE49" s="14">
        <f t="shared" si="34"/>
        <v>8.4695794851075412</v>
      </c>
      <c r="BF49" s="25">
        <v>1.0808848989999</v>
      </c>
      <c r="BG49" s="22">
        <f t="shared" si="35"/>
        <v>1.1205193477446647</v>
      </c>
      <c r="BH49" s="38">
        <f t="shared" si="36"/>
        <v>3.9634448744764628E-2</v>
      </c>
      <c r="BI49" s="115">
        <f t="shared" si="37"/>
        <v>-6.0864293160833886E-3</v>
      </c>
      <c r="BJ49" s="163">
        <f t="shared" si="38"/>
        <v>4.6624511886531883E-2</v>
      </c>
      <c r="BK49" s="116">
        <f t="shared" si="39"/>
        <v>396.34448744764626</v>
      </c>
      <c r="BL49" s="115">
        <f t="shared" si="40"/>
        <v>0.10971404673573587</v>
      </c>
      <c r="BM49" s="157">
        <f t="shared" si="41"/>
        <v>109.71404673573588</v>
      </c>
      <c r="BN49" s="117">
        <f t="shared" si="42"/>
        <v>-6.0864293160833887</v>
      </c>
      <c r="BO49" s="161">
        <f t="shared" si="43"/>
        <v>117.63633244095662</v>
      </c>
      <c r="BP49" s="161">
        <f t="shared" si="44"/>
        <v>12.881587886947232</v>
      </c>
    </row>
    <row r="50" spans="1:68" ht="15.75">
      <c r="A50" s="67">
        <v>48</v>
      </c>
      <c r="B50" s="66">
        <v>6</v>
      </c>
      <c r="C50" s="66" t="s">
        <v>425</v>
      </c>
      <c r="D50" s="66" t="s">
        <v>418</v>
      </c>
      <c r="E50" s="66" t="s">
        <v>410</v>
      </c>
      <c r="F50" s="66" t="s">
        <v>411</v>
      </c>
      <c r="G50" s="66">
        <v>6</v>
      </c>
      <c r="H50" s="66" t="s">
        <v>432</v>
      </c>
      <c r="I50" s="66">
        <v>100</v>
      </c>
      <c r="J50" s="66">
        <v>2.46</v>
      </c>
      <c r="K50" s="66">
        <v>30</v>
      </c>
      <c r="L50" s="66" t="s">
        <v>436</v>
      </c>
      <c r="M50" s="66">
        <v>1</v>
      </c>
      <c r="N50"/>
      <c r="O50"/>
      <c r="P50"/>
      <c r="Q50" s="66">
        <v>2.46</v>
      </c>
      <c r="R50">
        <v>2.0175539568345324</v>
      </c>
      <c r="S50" s="55">
        <v>0.4424460431654676</v>
      </c>
      <c r="T50" s="82">
        <v>159</v>
      </c>
      <c r="U50" s="82" t="s">
        <v>239</v>
      </c>
      <c r="V50" s="83">
        <v>2.83105575</v>
      </c>
      <c r="W50" s="83">
        <v>63.57266960403939</v>
      </c>
      <c r="X50" s="83">
        <v>2.0572813750000001</v>
      </c>
      <c r="Y50" s="83">
        <v>-27.40047573788825</v>
      </c>
      <c r="Z50" s="69" t="s">
        <v>54</v>
      </c>
      <c r="AA50" s="73">
        <v>5.5661983611111108</v>
      </c>
      <c r="AB50" s="73">
        <v>3.0248816727959098</v>
      </c>
      <c r="AC50" s="73">
        <v>3.9982883888888887</v>
      </c>
      <c r="AD50" s="73">
        <v>-25.508901929003891</v>
      </c>
      <c r="AE50" s="73">
        <v>2.2461111111111109</v>
      </c>
      <c r="AF50" s="73">
        <v>2.2461111111111109</v>
      </c>
      <c r="AG50" s="32">
        <f t="shared" si="13"/>
        <v>1.1379460310984945E-2</v>
      </c>
      <c r="AH50" s="32">
        <f t="shared" si="14"/>
        <v>0.25846953038557846</v>
      </c>
      <c r="AI50" s="33">
        <f t="shared" si="15"/>
        <v>3.2215886545310719E-2</v>
      </c>
      <c r="AJ50" s="34">
        <f t="shared" si="16"/>
        <v>0.53174455086724715</v>
      </c>
      <c r="AK50" s="16">
        <f t="shared" si="47"/>
        <v>1.5448553781961863E-3</v>
      </c>
      <c r="AL50" s="16">
        <f t="shared" si="48"/>
        <v>2.5498861503575592E-2</v>
      </c>
      <c r="AM50" s="27">
        <f t="shared" si="17"/>
        <v>1.5448553781961862</v>
      </c>
      <c r="AN50" s="27">
        <f t="shared" si="18"/>
        <v>25.498861503575593</v>
      </c>
      <c r="AO50" s="29" t="e">
        <f t="shared" si="19"/>
        <v>#VALUE!</v>
      </c>
      <c r="AP50" s="29" t="e">
        <f t="shared" si="20"/>
        <v>#VALUE!</v>
      </c>
      <c r="AQ50" s="27">
        <f t="shared" si="21"/>
        <v>16.505662512790504</v>
      </c>
      <c r="AR50" s="14">
        <f t="shared" si="22"/>
        <v>62.527787931243481</v>
      </c>
      <c r="AS50" s="25">
        <v>0.36849740461643371</v>
      </c>
      <c r="AT50" s="22">
        <f t="shared" si="23"/>
        <v>0.38906558220339377</v>
      </c>
      <c r="AU50" s="22">
        <f t="shared" si="24"/>
        <v>2.0568177586960057E-2</v>
      </c>
      <c r="AV50" s="115">
        <f t="shared" si="25"/>
        <v>5.3785660816851909E-4</v>
      </c>
      <c r="AW50" s="163">
        <f t="shared" si="26"/>
        <v>3.17748597649095E-4</v>
      </c>
      <c r="AX50" s="116">
        <f t="shared" si="27"/>
        <v>205.68177586960056</v>
      </c>
      <c r="AY50" s="115">
        <f t="shared" si="28"/>
        <v>1.3322281022912566E-3</v>
      </c>
      <c r="AZ50" s="157">
        <f t="shared" si="29"/>
        <v>1.3322281022912565</v>
      </c>
      <c r="BA50" s="117">
        <f t="shared" si="30"/>
        <v>0.5378566081685191</v>
      </c>
      <c r="BB50" s="118">
        <f t="shared" si="31"/>
        <v>8.5416412911174646</v>
      </c>
      <c r="BC50" s="118">
        <f t="shared" si="32"/>
        <v>100.28449730757418</v>
      </c>
      <c r="BD50" s="117">
        <f t="shared" si="33"/>
        <v>1.5448553781961862</v>
      </c>
      <c r="BE50" s="14">
        <f t="shared" si="34"/>
        <v>-27.921573808884361</v>
      </c>
      <c r="BF50" s="25">
        <v>1.0808848989999</v>
      </c>
      <c r="BG50" s="22">
        <f t="shared" si="35"/>
        <v>1.0805217236979201</v>
      </c>
      <c r="BH50" s="38">
        <f t="shared" si="36"/>
        <v>-3.6317530197993442E-4</v>
      </c>
      <c r="BI50" s="115">
        <f t="shared" si="37"/>
        <v>-4.653523605926471E-3</v>
      </c>
      <c r="BJ50" s="163">
        <f t="shared" si="38"/>
        <v>-9.2605567267055905E-5</v>
      </c>
      <c r="BK50" s="116">
        <f t="shared" si="39"/>
        <v>-3.6317530197993437</v>
      </c>
      <c r="BL50" s="115">
        <f t="shared" si="40"/>
        <v>-5.4667279748349196E-3</v>
      </c>
      <c r="BM50" s="157">
        <f t="shared" si="41"/>
        <v>-5.46672797483492</v>
      </c>
      <c r="BN50" s="117">
        <f t="shared" si="42"/>
        <v>-4.6535236059264706</v>
      </c>
      <c r="BO50" s="161">
        <f t="shared" si="43"/>
        <v>25.498861503575593</v>
      </c>
      <c r="BP50" s="161">
        <f t="shared" si="44"/>
        <v>11.740658954135782</v>
      </c>
    </row>
    <row r="51" spans="1:68" ht="15.75">
      <c r="A51" s="67">
        <v>97</v>
      </c>
      <c r="B51" s="134">
        <v>1</v>
      </c>
      <c r="C51" s="66" t="s">
        <v>408</v>
      </c>
      <c r="D51" s="66" t="s">
        <v>409</v>
      </c>
      <c r="E51" s="66" t="s">
        <v>437</v>
      </c>
      <c r="F51" s="66" t="s">
        <v>411</v>
      </c>
      <c r="G51" s="66"/>
      <c r="H51" s="66" t="s">
        <v>412</v>
      </c>
      <c r="I51" s="66">
        <v>100</v>
      </c>
      <c r="J51" s="66">
        <v>20</v>
      </c>
      <c r="K51" s="66">
        <v>30</v>
      </c>
      <c r="L51" s="66" t="s">
        <v>438</v>
      </c>
      <c r="M51" s="66">
        <v>1</v>
      </c>
      <c r="N51"/>
      <c r="O51"/>
      <c r="P51"/>
      <c r="Q51" s="66">
        <v>20</v>
      </c>
      <c r="R51">
        <v>8.1105824446267434</v>
      </c>
      <c r="S51" s="55">
        <v>4.7294175553732574</v>
      </c>
      <c r="T51" s="80">
        <v>160</v>
      </c>
      <c r="U51" s="80" t="s">
        <v>240</v>
      </c>
      <c r="V51" s="81">
        <v>3.8668165000000001</v>
      </c>
      <c r="W51" s="81">
        <v>5.1649327847169531</v>
      </c>
      <c r="X51" s="81">
        <v>1.9382018750000001</v>
      </c>
      <c r="Y51" s="81">
        <v>-25.131462752950821</v>
      </c>
      <c r="Z51" s="69" t="s">
        <v>54</v>
      </c>
      <c r="AA51" s="73">
        <v>5.5661983611111108</v>
      </c>
      <c r="AB51" s="73">
        <v>3.0248816727959098</v>
      </c>
      <c r="AC51" s="73">
        <v>3.9982883888888887</v>
      </c>
      <c r="AD51" s="73">
        <v>-25.508901929003891</v>
      </c>
      <c r="AE51" s="73">
        <v>2.2461111111111109</v>
      </c>
      <c r="AF51" s="73">
        <v>2.2461111111111109</v>
      </c>
      <c r="AG51" s="32">
        <f t="shared" si="13"/>
        <v>1.1379460310984945E-2</v>
      </c>
      <c r="AH51" s="32">
        <f t="shared" si="14"/>
        <v>0.25846953038557846</v>
      </c>
      <c r="AI51" s="33">
        <f t="shared" si="15"/>
        <v>4.4002284891611718E-2</v>
      </c>
      <c r="AJ51" s="34">
        <f t="shared" si="16"/>
        <v>0.5009661284236977</v>
      </c>
      <c r="AK51" s="16">
        <f t="shared" si="47"/>
        <v>4.472144402716139E-3</v>
      </c>
      <c r="AL51" s="16">
        <f t="shared" si="48"/>
        <v>5.0915375706035368E-2</v>
      </c>
      <c r="AM51" s="27">
        <f t="shared" si="17"/>
        <v>4.4721444027161388</v>
      </c>
      <c r="AN51" s="27">
        <f t="shared" si="18"/>
        <v>50.91537570603537</v>
      </c>
      <c r="AO51" s="29" t="e">
        <f t="shared" si="19"/>
        <v>#VALUE!</v>
      </c>
      <c r="AP51" s="29" t="e">
        <f t="shared" si="20"/>
        <v>#VALUE!</v>
      </c>
      <c r="AQ51" s="27">
        <f t="shared" si="21"/>
        <v>11.385002611971142</v>
      </c>
      <c r="AR51" s="14">
        <f t="shared" si="22"/>
        <v>4.1200511119210432</v>
      </c>
      <c r="AS51" s="25">
        <v>0.36849740461643371</v>
      </c>
      <c r="AT51" s="22">
        <f t="shared" si="23"/>
        <v>0.36775708594650841</v>
      </c>
      <c r="AU51" s="22">
        <f t="shared" si="24"/>
        <v>-7.4031866992529949E-4</v>
      </c>
      <c r="AV51" s="115">
        <f t="shared" si="25"/>
        <v>-3.1619737668753408E-4</v>
      </c>
      <c r="AW51" s="163">
        <f t="shared" si="26"/>
        <v>-3.310811995932685E-5</v>
      </c>
      <c r="AX51" s="116">
        <f t="shared" si="27"/>
        <v>-7.4031866992529949</v>
      </c>
      <c r="AY51" s="115">
        <f t="shared" si="28"/>
        <v>-3.9896767658585122E-4</v>
      </c>
      <c r="AZ51" s="157">
        <f t="shared" si="29"/>
        <v>-0.39896767658585119</v>
      </c>
      <c r="BA51" s="117">
        <f t="shared" si="30"/>
        <v>-0.31619737668753406</v>
      </c>
      <c r="BB51" s="118">
        <f t="shared" si="31"/>
        <v>37.421830080353558</v>
      </c>
      <c r="BC51" s="118">
        <f t="shared" si="32"/>
        <v>299.46227088561227</v>
      </c>
      <c r="BD51" s="117">
        <f t="shared" si="33"/>
        <v>4.4721444027161388</v>
      </c>
      <c r="BE51" s="14">
        <f t="shared" si="34"/>
        <v>-25.652560823946931</v>
      </c>
      <c r="BF51" s="25">
        <v>1.0808848989999</v>
      </c>
      <c r="BG51" s="22">
        <f t="shared" si="35"/>
        <v>1.0830165484430296</v>
      </c>
      <c r="BH51" s="38">
        <f t="shared" si="36"/>
        <v>2.1316494431296018E-3</v>
      </c>
      <c r="BI51" s="115">
        <f t="shared" si="37"/>
        <v>2.9748928990590388E-3</v>
      </c>
      <c r="BJ51" s="163">
        <f t="shared" si="38"/>
        <v>1.0853373227050474E-3</v>
      </c>
      <c r="BK51" s="116">
        <f t="shared" si="39"/>
        <v>21.316494431296018</v>
      </c>
      <c r="BL51" s="115">
        <f t="shared" si="40"/>
        <v>6.0600978182040362E-3</v>
      </c>
      <c r="BM51" s="157">
        <f t="shared" si="41"/>
        <v>6.0600978182040359</v>
      </c>
      <c r="BN51" s="117">
        <f t="shared" si="42"/>
        <v>2.9748928990590389</v>
      </c>
      <c r="BO51" s="161">
        <f t="shared" si="43"/>
        <v>50.91537570603537</v>
      </c>
      <c r="BP51" s="161">
        <f t="shared" si="44"/>
        <v>8.0023416877954823</v>
      </c>
    </row>
    <row r="52" spans="1:68" ht="15.75">
      <c r="A52" s="67">
        <v>98</v>
      </c>
      <c r="B52" s="134">
        <v>1</v>
      </c>
      <c r="C52" s="66" t="s">
        <v>413</v>
      </c>
      <c r="D52" s="66" t="s">
        <v>414</v>
      </c>
      <c r="E52" s="66" t="s">
        <v>437</v>
      </c>
      <c r="F52" s="66" t="s">
        <v>411</v>
      </c>
      <c r="G52" s="66"/>
      <c r="H52" s="66" t="s">
        <v>412</v>
      </c>
      <c r="I52" s="66">
        <v>100</v>
      </c>
      <c r="J52" s="66">
        <v>20</v>
      </c>
      <c r="K52" s="66">
        <v>30</v>
      </c>
      <c r="L52" s="66" t="s">
        <v>439</v>
      </c>
      <c r="M52" s="66">
        <v>1</v>
      </c>
      <c r="N52"/>
      <c r="O52"/>
      <c r="P52"/>
      <c r="Q52" s="66">
        <v>20</v>
      </c>
      <c r="R52">
        <v>6.6423620025673937</v>
      </c>
      <c r="S52" s="55">
        <v>6.5576379974326056</v>
      </c>
      <c r="T52" s="82">
        <v>161</v>
      </c>
      <c r="U52" s="82" t="s">
        <v>241</v>
      </c>
      <c r="V52" s="83">
        <v>2.1102432499999999</v>
      </c>
      <c r="W52" s="83">
        <v>5.6213274122568668</v>
      </c>
      <c r="X52" s="83">
        <v>1.155590125</v>
      </c>
      <c r="Y52" s="83">
        <v>-25.054456350552226</v>
      </c>
      <c r="Z52" s="69" t="s">
        <v>54</v>
      </c>
      <c r="AA52" s="73">
        <v>5.5661983611111108</v>
      </c>
      <c r="AB52" s="73">
        <v>3.0248816727959098</v>
      </c>
      <c r="AC52" s="73">
        <v>3.9982883888888887</v>
      </c>
      <c r="AD52" s="73">
        <v>-25.508901929003891</v>
      </c>
      <c r="AE52" s="73">
        <v>2.2461111111111109</v>
      </c>
      <c r="AF52" s="73">
        <v>2.2461111111111109</v>
      </c>
      <c r="AG52" s="32">
        <f t="shared" si="13"/>
        <v>1.1379460310984945E-2</v>
      </c>
      <c r="AH52" s="32">
        <f t="shared" si="14"/>
        <v>0.25846953038557846</v>
      </c>
      <c r="AI52" s="33">
        <f t="shared" si="15"/>
        <v>2.401342930989888E-2</v>
      </c>
      <c r="AJ52" s="34">
        <f t="shared" si="16"/>
        <v>0.29868483692696191</v>
      </c>
      <c r="AK52" s="16">
        <f t="shared" si="47"/>
        <v>3.2003673916132761E-3</v>
      </c>
      <c r="AL52" s="16">
        <f t="shared" si="48"/>
        <v>3.9806943029013088E-2</v>
      </c>
      <c r="AM52" s="27">
        <f t="shared" si="17"/>
        <v>3.200367391613276</v>
      </c>
      <c r="AN52" s="27">
        <f t="shared" si="18"/>
        <v>39.806943029013091</v>
      </c>
      <c r="AO52" s="29" t="e">
        <f t="shared" si="19"/>
        <v>#VALUE!</v>
      </c>
      <c r="AP52" s="29" t="e">
        <f t="shared" si="20"/>
        <v>#VALUE!</v>
      </c>
      <c r="AQ52" s="27">
        <f t="shared" si="21"/>
        <v>12.438241663544375</v>
      </c>
      <c r="AR52" s="14">
        <f t="shared" si="22"/>
        <v>4.576445739460957</v>
      </c>
      <c r="AS52" s="25">
        <v>0.36849740461643371</v>
      </c>
      <c r="AT52" s="22">
        <f t="shared" si="23"/>
        <v>0.36792362462521749</v>
      </c>
      <c r="AU52" s="22">
        <f t="shared" si="24"/>
        <v>-5.737799912162167E-4</v>
      </c>
      <c r="AV52" s="115">
        <f t="shared" si="25"/>
        <v>3.5853697338940094E-4</v>
      </c>
      <c r="AW52" s="163">
        <f t="shared" si="26"/>
        <v>-1.8363067738485319E-5</v>
      </c>
      <c r="AX52" s="116">
        <f t="shared" si="27"/>
        <v>-5.737799912162167</v>
      </c>
      <c r="AY52" s="115">
        <f t="shared" si="28"/>
        <v>3.1262930404318758E-4</v>
      </c>
      <c r="AZ52" s="157">
        <f t="shared" si="29"/>
        <v>0.31262930404318756</v>
      </c>
      <c r="BA52" s="117">
        <f t="shared" si="30"/>
        <v>0.35853697338940094</v>
      </c>
      <c r="BB52" s="118">
        <f t="shared" si="31"/>
        <v>12.200166138995426</v>
      </c>
      <c r="BC52" s="118">
        <f t="shared" si="32"/>
        <v>102.56675132088439</v>
      </c>
      <c r="BD52" s="117">
        <f t="shared" si="33"/>
        <v>3.200367391613276</v>
      </c>
      <c r="BE52" s="14">
        <f t="shared" si="34"/>
        <v>-25.575554421548336</v>
      </c>
      <c r="BF52" s="25">
        <v>1.0808848989999</v>
      </c>
      <c r="BG52" s="22">
        <f t="shared" si="35"/>
        <v>1.0831012163006946</v>
      </c>
      <c r="BH52" s="38">
        <f t="shared" si="36"/>
        <v>2.2163173007945236E-3</v>
      </c>
      <c r="BI52" s="115">
        <f t="shared" si="37"/>
        <v>1.9832234345259795E-3</v>
      </c>
      <c r="BJ52" s="163">
        <f t="shared" si="38"/>
        <v>8.8224816526943667E-4</v>
      </c>
      <c r="BK52" s="116">
        <f t="shared" si="39"/>
        <v>22.163173007945236</v>
      </c>
      <c r="BL52" s="115">
        <f t="shared" si="40"/>
        <v>4.4367467770153185E-3</v>
      </c>
      <c r="BM52" s="157">
        <f t="shared" si="41"/>
        <v>4.4367467770153182</v>
      </c>
      <c r="BN52" s="117">
        <f t="shared" si="42"/>
        <v>1.9832234345259796</v>
      </c>
      <c r="BO52" s="161">
        <f t="shared" si="43"/>
        <v>39.806943029013091</v>
      </c>
      <c r="BP52" s="161">
        <f t="shared" si="44"/>
        <v>8.406996277948215</v>
      </c>
    </row>
    <row r="53" spans="1:68" ht="15.75">
      <c r="A53" s="67">
        <v>99</v>
      </c>
      <c r="B53" s="134">
        <v>1</v>
      </c>
      <c r="C53" s="66" t="s">
        <v>415</v>
      </c>
      <c r="D53" s="66" t="s">
        <v>416</v>
      </c>
      <c r="E53" s="66" t="s">
        <v>437</v>
      </c>
      <c r="F53" s="66" t="s">
        <v>411</v>
      </c>
      <c r="G53" s="66"/>
      <c r="H53" s="66" t="s">
        <v>412</v>
      </c>
      <c r="I53" s="66">
        <v>100</v>
      </c>
      <c r="J53" s="66">
        <v>20</v>
      </c>
      <c r="K53" s="66">
        <v>30</v>
      </c>
      <c r="L53" s="66" t="s">
        <v>440</v>
      </c>
      <c r="M53" s="66">
        <v>1</v>
      </c>
      <c r="N53"/>
      <c r="O53"/>
      <c r="P53"/>
      <c r="Q53" s="66">
        <v>20</v>
      </c>
      <c r="R53">
        <v>6.0602457956015536</v>
      </c>
      <c r="S53" s="55">
        <v>5.449754204398447</v>
      </c>
      <c r="T53" s="80">
        <v>162</v>
      </c>
      <c r="U53" s="80" t="s">
        <v>242</v>
      </c>
      <c r="V53" s="81">
        <v>0.78092693749999997</v>
      </c>
      <c r="W53" s="81">
        <v>12.607146717471057</v>
      </c>
      <c r="X53" s="81">
        <v>0.44268412499999998</v>
      </c>
      <c r="Y53" s="81">
        <v>-24.712317418423922</v>
      </c>
      <c r="Z53" s="69" t="s">
        <v>54</v>
      </c>
      <c r="AA53" s="73">
        <v>5.5661983611111108</v>
      </c>
      <c r="AB53" s="73">
        <v>3.0248816727959098</v>
      </c>
      <c r="AC53" s="73">
        <v>3.9982883888888887</v>
      </c>
      <c r="AD53" s="73">
        <v>-25.508901929003891</v>
      </c>
      <c r="AE53" s="73">
        <v>2.2461111111111109</v>
      </c>
      <c r="AF53" s="73">
        <v>2.2461111111111109</v>
      </c>
      <c r="AG53" s="32">
        <f t="shared" si="13"/>
        <v>1.1379460310984945E-2</v>
      </c>
      <c r="AH53" s="32">
        <f t="shared" si="14"/>
        <v>0.25846953038557846</v>
      </c>
      <c r="AI53" s="33">
        <f t="shared" si="15"/>
        <v>8.8865270910602704E-3</v>
      </c>
      <c r="AJ53" s="34">
        <f t="shared" si="16"/>
        <v>0.11442035789790071</v>
      </c>
      <c r="AK53" s="16">
        <f t="shared" si="47"/>
        <v>1.2439535613245022E-3</v>
      </c>
      <c r="AL53" s="16">
        <f t="shared" si="48"/>
        <v>1.6016787012139249E-2</v>
      </c>
      <c r="AM53" s="27">
        <f t="shared" si="17"/>
        <v>1.2439535613245021</v>
      </c>
      <c r="AN53" s="27">
        <f t="shared" si="18"/>
        <v>16.01678701213925</v>
      </c>
      <c r="AO53" s="29" t="e">
        <f t="shared" si="19"/>
        <v>#VALUE!</v>
      </c>
      <c r="AP53" s="29" t="e">
        <f t="shared" si="20"/>
        <v>#VALUE!</v>
      </c>
      <c r="AQ53" s="27">
        <f t="shared" si="21"/>
        <v>12.875711369068586</v>
      </c>
      <c r="AR53" s="14">
        <f t="shared" si="22"/>
        <v>11.562265044675147</v>
      </c>
      <c r="AS53" s="25">
        <v>0.36849740461643371</v>
      </c>
      <c r="AT53" s="22">
        <f t="shared" si="23"/>
        <v>0.37047268488239049</v>
      </c>
      <c r="AU53" s="22">
        <f t="shared" si="24"/>
        <v>1.9752802659567803E-3</v>
      </c>
      <c r="AV53" s="115">
        <f t="shared" si="25"/>
        <v>4.4074733145163666E-4</v>
      </c>
      <c r="AW53" s="163">
        <f t="shared" si="26"/>
        <v>2.4571569214509466E-5</v>
      </c>
      <c r="AX53" s="116">
        <f t="shared" si="27"/>
        <v>19.752802659567802</v>
      </c>
      <c r="AY53" s="115">
        <f t="shared" si="28"/>
        <v>5.0217625448791036E-4</v>
      </c>
      <c r="AZ53" s="157">
        <f t="shared" si="29"/>
        <v>0.50217625448791037</v>
      </c>
      <c r="BA53" s="117">
        <f t="shared" si="30"/>
        <v>0.44074733145163664</v>
      </c>
      <c r="BB53" s="118">
        <f t="shared" si="31"/>
        <v>6.936589990883216</v>
      </c>
      <c r="BC53" s="118">
        <f t="shared" si="32"/>
        <v>69.743162944129864</v>
      </c>
      <c r="BD53" s="117">
        <f t="shared" si="33"/>
        <v>1.2439535613245021</v>
      </c>
      <c r="BE53" s="14">
        <f t="shared" si="34"/>
        <v>-25.233415489420032</v>
      </c>
      <c r="BF53" s="25">
        <v>1.0808848989999</v>
      </c>
      <c r="BG53" s="22">
        <f t="shared" si="35"/>
        <v>1.0834773932748774</v>
      </c>
      <c r="BH53" s="38">
        <f t="shared" si="36"/>
        <v>2.5924942749773194E-3</v>
      </c>
      <c r="BI53" s="115">
        <f t="shared" si="37"/>
        <v>1.038289463892702E-3</v>
      </c>
      <c r="BJ53" s="163">
        <f t="shared" si="38"/>
        <v>4.1523428632502088E-4</v>
      </c>
      <c r="BK53" s="116">
        <f t="shared" si="39"/>
        <v>25.924942749773194</v>
      </c>
      <c r="BL53" s="115">
        <f t="shared" si="40"/>
        <v>2.2061613626918417E-3</v>
      </c>
      <c r="BM53" s="157">
        <f t="shared" si="41"/>
        <v>2.2061613626918417</v>
      </c>
      <c r="BN53" s="117">
        <f t="shared" si="42"/>
        <v>1.038289463892702</v>
      </c>
      <c r="BO53" s="161">
        <f t="shared" si="43"/>
        <v>16.01678701213925</v>
      </c>
      <c r="BP53" s="161">
        <f t="shared" si="44"/>
        <v>10.054387391469518</v>
      </c>
    </row>
    <row r="54" spans="1:68" ht="15.75">
      <c r="A54" s="67">
        <v>100</v>
      </c>
      <c r="B54" s="134">
        <v>1</v>
      </c>
      <c r="C54" s="66" t="s">
        <v>417</v>
      </c>
      <c r="D54" s="66" t="s">
        <v>418</v>
      </c>
      <c r="E54" s="66" t="s">
        <v>437</v>
      </c>
      <c r="F54" s="66" t="s">
        <v>411</v>
      </c>
      <c r="G54" s="66"/>
      <c r="H54" s="66" t="s">
        <v>412</v>
      </c>
      <c r="I54" s="66">
        <v>100</v>
      </c>
      <c r="J54" s="66">
        <v>20</v>
      </c>
      <c r="K54" s="66">
        <v>30</v>
      </c>
      <c r="L54" s="66" t="s">
        <v>441</v>
      </c>
      <c r="M54" s="66">
        <v>1</v>
      </c>
      <c r="N54"/>
      <c r="O54"/>
      <c r="P54"/>
      <c r="Q54" s="66">
        <v>20</v>
      </c>
      <c r="R54">
        <v>4.7200932400932389</v>
      </c>
      <c r="S54" s="55">
        <v>2.4099067599067601</v>
      </c>
      <c r="T54" s="82">
        <v>163</v>
      </c>
      <c r="U54" s="82" t="s">
        <v>243</v>
      </c>
      <c r="V54" s="83">
        <v>2.3578134999999998</v>
      </c>
      <c r="W54" s="83">
        <v>11.611784760442129</v>
      </c>
      <c r="X54" s="83">
        <v>1.2448655</v>
      </c>
      <c r="Y54" s="83">
        <v>-25.406460464638865</v>
      </c>
      <c r="Z54" s="69" t="s">
        <v>54</v>
      </c>
      <c r="AA54" s="73">
        <v>5.5661983611111108</v>
      </c>
      <c r="AB54" s="73">
        <v>3.0248816727959098</v>
      </c>
      <c r="AC54" s="73">
        <v>3.9982883888888887</v>
      </c>
      <c r="AD54" s="73">
        <v>-25.508901929003891</v>
      </c>
      <c r="AE54" s="73">
        <v>2.2461111111111109</v>
      </c>
      <c r="AF54" s="73">
        <v>2.2461111111111109</v>
      </c>
      <c r="AG54" s="32">
        <f t="shared" si="13"/>
        <v>1.1379460310984945E-2</v>
      </c>
      <c r="AH54" s="32">
        <f t="shared" si="14"/>
        <v>0.25846953038557846</v>
      </c>
      <c r="AI54" s="33">
        <f t="shared" si="15"/>
        <v>2.6830645143954501E-2</v>
      </c>
      <c r="AJ54" s="34">
        <f t="shared" si="16"/>
        <v>0.32175980117820829</v>
      </c>
      <c r="AK54" s="16">
        <f t="shared" si="47"/>
        <v>4.2461891139272505E-3</v>
      </c>
      <c r="AL54" s="16">
        <f t="shared" si="48"/>
        <v>5.0921360918902453E-2</v>
      </c>
      <c r="AM54" s="27">
        <f t="shared" si="17"/>
        <v>4.2461891139272501</v>
      </c>
      <c r="AN54" s="27">
        <f t="shared" si="18"/>
        <v>50.921360918902451</v>
      </c>
      <c r="AO54" s="29" t="e">
        <f t="shared" si="19"/>
        <v>#VALUE!</v>
      </c>
      <c r="AP54" s="29" t="e">
        <f t="shared" si="20"/>
        <v>#VALUE!</v>
      </c>
      <c r="AQ54" s="27">
        <f t="shared" si="21"/>
        <v>11.992249886347121</v>
      </c>
      <c r="AR54" s="14">
        <f t="shared" si="22"/>
        <v>10.566903087646219</v>
      </c>
      <c r="AS54" s="25">
        <v>0.36849740461643371</v>
      </c>
      <c r="AT54" s="22">
        <f t="shared" si="23"/>
        <v>0.37010949456357572</v>
      </c>
      <c r="AU54" s="22">
        <f t="shared" si="24"/>
        <v>1.6120899471420147E-3</v>
      </c>
      <c r="AV54" s="115">
        <f t="shared" si="25"/>
        <v>7.8911883467515891E-5</v>
      </c>
      <c r="AW54" s="163">
        <f t="shared" si="26"/>
        <v>6.8452387842259801E-5</v>
      </c>
      <c r="AX54" s="116">
        <f t="shared" si="27"/>
        <v>16.120899471420145</v>
      </c>
      <c r="AY54" s="115">
        <f t="shared" si="28"/>
        <v>2.500428530731654E-4</v>
      </c>
      <c r="AZ54" s="157">
        <f t="shared" si="29"/>
        <v>0.25004285307316543</v>
      </c>
      <c r="BA54" s="117">
        <f t="shared" si="30"/>
        <v>7.8911883467515889E-2</v>
      </c>
      <c r="BB54" s="118">
        <f t="shared" si="31"/>
        <v>7.36868974909458</v>
      </c>
      <c r="BC54" s="118">
        <f t="shared" si="32"/>
        <v>46.838994457946278</v>
      </c>
      <c r="BD54" s="117">
        <f t="shared" si="33"/>
        <v>4.2461891139272501</v>
      </c>
      <c r="BE54" s="14">
        <f t="shared" si="34"/>
        <v>-25.927558535634976</v>
      </c>
      <c r="BF54" s="25">
        <v>1.0808848989999</v>
      </c>
      <c r="BG54" s="22">
        <f t="shared" si="35"/>
        <v>1.0827141897106909</v>
      </c>
      <c r="BH54" s="38">
        <f t="shared" si="36"/>
        <v>1.829290710790854E-3</v>
      </c>
      <c r="BI54" s="115">
        <f t="shared" si="37"/>
        <v>9.5411764717718195E-4</v>
      </c>
      <c r="BJ54" s="163">
        <f t="shared" si="38"/>
        <v>9.3149972509776679E-4</v>
      </c>
      <c r="BK54" s="116">
        <f t="shared" si="39"/>
        <v>18.29290710790854</v>
      </c>
      <c r="BL54" s="115">
        <f t="shared" si="40"/>
        <v>3.4021316658187466E-3</v>
      </c>
      <c r="BM54" s="157">
        <f t="shared" si="41"/>
        <v>3.4021316658187466</v>
      </c>
      <c r="BN54" s="117">
        <f t="shared" si="42"/>
        <v>0.95411764717718195</v>
      </c>
      <c r="BO54" s="161">
        <f t="shared" si="43"/>
        <v>50.921360918902451</v>
      </c>
      <c r="BP54" s="161">
        <f t="shared" si="44"/>
        <v>6.3564888810390707</v>
      </c>
    </row>
    <row r="55" spans="1:68" ht="15.75">
      <c r="A55" s="67">
        <v>101</v>
      </c>
      <c r="B55" s="134">
        <v>1</v>
      </c>
      <c r="C55" s="66" t="s">
        <v>419</v>
      </c>
      <c r="D55" s="66" t="s">
        <v>420</v>
      </c>
      <c r="E55" s="66" t="s">
        <v>437</v>
      </c>
      <c r="F55" s="66" t="s">
        <v>411</v>
      </c>
      <c r="G55" s="66"/>
      <c r="H55" s="66" t="s">
        <v>412</v>
      </c>
      <c r="I55" s="66">
        <v>100</v>
      </c>
      <c r="J55" s="66">
        <v>20</v>
      </c>
      <c r="K55" s="66">
        <v>30</v>
      </c>
      <c r="L55" s="66" t="s">
        <v>442</v>
      </c>
      <c r="M55" s="66">
        <v>1</v>
      </c>
      <c r="N55"/>
      <c r="O55"/>
      <c r="P55"/>
      <c r="Q55" s="66">
        <v>20</v>
      </c>
      <c r="R55">
        <v>5.9832523759239695</v>
      </c>
      <c r="S55" s="55">
        <v>3.8367476240760308</v>
      </c>
      <c r="T55" s="80">
        <v>164</v>
      </c>
      <c r="U55" s="80" t="s">
        <v>244</v>
      </c>
      <c r="V55" s="81">
        <v>0.94754812499999996</v>
      </c>
      <c r="W55" s="81">
        <v>17.91440600947702</v>
      </c>
      <c r="X55" s="81">
        <v>0.50386915624999995</v>
      </c>
      <c r="Y55" s="81">
        <v>-23.539305577291511</v>
      </c>
      <c r="Z55" s="69" t="s">
        <v>54</v>
      </c>
      <c r="AA55" s="73">
        <v>5.5661983611111108</v>
      </c>
      <c r="AB55" s="73">
        <v>3.0248816727959098</v>
      </c>
      <c r="AC55" s="73">
        <v>3.9982883888888887</v>
      </c>
      <c r="AD55" s="73">
        <v>-25.508901929003891</v>
      </c>
      <c r="AE55" s="73">
        <v>2.2461111111111109</v>
      </c>
      <c r="AF55" s="73">
        <v>2.2461111111111109</v>
      </c>
      <c r="AG55" s="32">
        <f t="shared" si="13"/>
        <v>1.1379460310984945E-2</v>
      </c>
      <c r="AH55" s="32">
        <f t="shared" si="14"/>
        <v>0.25846953038557846</v>
      </c>
      <c r="AI55" s="33">
        <f t="shared" si="15"/>
        <v>1.0782586281185702E-2</v>
      </c>
      <c r="AJ55" s="34">
        <f t="shared" si="16"/>
        <v>0.13023482419171514</v>
      </c>
      <c r="AK55" s="16">
        <f t="shared" si="47"/>
        <v>1.4318956300627787E-3</v>
      </c>
      <c r="AL55" s="16">
        <f t="shared" si="48"/>
        <v>1.7294800225016581E-2</v>
      </c>
      <c r="AM55" s="27">
        <f t="shared" si="17"/>
        <v>1.4318956300627788</v>
      </c>
      <c r="AN55" s="27">
        <f t="shared" si="18"/>
        <v>17.29480022501658</v>
      </c>
      <c r="AO55" s="29" t="e">
        <f t="shared" si="19"/>
        <v>#VALUE!</v>
      </c>
      <c r="AP55" s="29" t="e">
        <f t="shared" si="20"/>
        <v>#VALUE!</v>
      </c>
      <c r="AQ55" s="27">
        <f t="shared" si="21"/>
        <v>12.078254770746332</v>
      </c>
      <c r="AR55" s="14">
        <f t="shared" si="22"/>
        <v>16.86952433668111</v>
      </c>
      <c r="AS55" s="25">
        <v>0.36849740461643371</v>
      </c>
      <c r="AT55" s="22">
        <f t="shared" si="23"/>
        <v>0.37240916707240163</v>
      </c>
      <c r="AU55" s="22">
        <f t="shared" si="24"/>
        <v>3.9117624559679154E-3</v>
      </c>
      <c r="AV55" s="115">
        <f t="shared" si="25"/>
        <v>2.8534421166177706E-4</v>
      </c>
      <c r="AW55" s="163">
        <f t="shared" si="26"/>
        <v>5.6012355665441012E-5</v>
      </c>
      <c r="AX55" s="116">
        <f t="shared" si="27"/>
        <v>39.117624559679157</v>
      </c>
      <c r="AY55" s="115">
        <f t="shared" si="28"/>
        <v>4.2537510082537965E-4</v>
      </c>
      <c r="AZ55" s="157">
        <f t="shared" si="29"/>
        <v>0.42537510082537966</v>
      </c>
      <c r="BA55" s="117">
        <f t="shared" si="30"/>
        <v>0.28534421166177709</v>
      </c>
      <c r="BB55" s="118">
        <f t="shared" si="31"/>
        <v>18.474960657324477</v>
      </c>
      <c r="BC55" s="118">
        <f t="shared" si="32"/>
        <v>189.46436368337686</v>
      </c>
      <c r="BD55" s="117">
        <f t="shared" si="33"/>
        <v>1.4318956300627788</v>
      </c>
      <c r="BE55" s="14">
        <f t="shared" si="34"/>
        <v>-24.060403648287622</v>
      </c>
      <c r="BF55" s="25">
        <v>1.0808848989999</v>
      </c>
      <c r="BG55" s="22">
        <f t="shared" si="35"/>
        <v>1.0847670816802464</v>
      </c>
      <c r="BH55" s="38">
        <f t="shared" si="36"/>
        <v>3.8821826803463466E-3</v>
      </c>
      <c r="BI55" s="115">
        <f t="shared" si="37"/>
        <v>1.7850663561020618E-3</v>
      </c>
      <c r="BJ55" s="163">
        <f t="shared" si="38"/>
        <v>6.7141573893609468E-4</v>
      </c>
      <c r="BK55" s="116">
        <f t="shared" si="39"/>
        <v>38.821826803463466</v>
      </c>
      <c r="BL55" s="115">
        <f t="shared" si="40"/>
        <v>3.6867389979550564E-3</v>
      </c>
      <c r="BM55" s="157">
        <f t="shared" si="41"/>
        <v>3.6867389979550564</v>
      </c>
      <c r="BN55" s="117">
        <f t="shared" si="42"/>
        <v>1.7850663561020617</v>
      </c>
      <c r="BO55" s="161">
        <f t="shared" si="43"/>
        <v>17.29480022501658</v>
      </c>
      <c r="BP55" s="161">
        <f t="shared" si="44"/>
        <v>10.25519713939217</v>
      </c>
    </row>
    <row r="56" spans="1:68" ht="15.75">
      <c r="A56" s="67">
        <v>102</v>
      </c>
      <c r="B56" s="134">
        <v>1</v>
      </c>
      <c r="C56" s="66" t="s">
        <v>421</v>
      </c>
      <c r="D56" s="66" t="s">
        <v>422</v>
      </c>
      <c r="E56" s="66" t="s">
        <v>437</v>
      </c>
      <c r="F56" s="66" t="s">
        <v>411</v>
      </c>
      <c r="G56" s="66"/>
      <c r="H56" s="66" t="s">
        <v>412</v>
      </c>
      <c r="I56" s="66">
        <v>100</v>
      </c>
      <c r="J56" s="66">
        <v>20</v>
      </c>
      <c r="K56" s="66">
        <v>30</v>
      </c>
      <c r="L56" s="66" t="s">
        <v>443</v>
      </c>
      <c r="M56" s="66">
        <v>1</v>
      </c>
      <c r="N56"/>
      <c r="O56"/>
      <c r="P56"/>
      <c r="Q56" s="66">
        <v>20</v>
      </c>
      <c r="R56">
        <v>8.5807174887892366</v>
      </c>
      <c r="S56" s="55">
        <v>4.3192825112107629</v>
      </c>
      <c r="T56" s="82">
        <v>165</v>
      </c>
      <c r="U56" s="82" t="s">
        <v>245</v>
      </c>
      <c r="V56" s="83">
        <v>1.286574375</v>
      </c>
      <c r="W56" s="83">
        <v>3.731511985599989</v>
      </c>
      <c r="X56" s="83">
        <v>0.8109849375</v>
      </c>
      <c r="Y56" s="83">
        <v>-25.217476802802114</v>
      </c>
      <c r="Z56" s="69" t="s">
        <v>54</v>
      </c>
      <c r="AA56" s="73">
        <v>5.5661983611111108</v>
      </c>
      <c r="AB56" s="73">
        <v>3.0248816727959098</v>
      </c>
      <c r="AC56" s="73">
        <v>3.9982883888888887</v>
      </c>
      <c r="AD56" s="73">
        <v>-25.508901929003891</v>
      </c>
      <c r="AE56" s="73">
        <v>2.2461111111111109</v>
      </c>
      <c r="AF56" s="73">
        <v>2.2461111111111109</v>
      </c>
      <c r="AG56" s="32">
        <f t="shared" si="13"/>
        <v>1.1379460310984945E-2</v>
      </c>
      <c r="AH56" s="32">
        <f t="shared" si="14"/>
        <v>0.25846953038557846</v>
      </c>
      <c r="AI56" s="33">
        <f t="shared" si="15"/>
        <v>1.4640522037442762E-2</v>
      </c>
      <c r="AJ56" s="34">
        <f t="shared" si="16"/>
        <v>0.2096148959454027</v>
      </c>
      <c r="AK56" s="16">
        <f t="shared" si="47"/>
        <v>1.3831282834850553E-3</v>
      </c>
      <c r="AL56" s="16">
        <f t="shared" si="48"/>
        <v>1.9802865668340879E-2</v>
      </c>
      <c r="AM56" s="27">
        <f t="shared" si="17"/>
        <v>1.3831282834850553</v>
      </c>
      <c r="AN56" s="27">
        <f t="shared" si="18"/>
        <v>19.802865668340878</v>
      </c>
      <c r="AO56" s="29" t="e">
        <f t="shared" si="19"/>
        <v>#VALUE!</v>
      </c>
      <c r="AP56" s="29" t="e">
        <f t="shared" si="20"/>
        <v>#VALUE!</v>
      </c>
      <c r="AQ56" s="27">
        <f t="shared" si="21"/>
        <v>14.317446837573</v>
      </c>
      <c r="AR56" s="14">
        <f t="shared" si="22"/>
        <v>2.6866303128040792</v>
      </c>
      <c r="AS56" s="25">
        <v>0.36849740461643371</v>
      </c>
      <c r="AT56" s="22">
        <f t="shared" si="23"/>
        <v>0.36723402619995865</v>
      </c>
      <c r="AU56" s="22">
        <f t="shared" si="24"/>
        <v>-1.2633784164750583E-3</v>
      </c>
      <c r="AV56" s="115">
        <f t="shared" si="25"/>
        <v>2.6460583992475383E-4</v>
      </c>
      <c r="AW56" s="163">
        <f t="shared" si="26"/>
        <v>-1.7474144205712146E-5</v>
      </c>
      <c r="AX56" s="116">
        <f t="shared" si="27"/>
        <v>-12.633784164750583</v>
      </c>
      <c r="AY56" s="115">
        <f t="shared" si="28"/>
        <v>2.2092047941047344E-4</v>
      </c>
      <c r="AZ56" s="157">
        <f t="shared" si="29"/>
        <v>0.22092047941047344</v>
      </c>
      <c r="BA56" s="117">
        <f t="shared" si="30"/>
        <v>0.26460583992475384</v>
      </c>
      <c r="BB56" s="118">
        <f t="shared" si="31"/>
        <v>24.244941941008971</v>
      </c>
      <c r="BC56" s="118">
        <f t="shared" si="32"/>
        <v>242.43189450319588</v>
      </c>
      <c r="BD56" s="117">
        <f t="shared" si="33"/>
        <v>1.3831282834850553</v>
      </c>
      <c r="BE56" s="14">
        <f t="shared" si="34"/>
        <v>-25.738574873798225</v>
      </c>
      <c r="BF56" s="25">
        <v>1.0808848989999</v>
      </c>
      <c r="BG56" s="22">
        <f t="shared" si="35"/>
        <v>1.0829219765853735</v>
      </c>
      <c r="BH56" s="38">
        <f t="shared" si="36"/>
        <v>2.0370775854734458E-3</v>
      </c>
      <c r="BI56" s="115">
        <f t="shared" si="37"/>
        <v>2.7249920735289185E-3</v>
      </c>
      <c r="BJ56" s="163">
        <f t="shared" si="38"/>
        <v>4.0339973781118832E-4</v>
      </c>
      <c r="BK56" s="116">
        <f t="shared" si="39"/>
        <v>20.370775854734458</v>
      </c>
      <c r="BL56" s="115">
        <f t="shared" si="40"/>
        <v>4.0741154272480049E-3</v>
      </c>
      <c r="BM56" s="157">
        <f t="shared" si="41"/>
        <v>4.0741154272480049</v>
      </c>
      <c r="BN56" s="117">
        <f t="shared" si="42"/>
        <v>2.7249920735289184</v>
      </c>
      <c r="BO56" s="161">
        <f t="shared" si="43"/>
        <v>19.802865668340878</v>
      </c>
      <c r="BP56" s="161">
        <f t="shared" si="44"/>
        <v>9.9992771726599106</v>
      </c>
    </row>
    <row r="57" spans="1:68" ht="15.75">
      <c r="A57" s="67">
        <v>103</v>
      </c>
      <c r="B57" s="134">
        <v>1</v>
      </c>
      <c r="C57" s="66" t="s">
        <v>423</v>
      </c>
      <c r="D57" s="66" t="s">
        <v>424</v>
      </c>
      <c r="E57" s="66" t="s">
        <v>437</v>
      </c>
      <c r="F57" s="66" t="s">
        <v>411</v>
      </c>
      <c r="G57" s="66"/>
      <c r="H57" s="66" t="s">
        <v>412</v>
      </c>
      <c r="I57" s="66">
        <v>100</v>
      </c>
      <c r="J57" s="66">
        <v>20</v>
      </c>
      <c r="K57" s="66">
        <v>30</v>
      </c>
      <c r="L57" s="66" t="s">
        <v>444</v>
      </c>
      <c r="M57" s="66">
        <v>1</v>
      </c>
      <c r="N57"/>
      <c r="O57"/>
      <c r="P57"/>
      <c r="Q57" s="66">
        <v>20</v>
      </c>
      <c r="R57">
        <v>5.7277872340425535</v>
      </c>
      <c r="S57" s="55">
        <v>3.6522127659574473</v>
      </c>
      <c r="T57" s="80">
        <v>166</v>
      </c>
      <c r="U57" s="80" t="s">
        <v>246</v>
      </c>
      <c r="V57" s="81">
        <v>0.74767887499999997</v>
      </c>
      <c r="W57" s="81">
        <v>7.0795261138088765</v>
      </c>
      <c r="X57" s="81">
        <v>0.43949143750000003</v>
      </c>
      <c r="Y57" s="81">
        <v>-23.99777318711498</v>
      </c>
      <c r="Z57" s="69" t="s">
        <v>54</v>
      </c>
      <c r="AA57" s="73">
        <v>5.5661983611111108</v>
      </c>
      <c r="AB57" s="73">
        <v>3.0248816727959098</v>
      </c>
      <c r="AC57" s="73">
        <v>3.9982883888888887</v>
      </c>
      <c r="AD57" s="73">
        <v>-25.508901929003891</v>
      </c>
      <c r="AE57" s="73">
        <v>2.2461111111111109</v>
      </c>
      <c r="AF57" s="73">
        <v>2.2461111111111109</v>
      </c>
      <c r="AG57" s="32">
        <f t="shared" si="13"/>
        <v>1.1379460310984945E-2</v>
      </c>
      <c r="AH57" s="32">
        <f t="shared" si="14"/>
        <v>0.25846953038557846</v>
      </c>
      <c r="AI57" s="33">
        <f t="shared" si="15"/>
        <v>8.5081820834243729E-3</v>
      </c>
      <c r="AJ57" s="34">
        <f t="shared" si="16"/>
        <v>0.11359514545910782</v>
      </c>
      <c r="AK57" s="16">
        <f t="shared" si="47"/>
        <v>1.1711173656068882E-3</v>
      </c>
      <c r="AL57" s="16">
        <f t="shared" si="48"/>
        <v>1.5635919188304252E-2</v>
      </c>
      <c r="AM57" s="27">
        <f t="shared" si="17"/>
        <v>1.1711173656068883</v>
      </c>
      <c r="AN57" s="27">
        <f t="shared" si="18"/>
        <v>15.635919188304252</v>
      </c>
      <c r="AO57" s="29" t="e">
        <f t="shared" si="19"/>
        <v>#VALUE!</v>
      </c>
      <c r="AP57" s="29" t="e">
        <f t="shared" si="20"/>
        <v>#VALUE!</v>
      </c>
      <c r="AQ57" s="27">
        <f t="shared" si="21"/>
        <v>13.351282841068212</v>
      </c>
      <c r="AR57" s="14">
        <f t="shared" si="22"/>
        <v>6.0346444410129667</v>
      </c>
      <c r="AS57" s="25">
        <v>0.36849740461643371</v>
      </c>
      <c r="AT57" s="22">
        <f t="shared" si="23"/>
        <v>0.36845571849208403</v>
      </c>
      <c r="AU57" s="22">
        <f t="shared" si="24"/>
        <v>-4.1686124349682441E-5</v>
      </c>
      <c r="AV57" s="115">
        <f t="shared" si="25"/>
        <v>-9.3014631140621686E-4</v>
      </c>
      <c r="AW57" s="163">
        <f t="shared" si="26"/>
        <v>-4.8819344130761258E-7</v>
      </c>
      <c r="AX57" s="116">
        <f t="shared" si="27"/>
        <v>-0.41686124349682441</v>
      </c>
      <c r="AY57" s="115">
        <f t="shared" si="28"/>
        <v>-9.3136679500948586E-4</v>
      </c>
      <c r="AZ57" s="157">
        <f t="shared" si="29"/>
        <v>-0.93136679500948583</v>
      </c>
      <c r="BA57" s="117">
        <f t="shared" si="30"/>
        <v>-0.93014631140621684</v>
      </c>
      <c r="BB57" s="118">
        <f t="shared" si="31"/>
        <v>55.21576240331958</v>
      </c>
      <c r="BC57" s="118">
        <f t="shared" si="32"/>
        <v>496.47844889046002</v>
      </c>
      <c r="BD57" s="117">
        <f t="shared" si="33"/>
        <v>1.1711173656068883</v>
      </c>
      <c r="BE57" s="14">
        <f t="shared" si="34"/>
        <v>-24.518871258111091</v>
      </c>
      <c r="BF57" s="25">
        <v>1.0808848989999</v>
      </c>
      <c r="BG57" s="22">
        <f t="shared" si="35"/>
        <v>1.0842630154434172</v>
      </c>
      <c r="BH57" s="38">
        <f t="shared" si="36"/>
        <v>3.378116443517154E-3</v>
      </c>
      <c r="BI57" s="115">
        <f t="shared" si="37"/>
        <v>2.9383450257587109E-3</v>
      </c>
      <c r="BJ57" s="163">
        <f t="shared" si="38"/>
        <v>5.2819955719515983E-4</v>
      </c>
      <c r="BK57" s="116">
        <f t="shared" si="39"/>
        <v>33.78116443517154</v>
      </c>
      <c r="BL57" s="115">
        <f t="shared" si="40"/>
        <v>4.6261370469664496E-3</v>
      </c>
      <c r="BM57" s="157">
        <f t="shared" si="41"/>
        <v>4.6261370469664493</v>
      </c>
      <c r="BN57" s="117">
        <f t="shared" si="42"/>
        <v>2.9383450257587107</v>
      </c>
      <c r="BO57" s="161">
        <f t="shared" si="43"/>
        <v>15.635919188304252</v>
      </c>
      <c r="BP57" s="161">
        <f t="shared" si="44"/>
        <v>8.9916072382369503</v>
      </c>
    </row>
    <row r="58" spans="1:68" ht="15.75">
      <c r="A58" s="67">
        <v>104</v>
      </c>
      <c r="B58" s="134">
        <v>1</v>
      </c>
      <c r="C58" s="66" t="s">
        <v>425</v>
      </c>
      <c r="D58" s="66" t="s">
        <v>426</v>
      </c>
      <c r="E58" s="66" t="s">
        <v>437</v>
      </c>
      <c r="F58" s="66" t="s">
        <v>411</v>
      </c>
      <c r="G58" s="66"/>
      <c r="H58" s="66" t="s">
        <v>412</v>
      </c>
      <c r="I58" s="66">
        <v>100</v>
      </c>
      <c r="J58" s="66">
        <v>20</v>
      </c>
      <c r="K58" s="66">
        <v>30</v>
      </c>
      <c r="L58" s="66" t="s">
        <v>445</v>
      </c>
      <c r="M58" s="66">
        <v>1</v>
      </c>
      <c r="N58"/>
      <c r="O58"/>
      <c r="P58"/>
      <c r="Q58" s="66">
        <v>20</v>
      </c>
      <c r="R58">
        <v>7.0776175548589366</v>
      </c>
      <c r="S58" s="55">
        <v>3.8823824451410651</v>
      </c>
      <c r="T58" s="80">
        <v>168</v>
      </c>
      <c r="U58" s="80" t="s">
        <v>248</v>
      </c>
      <c r="V58" s="81">
        <v>1.431502375</v>
      </c>
      <c r="W58" s="81">
        <v>6.3069616266216659</v>
      </c>
      <c r="X58" s="81">
        <v>0.89882568750000003</v>
      </c>
      <c r="Y58" s="81">
        <v>-24.651699527147521</v>
      </c>
      <c r="Z58" s="69" t="s">
        <v>54</v>
      </c>
      <c r="AA58" s="73">
        <v>5.5661983611111108</v>
      </c>
      <c r="AB58" s="73">
        <v>3.0248816727959098</v>
      </c>
      <c r="AC58" s="73">
        <v>3.9982883888888887</v>
      </c>
      <c r="AD58" s="73">
        <v>-25.508901929003891</v>
      </c>
      <c r="AE58" s="73">
        <v>2.2461111111111109</v>
      </c>
      <c r="AF58" s="73">
        <v>2.2461111111111109</v>
      </c>
      <c r="AG58" s="32">
        <f t="shared" si="13"/>
        <v>1.1379460310984945E-2</v>
      </c>
      <c r="AH58" s="32">
        <f t="shared" si="14"/>
        <v>0.25846953038557846</v>
      </c>
      <c r="AI58" s="33">
        <f t="shared" si="15"/>
        <v>1.6289724461393189E-2</v>
      </c>
      <c r="AJ58" s="34">
        <f t="shared" si="16"/>
        <v>0.2323190533466197</v>
      </c>
      <c r="AK58" s="16">
        <f t="shared" si="47"/>
        <v>1.8322428722071836E-3</v>
      </c>
      <c r="AL58" s="16">
        <f t="shared" si="48"/>
        <v>2.6130885797429823E-2</v>
      </c>
      <c r="AM58" s="27">
        <f t="shared" si="17"/>
        <v>1.8322428722071837</v>
      </c>
      <c r="AN58" s="27">
        <f t="shared" si="18"/>
        <v>26.130885797429823</v>
      </c>
      <c r="AO58" s="29" t="e">
        <f t="shared" si="19"/>
        <v>#VALUE!</v>
      </c>
      <c r="AP58" s="29" t="e">
        <f t="shared" si="20"/>
        <v>#VALUE!</v>
      </c>
      <c r="AQ58" s="27">
        <f t="shared" si="21"/>
        <v>14.261693247004771</v>
      </c>
      <c r="AR58" s="14">
        <f t="shared" si="22"/>
        <v>5.2620799538257561</v>
      </c>
      <c r="AS58" s="25">
        <v>0.36849740461643371</v>
      </c>
      <c r="AT58" s="22">
        <f t="shared" si="23"/>
        <v>0.36817381192290816</v>
      </c>
      <c r="AU58" s="22">
        <f t="shared" si="24"/>
        <v>-3.2359269352555398E-4</v>
      </c>
      <c r="AV58" s="115">
        <f t="shared" si="25"/>
        <v>-1.4239653177062703E-4</v>
      </c>
      <c r="AW58" s="163">
        <f t="shared" si="26"/>
        <v>-5.9290040621051998E-6</v>
      </c>
      <c r="AX58" s="116">
        <f t="shared" si="27"/>
        <v>-3.2359269352555398</v>
      </c>
      <c r="AY58" s="115">
        <f t="shared" si="28"/>
        <v>-1.5721904192589003E-4</v>
      </c>
      <c r="AZ58" s="157">
        <f t="shared" si="29"/>
        <v>-0.15721904192589004</v>
      </c>
      <c r="BA58" s="117">
        <f t="shared" si="30"/>
        <v>-0.14239653177062703</v>
      </c>
      <c r="BB58" s="118">
        <f t="shared" si="31"/>
        <v>27.342445183529986</v>
      </c>
      <c r="BC58" s="118">
        <f t="shared" si="32"/>
        <v>294.97997552166288</v>
      </c>
      <c r="BD58" s="117">
        <f t="shared" si="33"/>
        <v>1.8322428722071837</v>
      </c>
      <c r="BE58" s="14">
        <f t="shared" si="34"/>
        <v>-25.172797598143632</v>
      </c>
      <c r="BF58" s="25">
        <v>1.0808848989999</v>
      </c>
      <c r="BG58" s="22">
        <f t="shared" si="35"/>
        <v>1.0835440415007795</v>
      </c>
      <c r="BH58" s="38">
        <f t="shared" si="36"/>
        <v>2.6591425008795078E-3</v>
      </c>
      <c r="BI58" s="115">
        <f t="shared" si="37"/>
        <v>3.16744624965082E-3</v>
      </c>
      <c r="BJ58" s="163">
        <f t="shared" si="38"/>
        <v>6.9485749009574351E-4</v>
      </c>
      <c r="BK58" s="116">
        <f t="shared" si="39"/>
        <v>26.591425008795078</v>
      </c>
      <c r="BL58" s="115">
        <f t="shared" si="40"/>
        <v>5.3005207560965313E-3</v>
      </c>
      <c r="BM58" s="157">
        <f t="shared" si="41"/>
        <v>5.3005207560965308</v>
      </c>
      <c r="BN58" s="117">
        <f t="shared" si="42"/>
        <v>3.16744624965082</v>
      </c>
      <c r="BO58" s="161">
        <f t="shared" si="43"/>
        <v>26.130885797429823</v>
      </c>
      <c r="BP58" s="161">
        <f t="shared" si="44"/>
        <v>10.788353914277836</v>
      </c>
    </row>
    <row r="59" spans="1:68" ht="15.75">
      <c r="A59" s="67">
        <v>105</v>
      </c>
      <c r="B59" s="134">
        <v>2</v>
      </c>
      <c r="C59" s="66" t="s">
        <v>408</v>
      </c>
      <c r="D59" s="66" t="s">
        <v>426</v>
      </c>
      <c r="E59" s="66" t="s">
        <v>437</v>
      </c>
      <c r="F59" s="66" t="s">
        <v>411</v>
      </c>
      <c r="G59" s="66"/>
      <c r="H59" s="66" t="s">
        <v>427</v>
      </c>
      <c r="I59" s="66">
        <v>100</v>
      </c>
      <c r="J59" s="66">
        <v>20</v>
      </c>
      <c r="K59" s="66">
        <v>30</v>
      </c>
      <c r="L59" s="66" t="s">
        <v>446</v>
      </c>
      <c r="M59" s="66">
        <v>1</v>
      </c>
      <c r="N59"/>
      <c r="O59"/>
      <c r="P59"/>
      <c r="Q59" s="66">
        <v>20</v>
      </c>
      <c r="R59">
        <v>7.9346511627906988</v>
      </c>
      <c r="S59" s="55">
        <v>6.3453488372093005</v>
      </c>
      <c r="T59" s="82">
        <v>169</v>
      </c>
      <c r="U59" s="82" t="s">
        <v>249</v>
      </c>
      <c r="V59" s="83">
        <v>2.3557837500000001</v>
      </c>
      <c r="W59" s="83">
        <v>3510.206628869515</v>
      </c>
      <c r="X59" s="83">
        <v>1.248930125</v>
      </c>
      <c r="Y59" s="83">
        <v>20.280177788139294</v>
      </c>
      <c r="Z59" s="69" t="s">
        <v>54</v>
      </c>
      <c r="AA59" s="73">
        <v>5.5661983611111108</v>
      </c>
      <c r="AB59" s="73">
        <v>3.0248816727959098</v>
      </c>
      <c r="AC59" s="73">
        <v>3.9982883888888887</v>
      </c>
      <c r="AD59" s="73">
        <v>-25.508901929003891</v>
      </c>
      <c r="AE59" s="73">
        <v>2.2461111111111109</v>
      </c>
      <c r="AF59" s="73">
        <v>2.2461111111111109</v>
      </c>
      <c r="AG59" s="32">
        <f t="shared" si="13"/>
        <v>1.1379460310984945E-2</v>
      </c>
      <c r="AH59" s="32">
        <f t="shared" si="14"/>
        <v>0.25846953038557846</v>
      </c>
      <c r="AI59" s="33">
        <f t="shared" si="15"/>
        <v>2.6807547684388283E-2</v>
      </c>
      <c r="AJ59" s="34">
        <f t="shared" si="16"/>
        <v>0.32281038289315178</v>
      </c>
      <c r="AK59" s="16">
        <f t="shared" si="47"/>
        <v>2.9669617509558957E-3</v>
      </c>
      <c r="AL59" s="16">
        <f t="shared" si="48"/>
        <v>3.5727477579501829E-2</v>
      </c>
      <c r="AM59" s="27">
        <f t="shared" si="17"/>
        <v>2.9669617509558956</v>
      </c>
      <c r="AN59" s="27">
        <f t="shared" si="18"/>
        <v>35.72747757950183</v>
      </c>
      <c r="AO59" s="29" t="e">
        <f t="shared" si="19"/>
        <v>#VALUE!</v>
      </c>
      <c r="AP59" s="29" t="e">
        <f t="shared" si="20"/>
        <v>#VALUE!</v>
      </c>
      <c r="AQ59" s="27">
        <f t="shared" si="21"/>
        <v>12.041772216305505</v>
      </c>
      <c r="AR59" s="14">
        <f t="shared" si="22"/>
        <v>3509.1617471967193</v>
      </c>
      <c r="AS59" s="25">
        <v>0.36849740461643371</v>
      </c>
      <c r="AT59" s="22">
        <f t="shared" si="23"/>
        <v>1.6305405423238994</v>
      </c>
      <c r="AU59" s="22">
        <f t="shared" si="24"/>
        <v>1.2620431377074657</v>
      </c>
      <c r="AV59" s="115">
        <f t="shared" si="25"/>
        <v>1.6483370523709157E-2</v>
      </c>
      <c r="AW59" s="163">
        <f t="shared" si="26"/>
        <v>3.7444337176344156E-2</v>
      </c>
      <c r="AX59" s="116">
        <f t="shared" si="27"/>
        <v>12620.431377074658</v>
      </c>
      <c r="AY59" s="115">
        <f t="shared" si="28"/>
        <v>0.11009421346456953</v>
      </c>
      <c r="AZ59" s="157">
        <f t="shared" si="29"/>
        <v>110.09421346456953</v>
      </c>
      <c r="BA59" s="117">
        <f t="shared" si="30"/>
        <v>16.483370523709155</v>
      </c>
      <c r="BB59" s="118">
        <f t="shared" si="31"/>
        <v>-3.1441405399015157</v>
      </c>
      <c r="BC59" s="118">
        <f t="shared" si="32"/>
        <v>-30.721295269417599</v>
      </c>
      <c r="BD59" s="117">
        <f t="shared" si="33"/>
        <v>2.9669617509558956</v>
      </c>
      <c r="BE59" s="14">
        <f t="shared" si="34"/>
        <v>19.759079717143184</v>
      </c>
      <c r="BF59" s="25">
        <v>1.0808848989999</v>
      </c>
      <c r="BG59" s="22">
        <f t="shared" si="35"/>
        <v>1.1329210978817537</v>
      </c>
      <c r="BH59" s="38">
        <f t="shared" si="36"/>
        <v>5.2036198881853624E-2</v>
      </c>
      <c r="BI59" s="115">
        <f t="shared" si="37"/>
        <v>0.1605329046123064</v>
      </c>
      <c r="BJ59" s="163">
        <f t="shared" si="38"/>
        <v>1.8591221288739235E-2</v>
      </c>
      <c r="BK59" s="116">
        <f t="shared" si="39"/>
        <v>520.36198881853625</v>
      </c>
      <c r="BL59" s="115">
        <f t="shared" si="40"/>
        <v>0.22707757091069278</v>
      </c>
      <c r="BM59" s="157">
        <f t="shared" si="41"/>
        <v>227.07757091069277</v>
      </c>
      <c r="BN59" s="117">
        <f t="shared" si="42"/>
        <v>160.5329046123064</v>
      </c>
      <c r="BO59" s="161">
        <f t="shared" si="43"/>
        <v>35.72747757950183</v>
      </c>
      <c r="BP59" s="161">
        <f t="shared" si="44"/>
        <v>9.7709675758895589</v>
      </c>
    </row>
    <row r="60" spans="1:68" ht="15.75">
      <c r="A60" s="67">
        <v>106</v>
      </c>
      <c r="B60" s="134">
        <v>2</v>
      </c>
      <c r="C60" s="66" t="s">
        <v>413</v>
      </c>
      <c r="D60" s="66" t="s">
        <v>418</v>
      </c>
      <c r="E60" s="66" t="s">
        <v>437</v>
      </c>
      <c r="F60" s="66" t="s">
        <v>411</v>
      </c>
      <c r="G60" s="66"/>
      <c r="H60" s="66" t="s">
        <v>427</v>
      </c>
      <c r="I60" s="66">
        <v>100</v>
      </c>
      <c r="J60" s="66">
        <v>20</v>
      </c>
      <c r="K60" s="66">
        <v>30</v>
      </c>
      <c r="L60" s="66" t="s">
        <v>447</v>
      </c>
      <c r="M60" s="66">
        <v>1</v>
      </c>
      <c r="N60"/>
      <c r="O60"/>
      <c r="P60"/>
      <c r="Q60" s="66">
        <v>20</v>
      </c>
      <c r="R60">
        <v>1.8306</v>
      </c>
      <c r="S60" s="55">
        <v>0.59940000000000015</v>
      </c>
      <c r="T60" s="80">
        <v>170</v>
      </c>
      <c r="U60" s="80" t="s">
        <v>250</v>
      </c>
      <c r="V60" s="81">
        <v>1.0420119999999999</v>
      </c>
      <c r="W60" s="81">
        <v>1437.845490324408</v>
      </c>
      <c r="X60" s="81">
        <v>0.54496693750000003</v>
      </c>
      <c r="Y60" s="81">
        <v>-17.311182180600088</v>
      </c>
      <c r="Z60" s="69" t="s">
        <v>54</v>
      </c>
      <c r="AA60" s="73">
        <v>5.5661983611111108</v>
      </c>
      <c r="AB60" s="73">
        <v>3.0248816727959098</v>
      </c>
      <c r="AC60" s="73">
        <v>3.9982883888888887</v>
      </c>
      <c r="AD60" s="73">
        <v>-25.508901929003891</v>
      </c>
      <c r="AE60" s="73">
        <v>2.2461111111111109</v>
      </c>
      <c r="AF60" s="73">
        <v>2.2461111111111109</v>
      </c>
      <c r="AG60" s="32">
        <f t="shared" si="13"/>
        <v>1.1379460310984945E-2</v>
      </c>
      <c r="AH60" s="32">
        <f t="shared" si="14"/>
        <v>0.25846953038557846</v>
      </c>
      <c r="AI60" s="33">
        <f t="shared" si="15"/>
        <v>1.1857534197570045E-2</v>
      </c>
      <c r="AJ60" s="34">
        <f t="shared" si="16"/>
        <v>0.14085734841129188</v>
      </c>
      <c r="AK60" s="16">
        <f t="shared" si="47"/>
        <v>4.447687278295356E-3</v>
      </c>
      <c r="AL60" s="16">
        <f t="shared" si="48"/>
        <v>5.2834714717643866E-2</v>
      </c>
      <c r="AM60" s="27">
        <f t="shared" si="17"/>
        <v>4.4476872782953558</v>
      </c>
      <c r="AN60" s="27">
        <f t="shared" si="18"/>
        <v>52.834714717643863</v>
      </c>
      <c r="AO60" s="29" t="e">
        <f t="shared" si="19"/>
        <v>#VALUE!</v>
      </c>
      <c r="AP60" s="29" t="e">
        <f t="shared" si="20"/>
        <v>#VALUE!</v>
      </c>
      <c r="AQ60" s="27">
        <f t="shared" si="21"/>
        <v>11.879143341636549</v>
      </c>
      <c r="AR60" s="14">
        <f t="shared" si="22"/>
        <v>1436.800608651612</v>
      </c>
      <c r="AS60" s="25">
        <v>0.36849740461643371</v>
      </c>
      <c r="AT60" s="22">
        <f t="shared" si="23"/>
        <v>0.88781514066570211</v>
      </c>
      <c r="AU60" s="22">
        <f t="shared" si="24"/>
        <v>0.51931773604926845</v>
      </c>
      <c r="AV60" s="115">
        <f t="shared" si="25"/>
        <v>-5.025075578981622E-2</v>
      </c>
      <c r="AW60" s="163">
        <f t="shared" si="26"/>
        <v>2.309762888019477E-2</v>
      </c>
      <c r="AX60" s="116">
        <f t="shared" si="27"/>
        <v>5193.1773604926848</v>
      </c>
      <c r="AY60" s="115">
        <f t="shared" si="28"/>
        <v>7.4933164106706944E-3</v>
      </c>
      <c r="AZ60" s="157">
        <f t="shared" si="29"/>
        <v>7.493316410670694</v>
      </c>
      <c r="BA60" s="117">
        <f t="shared" si="30"/>
        <v>-50.250755789816218</v>
      </c>
      <c r="BB60" s="118">
        <f t="shared" si="31"/>
        <v>-7.8878198405588913</v>
      </c>
      <c r="BC60" s="118">
        <f t="shared" si="32"/>
        <v>-89.106891999796488</v>
      </c>
      <c r="BD60" s="117">
        <f t="shared" si="33"/>
        <v>4.4476872782953558</v>
      </c>
      <c r="BE60" s="14">
        <f t="shared" si="34"/>
        <v>-17.832280251596199</v>
      </c>
      <c r="BF60" s="25">
        <v>1.0808848989999</v>
      </c>
      <c r="BG60" s="22">
        <f t="shared" si="35"/>
        <v>1.0916141377120518</v>
      </c>
      <c r="BH60" s="38">
        <f t="shared" si="36"/>
        <v>1.0729238712151812E-2</v>
      </c>
      <c r="BI60" s="115">
        <f t="shared" si="37"/>
        <v>-1.4578901924185356E-3</v>
      </c>
      <c r="BJ60" s="163">
        <f t="shared" si="38"/>
        <v>5.6687626649404169E-3</v>
      </c>
      <c r="BK60" s="116">
        <f t="shared" si="39"/>
        <v>107.29238712151812</v>
      </c>
      <c r="BL60" s="115">
        <f t="shared" si="40"/>
        <v>1.2531780195880188E-2</v>
      </c>
      <c r="BM60" s="157">
        <f t="shared" si="41"/>
        <v>12.531780195880188</v>
      </c>
      <c r="BN60" s="117">
        <f t="shared" si="42"/>
        <v>-1.4578901924185357</v>
      </c>
      <c r="BO60" s="161">
        <f t="shared" si="43"/>
        <v>52.834714717643863</v>
      </c>
      <c r="BP60" s="161">
        <f t="shared" si="44"/>
        <v>11.29677069215146</v>
      </c>
    </row>
    <row r="61" spans="1:68" ht="15.75">
      <c r="A61" s="67">
        <v>107</v>
      </c>
      <c r="B61" s="134">
        <v>2</v>
      </c>
      <c r="C61" s="66" t="s">
        <v>415</v>
      </c>
      <c r="D61" s="66" t="s">
        <v>416</v>
      </c>
      <c r="E61" s="66" t="s">
        <v>437</v>
      </c>
      <c r="F61" s="66" t="s">
        <v>411</v>
      </c>
      <c r="G61" s="66"/>
      <c r="H61" s="66" t="s">
        <v>427</v>
      </c>
      <c r="I61" s="66">
        <v>100</v>
      </c>
      <c r="J61" s="66">
        <v>20</v>
      </c>
      <c r="K61" s="66">
        <v>30</v>
      </c>
      <c r="L61" s="66" t="s">
        <v>448</v>
      </c>
      <c r="M61" s="66">
        <v>1</v>
      </c>
      <c r="N61"/>
      <c r="O61"/>
      <c r="P61"/>
      <c r="Q61" s="66">
        <v>20</v>
      </c>
      <c r="R61">
        <v>7.5767784137367125</v>
      </c>
      <c r="S61" s="55">
        <v>3.8632215862632857</v>
      </c>
      <c r="T61" s="82">
        <v>171</v>
      </c>
      <c r="U61" s="82" t="s">
        <v>251</v>
      </c>
      <c r="V61" s="83">
        <v>1.1229715</v>
      </c>
      <c r="W61" s="83">
        <v>2014.7532935884929</v>
      </c>
      <c r="X61" s="83">
        <v>0.62310906249999998</v>
      </c>
      <c r="Y61" s="83">
        <v>-19.806612009833096</v>
      </c>
      <c r="Z61" s="69" t="s">
        <v>54</v>
      </c>
      <c r="AA61" s="73">
        <v>5.5661983611111108</v>
      </c>
      <c r="AB61" s="73">
        <v>3.0248816727959098</v>
      </c>
      <c r="AC61" s="73">
        <v>3.9982883888888887</v>
      </c>
      <c r="AD61" s="73">
        <v>-25.508901929003891</v>
      </c>
      <c r="AE61" s="73">
        <v>2.2461111111111109</v>
      </c>
      <c r="AF61" s="73">
        <v>2.2461111111111109</v>
      </c>
      <c r="AG61" s="32">
        <f t="shared" si="13"/>
        <v>1.1379460310984945E-2</v>
      </c>
      <c r="AH61" s="32">
        <f t="shared" si="14"/>
        <v>0.25846953038557846</v>
      </c>
      <c r="AI61" s="33">
        <f t="shared" si="15"/>
        <v>1.2778809614617231E-2</v>
      </c>
      <c r="AJ61" s="34">
        <f t="shared" si="16"/>
        <v>0.16105470676337305</v>
      </c>
      <c r="AK61" s="16">
        <f t="shared" si="47"/>
        <v>1.3415709104431489E-3</v>
      </c>
      <c r="AL61" s="16">
        <f t="shared" si="48"/>
        <v>1.6908171895490334E-2</v>
      </c>
      <c r="AM61" s="27">
        <f t="shared" si="17"/>
        <v>1.3415709104431488</v>
      </c>
      <c r="AN61" s="27">
        <f t="shared" si="18"/>
        <v>16.908171895490334</v>
      </c>
      <c r="AO61" s="29" t="e">
        <f t="shared" si="19"/>
        <v>#VALUE!</v>
      </c>
      <c r="AP61" s="29" t="e">
        <f t="shared" si="20"/>
        <v>#VALUE!</v>
      </c>
      <c r="AQ61" s="27">
        <f t="shared" si="21"/>
        <v>12.60326365447594</v>
      </c>
      <c r="AR61" s="14">
        <f t="shared" si="22"/>
        <v>2013.7084119156968</v>
      </c>
      <c r="AS61" s="25">
        <v>0.36849740461643371</v>
      </c>
      <c r="AT61" s="22">
        <f t="shared" si="23"/>
        <v>1.0957006112007912</v>
      </c>
      <c r="AU61" s="22">
        <f t="shared" si="24"/>
        <v>0.72720320658435744</v>
      </c>
      <c r="AV61" s="115">
        <f t="shared" si="25"/>
        <v>3.7775570427089955E-2</v>
      </c>
      <c r="AW61" s="163">
        <f t="shared" si="26"/>
        <v>9.7559466793455361E-3</v>
      </c>
      <c r="AX61" s="116">
        <f t="shared" si="27"/>
        <v>7272.0320658435749</v>
      </c>
      <c r="AY61" s="115">
        <f t="shared" si="28"/>
        <v>6.2165437125453797E-2</v>
      </c>
      <c r="AZ61" s="157">
        <f t="shared" si="29"/>
        <v>62.165437125453799</v>
      </c>
      <c r="BA61" s="117">
        <f t="shared" si="30"/>
        <v>37.775570427089953</v>
      </c>
      <c r="BB61" s="118">
        <f t="shared" si="31"/>
        <v>3.1505765949202247</v>
      </c>
      <c r="BC61" s="118">
        <f t="shared" si="32"/>
        <v>26.972465263736566</v>
      </c>
      <c r="BD61" s="117">
        <f t="shared" si="33"/>
        <v>1.3415709104431488</v>
      </c>
      <c r="BE61" s="14">
        <f t="shared" si="34"/>
        <v>-20.327710080829206</v>
      </c>
      <c r="BF61" s="25">
        <v>1.0808848989999</v>
      </c>
      <c r="BG61" s="22">
        <f t="shared" si="35"/>
        <v>1.0888708332035997</v>
      </c>
      <c r="BH61" s="38">
        <f t="shared" si="36"/>
        <v>7.9859342036996406E-3</v>
      </c>
      <c r="BI61" s="115">
        <f t="shared" si="37"/>
        <v>8.4192484395813547E-2</v>
      </c>
      <c r="BJ61" s="163">
        <f t="shared" si="38"/>
        <v>1.3502754826222926E-3</v>
      </c>
      <c r="BK61" s="116">
        <f t="shared" si="39"/>
        <v>79.859342036996409</v>
      </c>
      <c r="BL61" s="115">
        <f t="shared" si="40"/>
        <v>9.8092233651845981E-2</v>
      </c>
      <c r="BM61" s="157">
        <f t="shared" si="41"/>
        <v>98.092233651845987</v>
      </c>
      <c r="BN61" s="117">
        <f t="shared" si="42"/>
        <v>84.192484395813551</v>
      </c>
      <c r="BO61" s="161">
        <f t="shared" si="43"/>
        <v>16.908171895490334</v>
      </c>
      <c r="BP61" s="161">
        <f t="shared" si="44"/>
        <v>8.5611203064306185</v>
      </c>
    </row>
    <row r="62" spans="1:68" ht="15.75">
      <c r="A62" s="67">
        <v>108</v>
      </c>
      <c r="B62" s="134">
        <v>2</v>
      </c>
      <c r="C62" s="66" t="s">
        <v>417</v>
      </c>
      <c r="D62" s="66" t="s">
        <v>422</v>
      </c>
      <c r="E62" s="66" t="s">
        <v>437</v>
      </c>
      <c r="F62" s="66" t="s">
        <v>411</v>
      </c>
      <c r="G62" s="66"/>
      <c r="H62" s="66" t="s">
        <v>427</v>
      </c>
      <c r="I62" s="66">
        <v>100</v>
      </c>
      <c r="J62" s="66">
        <v>20</v>
      </c>
      <c r="K62" s="66">
        <v>30</v>
      </c>
      <c r="L62" s="66" t="s">
        <v>449</v>
      </c>
      <c r="M62" s="66">
        <v>1</v>
      </c>
      <c r="N62"/>
      <c r="O62"/>
      <c r="P62"/>
      <c r="Q62" s="66">
        <v>20</v>
      </c>
      <c r="R62">
        <v>5.095063801208866</v>
      </c>
      <c r="S62" s="55">
        <v>2.2349361987911349</v>
      </c>
      <c r="T62" s="80">
        <v>172</v>
      </c>
      <c r="U62" s="80" t="s">
        <v>252</v>
      </c>
      <c r="V62" s="81">
        <v>3.8691585000000002</v>
      </c>
      <c r="W62" s="81">
        <v>740.23676128865327</v>
      </c>
      <c r="X62" s="81">
        <v>1.839968125</v>
      </c>
      <c r="Y62" s="81">
        <v>-12.793048746235691</v>
      </c>
      <c r="Z62" s="69" t="s">
        <v>54</v>
      </c>
      <c r="AA62" s="73">
        <v>5.5661983611111108</v>
      </c>
      <c r="AB62" s="73">
        <v>3.0248816727959098</v>
      </c>
      <c r="AC62" s="73">
        <v>3.9982883888888887</v>
      </c>
      <c r="AD62" s="73">
        <v>-25.508901929003891</v>
      </c>
      <c r="AE62" s="73">
        <v>2.2461111111111109</v>
      </c>
      <c r="AF62" s="73">
        <v>2.2461111111111109</v>
      </c>
      <c r="AG62" s="32">
        <f t="shared" si="13"/>
        <v>1.1379460310984945E-2</v>
      </c>
      <c r="AH62" s="32">
        <f t="shared" si="14"/>
        <v>0.25846953038557846</v>
      </c>
      <c r="AI62" s="33">
        <f t="shared" si="15"/>
        <v>4.4028935587660044E-2</v>
      </c>
      <c r="AJ62" s="34">
        <f t="shared" si="16"/>
        <v>0.47557569719318332</v>
      </c>
      <c r="AK62" s="16">
        <f t="shared" si="47"/>
        <v>6.4047648985280656E-3</v>
      </c>
      <c r="AL62" s="16">
        <f t="shared" si="48"/>
        <v>6.9180653388986282E-2</v>
      </c>
      <c r="AM62" s="27">
        <f t="shared" si="17"/>
        <v>6.4047648985280654</v>
      </c>
      <c r="AN62" s="27">
        <f t="shared" si="18"/>
        <v>69.180653388986286</v>
      </c>
      <c r="AO62" s="29" t="e">
        <f t="shared" si="19"/>
        <v>#VALUE!</v>
      </c>
      <c r="AP62" s="29" t="e">
        <f t="shared" si="20"/>
        <v>#VALUE!</v>
      </c>
      <c r="AQ62" s="27">
        <f t="shared" si="21"/>
        <v>10.801435257191923</v>
      </c>
      <c r="AR62" s="14">
        <f t="shared" si="22"/>
        <v>739.19187961585737</v>
      </c>
      <c r="AS62" s="25">
        <v>0.36849740461643371</v>
      </c>
      <c r="AT62" s="22">
        <f t="shared" si="23"/>
        <v>0.63526551142382914</v>
      </c>
      <c r="AU62" s="22">
        <f t="shared" si="24"/>
        <v>0.26676810680739543</v>
      </c>
      <c r="AV62" s="115">
        <f t="shared" si="25"/>
        <v>1.0755279803260902E-2</v>
      </c>
      <c r="AW62" s="163">
        <f t="shared" si="26"/>
        <v>1.7085870065267923E-2</v>
      </c>
      <c r="AX62" s="116">
        <f t="shared" si="27"/>
        <v>2667.6810680739545</v>
      </c>
      <c r="AY62" s="115">
        <f t="shared" si="28"/>
        <v>5.3469954966430713E-2</v>
      </c>
      <c r="AZ62" s="157">
        <f t="shared" si="29"/>
        <v>53.469954966430713</v>
      </c>
      <c r="BA62" s="117">
        <f t="shared" si="30"/>
        <v>10.755279803260901</v>
      </c>
      <c r="BB62" s="118">
        <f t="shared" si="31"/>
        <v>-5.8019449672768113</v>
      </c>
      <c r="BC62" s="118">
        <f t="shared" si="32"/>
        <v>-51.061784581417243</v>
      </c>
      <c r="BD62" s="117">
        <f t="shared" si="33"/>
        <v>6.4047648985280654</v>
      </c>
      <c r="BE62" s="14">
        <f t="shared" si="34"/>
        <v>-13.314146817231801</v>
      </c>
      <c r="BF62" s="25">
        <v>1.0808848989999</v>
      </c>
      <c r="BG62" s="22">
        <f t="shared" si="35"/>
        <v>1.096580676762658</v>
      </c>
      <c r="BH62" s="38">
        <f t="shared" si="36"/>
        <v>1.569577776275799E-2</v>
      </c>
      <c r="BI62" s="115">
        <f t="shared" si="37"/>
        <v>4.1100659366528479E-2</v>
      </c>
      <c r="BJ62" s="163">
        <f t="shared" si="38"/>
        <v>1.085844161075919E-2</v>
      </c>
      <c r="BK62" s="116">
        <f t="shared" si="39"/>
        <v>156.9577776275799</v>
      </c>
      <c r="BL62" s="115">
        <f t="shared" si="40"/>
        <v>7.338434581424251E-2</v>
      </c>
      <c r="BM62" s="157">
        <f t="shared" si="41"/>
        <v>73.384345814242508</v>
      </c>
      <c r="BN62" s="117">
        <f t="shared" si="42"/>
        <v>41.100659366528475</v>
      </c>
      <c r="BO62" s="161">
        <f t="shared" si="43"/>
        <v>69.180653388986286</v>
      </c>
      <c r="BP62" s="161">
        <f t="shared" si="44"/>
        <v>8.800804707629533</v>
      </c>
    </row>
    <row r="63" spans="1:68" ht="15.75">
      <c r="A63" s="67">
        <v>109</v>
      </c>
      <c r="B63" s="134">
        <v>2</v>
      </c>
      <c r="C63" s="66" t="s">
        <v>419</v>
      </c>
      <c r="D63" s="66" t="s">
        <v>409</v>
      </c>
      <c r="E63" s="66" t="s">
        <v>437</v>
      </c>
      <c r="F63" s="66" t="s">
        <v>411</v>
      </c>
      <c r="G63" s="66"/>
      <c r="H63" s="66" t="s">
        <v>427</v>
      </c>
      <c r="I63" s="66">
        <v>100</v>
      </c>
      <c r="J63" s="66">
        <v>20</v>
      </c>
      <c r="K63" s="66">
        <v>30</v>
      </c>
      <c r="L63" s="66" t="s">
        <v>450</v>
      </c>
      <c r="M63" s="66">
        <v>1</v>
      </c>
      <c r="N63"/>
      <c r="O63"/>
      <c r="P63"/>
      <c r="Q63" s="66">
        <v>20</v>
      </c>
      <c r="R63">
        <v>5.0868669022379276</v>
      </c>
      <c r="S63" s="55">
        <v>1.8231330977620734</v>
      </c>
      <c r="T63" s="82">
        <v>173</v>
      </c>
      <c r="U63" s="82" t="s">
        <v>253</v>
      </c>
      <c r="V63" s="83">
        <v>1.5074961250000001</v>
      </c>
      <c r="W63" s="83">
        <v>567.99364881775671</v>
      </c>
      <c r="X63" s="83">
        <v>0.85477674999999997</v>
      </c>
      <c r="Y63" s="83">
        <v>-17.994503568906016</v>
      </c>
      <c r="Z63" s="69" t="s">
        <v>54</v>
      </c>
      <c r="AA63" s="73">
        <v>5.5661983611111108</v>
      </c>
      <c r="AB63" s="73">
        <v>3.0248816727959098</v>
      </c>
      <c r="AC63" s="73">
        <v>3.9982883888888887</v>
      </c>
      <c r="AD63" s="73">
        <v>-25.508901929003891</v>
      </c>
      <c r="AE63" s="73">
        <v>2.2461111111111109</v>
      </c>
      <c r="AF63" s="73">
        <v>2.2461111111111109</v>
      </c>
      <c r="AG63" s="32">
        <f t="shared" si="13"/>
        <v>1.1379460310984945E-2</v>
      </c>
      <c r="AH63" s="32">
        <f t="shared" si="14"/>
        <v>0.25846953038557846</v>
      </c>
      <c r="AI63" s="33">
        <f t="shared" si="15"/>
        <v>1.7154492323401101E-2</v>
      </c>
      <c r="AJ63" s="34">
        <f t="shared" si="16"/>
        <v>0.220933745157011</v>
      </c>
      <c r="AK63" s="16">
        <f t="shared" si="47"/>
        <v>2.4531456945428177E-3</v>
      </c>
      <c r="AL63" s="16">
        <f t="shared" si="48"/>
        <v>3.1594211912164979E-2</v>
      </c>
      <c r="AM63" s="27">
        <f t="shared" si="17"/>
        <v>2.4531456945428176</v>
      </c>
      <c r="AN63" s="27">
        <f t="shared" si="18"/>
        <v>31.59421191216498</v>
      </c>
      <c r="AO63" s="29" t="e">
        <f t="shared" si="19"/>
        <v>#VALUE!</v>
      </c>
      <c r="AP63" s="29" t="e">
        <f t="shared" si="20"/>
        <v>#VALUE!</v>
      </c>
      <c r="AQ63" s="27">
        <f t="shared" si="21"/>
        <v>12.879060539473198</v>
      </c>
      <c r="AR63" s="14">
        <f t="shared" si="22"/>
        <v>566.94876714496081</v>
      </c>
      <c r="AS63" s="25">
        <v>0.36849740461643371</v>
      </c>
      <c r="AT63" s="22">
        <f t="shared" si="23"/>
        <v>0.57271148925252424</v>
      </c>
      <c r="AU63" s="22">
        <f t="shared" si="24"/>
        <v>0.20421408463609053</v>
      </c>
      <c r="AV63" s="115">
        <f t="shared" si="25"/>
        <v>9.4565060297679832E-2</v>
      </c>
      <c r="AW63" s="163">
        <f t="shared" si="26"/>
        <v>5.0096690249002811E-3</v>
      </c>
      <c r="AX63" s="116">
        <f t="shared" si="27"/>
        <v>2042.1408463609052</v>
      </c>
      <c r="AY63" s="115">
        <f t="shared" si="28"/>
        <v>0.10708923285993052</v>
      </c>
      <c r="AZ63" s="157">
        <f t="shared" si="29"/>
        <v>107.08923285993052</v>
      </c>
      <c r="BA63" s="117">
        <f t="shared" si="30"/>
        <v>94.565060297679835</v>
      </c>
      <c r="BB63" s="118">
        <f t="shared" si="31"/>
        <v>6.5062229308310267</v>
      </c>
      <c r="BC63" s="118">
        <f t="shared" si="32"/>
        <v>42.6197143133342</v>
      </c>
      <c r="BD63" s="117">
        <f t="shared" si="33"/>
        <v>2.4531456945428176</v>
      </c>
      <c r="BE63" s="14">
        <f t="shared" si="34"/>
        <v>-18.515601639902126</v>
      </c>
      <c r="BF63" s="25">
        <v>1.0808848989999</v>
      </c>
      <c r="BG63" s="22">
        <f t="shared" si="35"/>
        <v>1.0908629561445757</v>
      </c>
      <c r="BH63" s="38">
        <f t="shared" si="36"/>
        <v>9.9780571446757005E-3</v>
      </c>
      <c r="BI63" s="115">
        <f t="shared" si="37"/>
        <v>0.11707480479558015</v>
      </c>
      <c r="BJ63" s="163">
        <f t="shared" si="38"/>
        <v>3.1524885190057591E-3</v>
      </c>
      <c r="BK63" s="116">
        <f t="shared" si="39"/>
        <v>99.780571446757008</v>
      </c>
      <c r="BL63" s="115">
        <f t="shared" si="40"/>
        <v>0.13959037669254207</v>
      </c>
      <c r="BM63" s="157">
        <f t="shared" si="41"/>
        <v>139.59037669254207</v>
      </c>
      <c r="BN63" s="117">
        <f t="shared" si="42"/>
        <v>117.07480479558015</v>
      </c>
      <c r="BO63" s="161">
        <f t="shared" si="43"/>
        <v>31.59421191216498</v>
      </c>
      <c r="BP63" s="161">
        <f t="shared" si="44"/>
        <v>6.5506077437605521</v>
      </c>
    </row>
    <row r="64" spans="1:68" ht="15.75">
      <c r="A64" s="67">
        <v>110</v>
      </c>
      <c r="B64" s="134">
        <v>2</v>
      </c>
      <c r="C64" s="66" t="s">
        <v>421</v>
      </c>
      <c r="D64" s="66" t="s">
        <v>424</v>
      </c>
      <c r="E64" s="66" t="s">
        <v>437</v>
      </c>
      <c r="F64" s="66" t="s">
        <v>411</v>
      </c>
      <c r="G64" s="66"/>
      <c r="H64" s="66" t="s">
        <v>427</v>
      </c>
      <c r="I64" s="66">
        <v>100</v>
      </c>
      <c r="J64" s="66">
        <v>20</v>
      </c>
      <c r="K64" s="66">
        <v>30</v>
      </c>
      <c r="L64" s="66" t="s">
        <v>451</v>
      </c>
      <c r="M64" s="66">
        <v>1</v>
      </c>
      <c r="N64"/>
      <c r="O64"/>
      <c r="P64"/>
      <c r="Q64" s="66">
        <v>20</v>
      </c>
      <c r="R64">
        <v>9.0899237126509878</v>
      </c>
      <c r="S64" s="55">
        <v>7.4400762873490143</v>
      </c>
      <c r="T64" s="80">
        <v>174</v>
      </c>
      <c r="U64" s="80" t="s">
        <v>254</v>
      </c>
      <c r="V64" s="81">
        <v>0.98080362499999996</v>
      </c>
      <c r="W64" s="81">
        <v>163.12507968216181</v>
      </c>
      <c r="X64" s="81">
        <v>0.60276331250000004</v>
      </c>
      <c r="Y64" s="81">
        <v>-19.898006289740042</v>
      </c>
      <c r="Z64" s="69" t="s">
        <v>54</v>
      </c>
      <c r="AA64" s="73">
        <v>5.5661983611111108</v>
      </c>
      <c r="AB64" s="73">
        <v>3.0248816727959098</v>
      </c>
      <c r="AC64" s="73">
        <v>3.9982883888888887</v>
      </c>
      <c r="AD64" s="73">
        <v>-25.508901929003891</v>
      </c>
      <c r="AE64" s="73">
        <v>2.2461111111111109</v>
      </c>
      <c r="AF64" s="73">
        <v>2.2461111111111109</v>
      </c>
      <c r="AG64" s="32">
        <f t="shared" si="13"/>
        <v>1.1379460310984945E-2</v>
      </c>
      <c r="AH64" s="32">
        <f t="shared" si="14"/>
        <v>0.25846953038557846</v>
      </c>
      <c r="AI64" s="33">
        <f t="shared" si="15"/>
        <v>1.1161015923557661E-2</v>
      </c>
      <c r="AJ64" s="34">
        <f t="shared" si="16"/>
        <v>0.15579595031553067</v>
      </c>
      <c r="AK64" s="16">
        <f t="shared" si="47"/>
        <v>1.1230718689842626E-3</v>
      </c>
      <c r="AL64" s="16">
        <f t="shared" si="48"/>
        <v>1.5676892703981492E-2</v>
      </c>
      <c r="AM64" s="27">
        <f t="shared" si="17"/>
        <v>1.1230718689842627</v>
      </c>
      <c r="AN64" s="27">
        <f t="shared" si="18"/>
        <v>15.676892703981492</v>
      </c>
      <c r="AO64" s="29" t="e">
        <f t="shared" si="19"/>
        <v>#VALUE!</v>
      </c>
      <c r="AP64" s="29" t="e">
        <f t="shared" si="20"/>
        <v>#VALUE!</v>
      </c>
      <c r="AQ64" s="27">
        <f t="shared" si="21"/>
        <v>13.958939883482355</v>
      </c>
      <c r="AR64" s="14">
        <f t="shared" si="22"/>
        <v>162.08019800936592</v>
      </c>
      <c r="AS64" s="25">
        <v>0.36849740461643371</v>
      </c>
      <c r="AT64" s="22">
        <f t="shared" si="23"/>
        <v>0.42536360962482206</v>
      </c>
      <c r="AU64" s="22">
        <f t="shared" si="24"/>
        <v>5.6866205008388349E-2</v>
      </c>
      <c r="AV64" s="115">
        <f t="shared" si="25"/>
        <v>2.2557019673384599E-2</v>
      </c>
      <c r="AW64" s="163">
        <f t="shared" si="26"/>
        <v>6.3864835140812939E-4</v>
      </c>
      <c r="AX64" s="116">
        <f t="shared" si="27"/>
        <v>568.66205008388351</v>
      </c>
      <c r="AY64" s="115">
        <f t="shared" si="28"/>
        <v>2.4153640551904918E-2</v>
      </c>
      <c r="AZ64" s="157">
        <f t="shared" si="29"/>
        <v>24.153640551904918</v>
      </c>
      <c r="BA64" s="117">
        <f t="shared" si="30"/>
        <v>22.557019673384598</v>
      </c>
      <c r="BB64" s="118">
        <f t="shared" si="31"/>
        <v>5.8461158409495058</v>
      </c>
      <c r="BC64" s="118">
        <f t="shared" si="32"/>
        <v>40.471724135401764</v>
      </c>
      <c r="BD64" s="117">
        <f t="shared" si="33"/>
        <v>1.1230718689842627</v>
      </c>
      <c r="BE64" s="14">
        <f t="shared" si="34"/>
        <v>-20.419104360736153</v>
      </c>
      <c r="BF64" s="25">
        <v>1.0808848989999</v>
      </c>
      <c r="BG64" s="22">
        <f t="shared" si="35"/>
        <v>1.0887703577080114</v>
      </c>
      <c r="BH64" s="38">
        <f t="shared" si="36"/>
        <v>7.8854587081114147E-3</v>
      </c>
      <c r="BI64" s="115">
        <f t="shared" si="37"/>
        <v>3.4730599973912216E-2</v>
      </c>
      <c r="BJ64" s="163">
        <f t="shared" si="38"/>
        <v>1.2361949008873917E-3</v>
      </c>
      <c r="BK64" s="116">
        <f t="shared" si="39"/>
        <v>78.854587081114147</v>
      </c>
      <c r="BL64" s="115">
        <f t="shared" si="40"/>
        <v>4.2162412222869726E-2</v>
      </c>
      <c r="BM64" s="157">
        <f t="shared" si="41"/>
        <v>42.162412222869726</v>
      </c>
      <c r="BN64" s="117">
        <f t="shared" si="42"/>
        <v>34.730599973912213</v>
      </c>
      <c r="BO64" s="161">
        <f t="shared" si="43"/>
        <v>15.676892703981492</v>
      </c>
      <c r="BP64" s="161">
        <f t="shared" si="44"/>
        <v>6.9228399225199899</v>
      </c>
    </row>
    <row r="65" spans="1:68" ht="15.75">
      <c r="A65" s="67">
        <v>111</v>
      </c>
      <c r="B65" s="134">
        <v>2</v>
      </c>
      <c r="C65" s="66" t="s">
        <v>423</v>
      </c>
      <c r="D65" s="66" t="s">
        <v>414</v>
      </c>
      <c r="E65" s="66" t="s">
        <v>437</v>
      </c>
      <c r="F65" s="66" t="s">
        <v>411</v>
      </c>
      <c r="G65" s="66"/>
      <c r="H65" s="66" t="s">
        <v>427</v>
      </c>
      <c r="I65" s="66">
        <v>100</v>
      </c>
      <c r="J65" s="66">
        <v>20</v>
      </c>
      <c r="K65" s="66">
        <v>30</v>
      </c>
      <c r="L65" s="66" t="s">
        <v>452</v>
      </c>
      <c r="M65" s="66">
        <v>1</v>
      </c>
      <c r="N65"/>
      <c r="O65"/>
      <c r="P65"/>
      <c r="Q65" s="66">
        <v>20</v>
      </c>
      <c r="R65">
        <v>7.4950040032025615</v>
      </c>
      <c r="S65" s="55">
        <v>4.2949959967974376</v>
      </c>
      <c r="T65" s="82">
        <v>175</v>
      </c>
      <c r="U65" s="82" t="s">
        <v>255</v>
      </c>
      <c r="V65" s="83">
        <v>0.79729881250000001</v>
      </c>
      <c r="W65" s="83">
        <v>659.82085113769995</v>
      </c>
      <c r="X65" s="83">
        <v>0.41005306250000001</v>
      </c>
      <c r="Y65" s="83">
        <v>-13.80115443038679</v>
      </c>
      <c r="Z65" s="69" t="s">
        <v>54</v>
      </c>
      <c r="AA65" s="73">
        <v>5.5661983611111108</v>
      </c>
      <c r="AB65" s="73">
        <v>3.0248816727959098</v>
      </c>
      <c r="AC65" s="73">
        <v>3.9982883888888887</v>
      </c>
      <c r="AD65" s="73">
        <v>-25.508901929003891</v>
      </c>
      <c r="AE65" s="73">
        <v>2.2461111111111109</v>
      </c>
      <c r="AF65" s="73">
        <v>2.2461111111111109</v>
      </c>
      <c r="AG65" s="32">
        <f t="shared" si="13"/>
        <v>1.1379460310984945E-2</v>
      </c>
      <c r="AH65" s="32">
        <f t="shared" si="14"/>
        <v>0.25846953038557846</v>
      </c>
      <c r="AI65" s="33">
        <f t="shared" si="15"/>
        <v>9.0728301928391774E-3</v>
      </c>
      <c r="AJ65" s="34">
        <f t="shared" si="16"/>
        <v>0.10598622249754326</v>
      </c>
      <c r="AK65" s="16">
        <f t="shared" si="47"/>
        <v>9.8031690230125298E-4</v>
      </c>
      <c r="AL65" s="16">
        <f t="shared" si="48"/>
        <v>1.1451783304332882E-2</v>
      </c>
      <c r="AM65" s="27">
        <f t="shared" si="17"/>
        <v>0.98031690230125301</v>
      </c>
      <c r="AN65" s="27">
        <f t="shared" si="18"/>
        <v>11.451783304332881</v>
      </c>
      <c r="AO65" s="29" t="e">
        <f t="shared" si="19"/>
        <v>#VALUE!</v>
      </c>
      <c r="AP65" s="29" t="e">
        <f t="shared" si="20"/>
        <v>#VALUE!</v>
      </c>
      <c r="AQ65" s="27">
        <f t="shared" si="21"/>
        <v>11.681715654856404</v>
      </c>
      <c r="AR65" s="14">
        <f t="shared" si="22"/>
        <v>658.77596946490405</v>
      </c>
      <c r="AS65" s="25">
        <v>0.36849740461643371</v>
      </c>
      <c r="AT65" s="22">
        <f t="shared" si="23"/>
        <v>0.60607043464769783</v>
      </c>
      <c r="AU65" s="22">
        <f t="shared" si="24"/>
        <v>0.23757303003126412</v>
      </c>
      <c r="AV65" s="115">
        <f t="shared" si="25"/>
        <v>4.2159573469378861E-2</v>
      </c>
      <c r="AW65" s="163">
        <f t="shared" si="26"/>
        <v>2.3289685687057139E-3</v>
      </c>
      <c r="AX65" s="116">
        <f t="shared" si="27"/>
        <v>2375.7303003126408</v>
      </c>
      <c r="AY65" s="115">
        <f t="shared" si="28"/>
        <v>4.7981994891143145E-2</v>
      </c>
      <c r="AZ65" s="157">
        <f t="shared" si="29"/>
        <v>47.981994891143145</v>
      </c>
      <c r="BA65" s="117">
        <f t="shared" si="30"/>
        <v>42.159573469378863</v>
      </c>
      <c r="BB65" s="118">
        <f t="shared" si="31"/>
        <v>1.4748082881648708</v>
      </c>
      <c r="BC65" s="118">
        <f t="shared" si="32"/>
        <v>18.688560245460671</v>
      </c>
      <c r="BD65" s="117">
        <f t="shared" si="33"/>
        <v>0.98031690230125301</v>
      </c>
      <c r="BE65" s="14">
        <f t="shared" si="34"/>
        <v>-14.3222525013829</v>
      </c>
      <c r="BF65" s="25">
        <v>1.0808848989999</v>
      </c>
      <c r="BG65" s="22">
        <f t="shared" si="35"/>
        <v>1.0954725640863578</v>
      </c>
      <c r="BH65" s="38">
        <f t="shared" si="36"/>
        <v>1.4587665086457813E-2</v>
      </c>
      <c r="BI65" s="115">
        <f t="shared" si="37"/>
        <v>8.7457516614125111E-2</v>
      </c>
      <c r="BJ65" s="163">
        <f t="shared" si="38"/>
        <v>1.6705477948629726E-3</v>
      </c>
      <c r="BK65" s="116">
        <f t="shared" si="39"/>
        <v>145.87665086457812</v>
      </c>
      <c r="BL65" s="115">
        <f t="shared" si="40"/>
        <v>0.10256607567804819</v>
      </c>
      <c r="BM65" s="157">
        <f t="shared" si="41"/>
        <v>102.56607567804819</v>
      </c>
      <c r="BN65" s="117">
        <f t="shared" si="42"/>
        <v>87.457516614125112</v>
      </c>
      <c r="BO65" s="161">
        <f t="shared" si="43"/>
        <v>11.451783304332881</v>
      </c>
      <c r="BP65" s="161">
        <f t="shared" si="44"/>
        <v>12.671857349483144</v>
      </c>
    </row>
    <row r="66" spans="1:68" ht="15.75">
      <c r="A66" s="67">
        <v>112</v>
      </c>
      <c r="B66" s="134">
        <v>2</v>
      </c>
      <c r="C66" s="66" t="s">
        <v>425</v>
      </c>
      <c r="D66" s="66" t="s">
        <v>420</v>
      </c>
      <c r="E66" s="66" t="s">
        <v>437</v>
      </c>
      <c r="F66" s="66" t="s">
        <v>411</v>
      </c>
      <c r="G66" s="66"/>
      <c r="H66" s="66" t="s">
        <v>427</v>
      </c>
      <c r="I66" s="66">
        <v>100</v>
      </c>
      <c r="J66" s="66">
        <v>20</v>
      </c>
      <c r="K66" s="66">
        <v>30</v>
      </c>
      <c r="L66" s="66" t="s">
        <v>453</v>
      </c>
      <c r="M66" s="66">
        <v>1</v>
      </c>
      <c r="N66"/>
      <c r="O66"/>
      <c r="P66"/>
      <c r="Q66" s="66">
        <v>20</v>
      </c>
      <c r="R66">
        <v>5.8644663133989381</v>
      </c>
      <c r="S66" s="55">
        <v>4.2755336866010616</v>
      </c>
      <c r="T66" s="80">
        <v>176</v>
      </c>
      <c r="U66" s="80" t="s">
        <v>256</v>
      </c>
      <c r="V66" s="81">
        <v>1.9030588749999999</v>
      </c>
      <c r="W66" s="81">
        <v>209.34704667735562</v>
      </c>
      <c r="X66" s="81">
        <v>1.173202125</v>
      </c>
      <c r="Y66" s="81">
        <v>-19.415957379511152</v>
      </c>
      <c r="Z66" s="70" t="s">
        <v>106</v>
      </c>
      <c r="AA66" s="73">
        <v>5.5661983611111108</v>
      </c>
      <c r="AB66" s="73">
        <v>3.0248816727959098</v>
      </c>
      <c r="AC66" s="73">
        <v>3.9982883888888887</v>
      </c>
      <c r="AD66" s="73">
        <v>-25.508901929003891</v>
      </c>
      <c r="AE66" s="73">
        <v>2.2461111111111109</v>
      </c>
      <c r="AF66" s="73">
        <v>2.2461111111111109</v>
      </c>
      <c r="AG66" s="32">
        <f t="shared" si="13"/>
        <v>1.1379460310984945E-2</v>
      </c>
      <c r="AH66" s="32">
        <f t="shared" si="14"/>
        <v>0.25846953038557846</v>
      </c>
      <c r="AI66" s="33">
        <f t="shared" si="15"/>
        <v>2.165578293753016E-2</v>
      </c>
      <c r="AJ66" s="34">
        <f t="shared" si="16"/>
        <v>0.30323700229611272</v>
      </c>
      <c r="AK66" s="16">
        <f t="shared" si="47"/>
        <v>2.9880848493045822E-3</v>
      </c>
      <c r="AL66" s="16">
        <f t="shared" si="48"/>
        <v>4.1840920502544225E-2</v>
      </c>
      <c r="AM66" s="27">
        <f t="shared" si="17"/>
        <v>2.9880848493045824</v>
      </c>
      <c r="AN66" s="27">
        <f t="shared" si="18"/>
        <v>41.840920502544222</v>
      </c>
      <c r="AO66" s="29" t="e">
        <f t="shared" si="19"/>
        <v>#VALUE!</v>
      </c>
      <c r="AP66" s="29" t="e">
        <f t="shared" si="20"/>
        <v>#VALUE!</v>
      </c>
      <c r="AQ66" s="27">
        <f t="shared" si="21"/>
        <v>14.002587815497234</v>
      </c>
      <c r="AR66" s="14">
        <f t="shared" si="22"/>
        <v>208.3021650045597</v>
      </c>
      <c r="AS66" s="25">
        <v>0.36849740461643371</v>
      </c>
      <c r="AT66" s="22">
        <f t="shared" si="23"/>
        <v>0.44220771355918181</v>
      </c>
      <c r="AU66" s="22">
        <f t="shared" si="24"/>
        <v>7.3710308942748104E-2</v>
      </c>
      <c r="AV66" s="115">
        <f t="shared" si="25"/>
        <v>7.5144823315660927E-2</v>
      </c>
      <c r="AW66" s="163">
        <f t="shared" si="26"/>
        <v>2.2025265738938567E-3</v>
      </c>
      <c r="AX66" s="116">
        <f t="shared" si="27"/>
        <v>737.103089427481</v>
      </c>
      <c r="AY66" s="115">
        <f t="shared" si="28"/>
        <v>8.0651139750395562E-2</v>
      </c>
      <c r="AZ66" s="157">
        <f t="shared" si="29"/>
        <v>80.651139750395558</v>
      </c>
      <c r="BA66" s="117">
        <f t="shared" si="30"/>
        <v>75.144823315660929</v>
      </c>
      <c r="BB66" s="118">
        <f t="shared" si="31"/>
        <v>3.689124079271946</v>
      </c>
      <c r="BC66" s="118">
        <f t="shared" si="32"/>
        <v>37.428235419820872</v>
      </c>
      <c r="BD66" s="117">
        <f t="shared" si="33"/>
        <v>2.9880848493045824</v>
      </c>
      <c r="BE66" s="14">
        <f t="shared" si="34"/>
        <v>-19.937055450507263</v>
      </c>
      <c r="BF66" s="25">
        <v>1.0808848989999</v>
      </c>
      <c r="BG66" s="22">
        <f t="shared" si="35"/>
        <v>1.0893003021739349</v>
      </c>
      <c r="BH66" s="38">
        <f t="shared" si="36"/>
        <v>8.4154031740348856E-3</v>
      </c>
      <c r="BI66" s="115">
        <f t="shared" si="37"/>
        <v>0.11218756018638017</v>
      </c>
      <c r="BJ66" s="163">
        <f t="shared" si="38"/>
        <v>3.5210821520165196E-3</v>
      </c>
      <c r="BK66" s="116">
        <f t="shared" si="39"/>
        <v>84.154031740348856</v>
      </c>
      <c r="BL66" s="115">
        <f t="shared" si="40"/>
        <v>0.13501371058971898</v>
      </c>
      <c r="BM66" s="157">
        <f t="shared" si="41"/>
        <v>135.01371058971898</v>
      </c>
      <c r="BN66" s="117">
        <f t="shared" si="42"/>
        <v>112.18756018638017</v>
      </c>
      <c r="BO66" s="161">
        <f t="shared" si="43"/>
        <v>41.840920502544222</v>
      </c>
      <c r="BP66" s="161">
        <f t="shared" si="44"/>
        <v>10.145561552163187</v>
      </c>
    </row>
    <row r="67" spans="1:68" ht="15.75">
      <c r="A67" s="67">
        <v>113</v>
      </c>
      <c r="B67" s="134">
        <v>3</v>
      </c>
      <c r="C67" s="66" t="s">
        <v>408</v>
      </c>
      <c r="D67" s="66" t="s">
        <v>418</v>
      </c>
      <c r="E67" s="66" t="s">
        <v>437</v>
      </c>
      <c r="F67" s="66" t="s">
        <v>411</v>
      </c>
      <c r="G67" s="66"/>
      <c r="H67" s="66" t="s">
        <v>429</v>
      </c>
      <c r="I67" s="66">
        <v>100</v>
      </c>
      <c r="J67" s="66">
        <v>20</v>
      </c>
      <c r="K67" s="66">
        <v>30</v>
      </c>
      <c r="L67" s="66" t="s">
        <v>454</v>
      </c>
      <c r="M67" s="66">
        <v>1</v>
      </c>
      <c r="N67"/>
      <c r="O67"/>
      <c r="P67"/>
      <c r="Q67" s="66">
        <v>20</v>
      </c>
      <c r="R67">
        <v>9.4503482587064678</v>
      </c>
      <c r="S67" s="55">
        <v>7.5096517412935322</v>
      </c>
      <c r="T67" s="82">
        <v>177</v>
      </c>
      <c r="U67" s="82" t="s">
        <v>257</v>
      </c>
      <c r="V67" s="83">
        <v>1.06129875</v>
      </c>
      <c r="W67" s="83">
        <v>428.62197375393362</v>
      </c>
      <c r="X67" s="83">
        <v>0.53748724999999997</v>
      </c>
      <c r="Y67" s="83">
        <v>-23.491166179203244</v>
      </c>
      <c r="Z67" s="71" t="s">
        <v>106</v>
      </c>
      <c r="AA67" s="73">
        <v>5.5661983611111108</v>
      </c>
      <c r="AB67" s="73">
        <v>3.0248816727959098</v>
      </c>
      <c r="AC67" s="73">
        <v>3.9982883888888887</v>
      </c>
      <c r="AD67" s="73">
        <v>-25.508901929003891</v>
      </c>
      <c r="AE67" s="73">
        <v>2.2461111111111109</v>
      </c>
      <c r="AF67" s="73">
        <v>2.2461111111111109</v>
      </c>
      <c r="AG67" s="32">
        <f t="shared" si="13"/>
        <v>1.1379460310984945E-2</v>
      </c>
      <c r="AH67" s="32">
        <f t="shared" si="14"/>
        <v>0.25846953038557846</v>
      </c>
      <c r="AI67" s="33">
        <f t="shared" si="15"/>
        <v>1.2077007003722934E-2</v>
      </c>
      <c r="AJ67" s="34">
        <f t="shared" si="16"/>
        <v>0.13892407709573601</v>
      </c>
      <c r="AK67" s="16">
        <f t="shared" ref="AK67:AK103" si="49">((AI67/K67)*(J67+S67))/(R67)</f>
        <v>1.1718589539579426E-3</v>
      </c>
      <c r="AL67" s="16">
        <f t="shared" ref="AL67:AL98" si="50">((AJ67/K67)*(J67+S67))/(R67)</f>
        <v>1.3480113376997813E-2</v>
      </c>
      <c r="AM67" s="27">
        <f t="shared" si="17"/>
        <v>1.1718589539579427</v>
      </c>
      <c r="AN67" s="27">
        <f t="shared" si="18"/>
        <v>13.480113376997814</v>
      </c>
      <c r="AO67" s="29" t="e">
        <f t="shared" si="19"/>
        <v>#VALUE!</v>
      </c>
      <c r="AP67" s="29" t="e">
        <f t="shared" si="20"/>
        <v>#VALUE!</v>
      </c>
      <c r="AQ67" s="27">
        <f t="shared" si="21"/>
        <v>11.503187590510661</v>
      </c>
      <c r="AR67" s="14">
        <f t="shared" si="22"/>
        <v>427.57709208113772</v>
      </c>
      <c r="AS67" s="25">
        <v>0.36849740461643371</v>
      </c>
      <c r="AT67" s="22">
        <f t="shared" si="23"/>
        <v>0.52203780295783409</v>
      </c>
      <c r="AU67" s="22">
        <f t="shared" si="24"/>
        <v>0.15354039834140037</v>
      </c>
      <c r="AV67" s="115">
        <f t="shared" si="25"/>
        <v>2.8856736292355172E-2</v>
      </c>
      <c r="AW67" s="163">
        <f t="shared" si="26"/>
        <v>1.7992769059063929E-3</v>
      </c>
      <c r="AX67" s="116">
        <f t="shared" si="27"/>
        <v>1535.4039834140037</v>
      </c>
      <c r="AY67" s="115">
        <f t="shared" si="28"/>
        <v>3.3354928557121161E-2</v>
      </c>
      <c r="AZ67" s="157">
        <f t="shared" si="29"/>
        <v>33.354928557121163</v>
      </c>
      <c r="BA67" s="117">
        <f t="shared" si="30"/>
        <v>28.856736292355173</v>
      </c>
      <c r="BB67" s="118">
        <f t="shared" si="31"/>
        <v>18.805473549981038</v>
      </c>
      <c r="BC67" s="118">
        <f t="shared" si="32"/>
        <v>177.71300083786173</v>
      </c>
      <c r="BD67" s="117">
        <f t="shared" si="33"/>
        <v>1.1718589539579427</v>
      </c>
      <c r="BE67" s="14">
        <f t="shared" si="34"/>
        <v>-24.012264250199355</v>
      </c>
      <c r="BF67" s="25">
        <v>1.0808848989999</v>
      </c>
      <c r="BG67" s="22">
        <f t="shared" si="35"/>
        <v>1.0848200086658815</v>
      </c>
      <c r="BH67" s="38">
        <f t="shared" si="36"/>
        <v>3.9351096659814289E-3</v>
      </c>
      <c r="BI67" s="115">
        <f t="shared" si="37"/>
        <v>4.1050568869044478E-2</v>
      </c>
      <c r="BJ67" s="163">
        <f t="shared" si="38"/>
        <v>5.3045724448349651E-4</v>
      </c>
      <c r="BK67" s="116">
        <f t="shared" si="39"/>
        <v>39.351096659814289</v>
      </c>
      <c r="BL67" s="115">
        <f t="shared" si="40"/>
        <v>4.750803308888378E-2</v>
      </c>
      <c r="BM67" s="157">
        <f t="shared" si="41"/>
        <v>47.508033088883778</v>
      </c>
      <c r="BN67" s="117">
        <f t="shared" si="42"/>
        <v>41.050568869044476</v>
      </c>
      <c r="BO67" s="161">
        <f t="shared" si="43"/>
        <v>13.480113376997814</v>
      </c>
      <c r="BP67" s="161">
        <f t="shared" si="44"/>
        <v>9.4500678414472006</v>
      </c>
    </row>
    <row r="68" spans="1:68" ht="15.75">
      <c r="A68" s="67">
        <v>114</v>
      </c>
      <c r="B68" s="134">
        <v>3</v>
      </c>
      <c r="C68" s="66" t="s">
        <v>413</v>
      </c>
      <c r="D68" s="66" t="s">
        <v>416</v>
      </c>
      <c r="E68" s="66" t="s">
        <v>437</v>
      </c>
      <c r="F68" s="66" t="s">
        <v>411</v>
      </c>
      <c r="G68" s="66"/>
      <c r="H68" s="66" t="s">
        <v>429</v>
      </c>
      <c r="I68" s="66">
        <v>100</v>
      </c>
      <c r="J68" s="66">
        <v>20</v>
      </c>
      <c r="K68" s="66">
        <v>30</v>
      </c>
      <c r="L68" s="66" t="s">
        <v>455</v>
      </c>
      <c r="M68" s="66">
        <v>1</v>
      </c>
      <c r="N68"/>
      <c r="O68"/>
      <c r="P68"/>
      <c r="Q68" s="66">
        <v>20</v>
      </c>
      <c r="R68">
        <v>5.8177503852080124</v>
      </c>
      <c r="S68" s="55">
        <v>5.1422496147919885</v>
      </c>
      <c r="T68" s="80">
        <v>178</v>
      </c>
      <c r="U68" s="80" t="s">
        <v>258</v>
      </c>
      <c r="V68" s="81">
        <v>0.61532443749999999</v>
      </c>
      <c r="W68" s="81">
        <v>632.50043832185349</v>
      </c>
      <c r="X68" s="81">
        <v>0.33419996875000002</v>
      </c>
      <c r="Y68" s="81">
        <v>-19.95075446983536</v>
      </c>
      <c r="Z68" s="71" t="s">
        <v>106</v>
      </c>
      <c r="AA68" s="73">
        <v>5.5661983611111108</v>
      </c>
      <c r="AB68" s="73">
        <v>3.0248816727959098</v>
      </c>
      <c r="AC68" s="73">
        <v>3.9982883888888887</v>
      </c>
      <c r="AD68" s="73">
        <v>-25.508901929003891</v>
      </c>
      <c r="AE68" s="73">
        <v>2.2461111111111109</v>
      </c>
      <c r="AF68" s="73">
        <v>2.2461111111111109</v>
      </c>
      <c r="AG68" s="32">
        <f t="shared" ref="AG68:AG130" si="51">((2.82/100)*AE68)/AA68</f>
        <v>1.1379460310984945E-2</v>
      </c>
      <c r="AH68" s="32">
        <f t="shared" ref="AH68:AH130" si="52">((46.01/100)*AF68)/AC68</f>
        <v>0.25846953038557846</v>
      </c>
      <c r="AI68" s="33">
        <f t="shared" ref="AI68:AI130" si="53">V68*AG68</f>
        <v>7.0020600149103863E-3</v>
      </c>
      <c r="AJ68" s="34">
        <f t="shared" ref="AJ68:AJ130" si="54">X68*AH68</f>
        <v>8.6380508977687509E-2</v>
      </c>
      <c r="AK68" s="16">
        <f t="shared" si="49"/>
        <v>1.0086804982228339E-3</v>
      </c>
      <c r="AL68" s="16">
        <f t="shared" si="50"/>
        <v>1.2443528711096162E-2</v>
      </c>
      <c r="AM68" s="27">
        <f t="shared" ref="AM68:AM130" si="55">AK68*1000</f>
        <v>1.0086804982228339</v>
      </c>
      <c r="AN68" s="27">
        <f t="shared" ref="AN68:AN130" si="56">AL68*1000</f>
        <v>12.443528711096162</v>
      </c>
      <c r="AO68" s="29" t="e">
        <f t="shared" ref="AO68:AO130" si="57">AI68*100/Z68</f>
        <v>#VALUE!</v>
      </c>
      <c r="AP68" s="29" t="e">
        <f t="shared" ref="AP68:AP130" si="58">AJ68*100/Z68</f>
        <v>#VALUE!</v>
      </c>
      <c r="AQ68" s="27">
        <f t="shared" ref="AQ68:AQ130" si="59">AJ68/AI68</f>
        <v>12.336442246102774</v>
      </c>
      <c r="AR68" s="14">
        <f t="shared" ref="AR68:AR130" si="60">W68+(1.98-AB68)</f>
        <v>631.4555566490576</v>
      </c>
      <c r="AS68" s="25">
        <v>0.36849740461643371</v>
      </c>
      <c r="AT68" s="22">
        <f t="shared" ref="AT68:AT130" si="61">100*0.003676*(AR68/1000+1)/(1+0.003676*(AR68/1000+1))</f>
        <v>0.59614782662061683</v>
      </c>
      <c r="AU68" s="22">
        <f t="shared" ref="AU68:AU130" si="62">AT68-AS68</f>
        <v>0.22765042200418312</v>
      </c>
      <c r="AV68" s="115">
        <f t="shared" ref="AV68:AV98" si="63">1000*((AK164*AU164/100)-(AK68*AU68/100))/0.4</f>
        <v>0.1158067680227082</v>
      </c>
      <c r="AW68" s="163">
        <f t="shared" ref="AW68:AW98" si="64">1000*(AK68*AU68/100)</f>
        <v>2.2962654108781783E-3</v>
      </c>
      <c r="AX68" s="116">
        <f t="shared" ref="AX68:AX130" si="65">(((AI68*(AU68%))/AI68)*1000)*1000</f>
        <v>2276.5042200418316</v>
      </c>
      <c r="AY68" s="115">
        <f t="shared" ref="AY68:AY98" si="66">1000*((AK164*AU164/100)-0)/0.4</f>
        <v>0.12154743154990365</v>
      </c>
      <c r="AZ68" s="157">
        <f t="shared" ref="AZ68:AZ98" si="67">AY68*1000</f>
        <v>121.54743154990365</v>
      </c>
      <c r="BA68" s="117">
        <f t="shared" ref="BA68:BA98" si="68">AV68*1000</f>
        <v>115.8067680227082</v>
      </c>
      <c r="BB68" s="118">
        <f t="shared" ref="BB68:BB98" si="69">1000*((AK164)-(AK68))/0.4</f>
        <v>6.8799952558497024</v>
      </c>
      <c r="BC68" s="118">
        <f t="shared" ref="BC68:BC98" si="70">1000*((AL164)-(AL68))/0.45</f>
        <v>74.485696476916146</v>
      </c>
      <c r="BD68" s="117">
        <f t="shared" ref="BD68:BD98" si="71">1000*(AK68)</f>
        <v>1.0086804982228339</v>
      </c>
      <c r="BE68" s="14">
        <f t="shared" ref="BE68:BE130" si="72">Y68+(-26.03-AD68)</f>
        <v>-20.47185254083147</v>
      </c>
      <c r="BF68" s="25">
        <v>1.0808848989999</v>
      </c>
      <c r="BG68" s="22">
        <f t="shared" ref="BG68:BG98" si="73">100*0.011237*(BE68/1000+1)/(1+0.011237*(BE68/1000+1))</f>
        <v>1.0887123682142181</v>
      </c>
      <c r="BH68" s="38">
        <f t="shared" ref="BH68:BH130" si="74">BG68-BF68</f>
        <v>7.8274692143180946E-3</v>
      </c>
      <c r="BI68" s="115">
        <f t="shared" ref="BI68:BI98" si="75">1000*((AL164*BH164/100)-(AL68*BH68/100))/0.45</f>
        <v>0.19391133376841621</v>
      </c>
      <c r="BJ68" s="163">
        <f t="shared" ref="BJ68:BJ98" si="76">1000*(AL68*BH68/100)</f>
        <v>9.7401337903588528E-4</v>
      </c>
      <c r="BK68" s="116">
        <f t="shared" ref="BK68:BK98" si="77">(((AJ68*(BH68%))/AJ68)*1000)*1000</f>
        <v>78.274692143180943</v>
      </c>
      <c r="BL68" s="115">
        <f t="shared" ref="BL68:BL98" si="78">1000*((AL164*BH164/100)-0)/0.4</f>
        <v>0.22058528393705792</v>
      </c>
      <c r="BM68" s="157">
        <f t="shared" ref="BM68:BM98" si="79">BL68*1000</f>
        <v>220.58528393705794</v>
      </c>
      <c r="BN68" s="117">
        <f t="shared" ref="BN68:BN98" si="80">BI68*1000</f>
        <v>193.9113337684162</v>
      </c>
      <c r="BO68" s="161">
        <f t="shared" ref="BO68:BO98" si="81">AL68*1000</f>
        <v>12.443528711096162</v>
      </c>
      <c r="BP68" s="161">
        <f t="shared" ref="BP68:BP98" si="82">BC68/BB68</f>
        <v>10.826416837073372</v>
      </c>
    </row>
    <row r="69" spans="1:68" ht="15.75">
      <c r="A69" s="67">
        <v>115</v>
      </c>
      <c r="B69" s="134">
        <v>3</v>
      </c>
      <c r="C69" s="66" t="s">
        <v>415</v>
      </c>
      <c r="D69" s="66" t="s">
        <v>426</v>
      </c>
      <c r="E69" s="66" t="s">
        <v>437</v>
      </c>
      <c r="F69" s="66" t="s">
        <v>411</v>
      </c>
      <c r="G69" s="66"/>
      <c r="H69" s="66" t="s">
        <v>429</v>
      </c>
      <c r="I69" s="66">
        <v>100</v>
      </c>
      <c r="J69" s="66">
        <v>20</v>
      </c>
      <c r="K69" s="66">
        <v>30</v>
      </c>
      <c r="L69" s="66" t="s">
        <v>456</v>
      </c>
      <c r="M69" s="66">
        <v>1</v>
      </c>
      <c r="N69"/>
      <c r="O69"/>
      <c r="P69"/>
      <c r="Q69" s="66">
        <v>20</v>
      </c>
      <c r="R69">
        <v>7.3151593425025165</v>
      </c>
      <c r="S69" s="55">
        <v>5.4148406574974839</v>
      </c>
      <c r="T69" s="80">
        <v>180</v>
      </c>
      <c r="U69" s="80" t="s">
        <v>260</v>
      </c>
      <c r="V69" s="81">
        <v>1.078176</v>
      </c>
      <c r="W69" s="81">
        <v>190.98903274405049</v>
      </c>
      <c r="X69" s="81">
        <v>0.56705537500000003</v>
      </c>
      <c r="Y69" s="81">
        <v>-21.317332574097755</v>
      </c>
      <c r="Z69" s="71" t="s">
        <v>106</v>
      </c>
      <c r="AA69" s="73">
        <v>5.5661983611111108</v>
      </c>
      <c r="AB69" s="73">
        <v>3.0248816727959098</v>
      </c>
      <c r="AC69" s="73">
        <v>3.9982883888888887</v>
      </c>
      <c r="AD69" s="73">
        <v>-25.508901929003891</v>
      </c>
      <c r="AE69" s="73">
        <v>2.2461111111111109</v>
      </c>
      <c r="AF69" s="73">
        <v>2.2461111111111109</v>
      </c>
      <c r="AG69" s="32">
        <f t="shared" si="51"/>
        <v>1.1379460310984945E-2</v>
      </c>
      <c r="AH69" s="32">
        <f t="shared" si="52"/>
        <v>0.25846953038557846</v>
      </c>
      <c r="AI69" s="33">
        <f t="shared" si="53"/>
        <v>1.2269061000256504E-2</v>
      </c>
      <c r="AJ69" s="34">
        <f t="shared" si="54"/>
        <v>0.14656653647886811</v>
      </c>
      <c r="AK69" s="16">
        <f t="shared" si="49"/>
        <v>1.4208677976747187E-3</v>
      </c>
      <c r="AL69" s="16">
        <f t="shared" si="50"/>
        <v>1.6973725364572461E-2</v>
      </c>
      <c r="AM69" s="27">
        <f t="shared" si="55"/>
        <v>1.4208677976747188</v>
      </c>
      <c r="AN69" s="27">
        <f t="shared" si="56"/>
        <v>16.973725364572459</v>
      </c>
      <c r="AO69" s="29" t="e">
        <f t="shared" si="57"/>
        <v>#VALUE!</v>
      </c>
      <c r="AP69" s="29" t="e">
        <f t="shared" si="58"/>
        <v>#VALUE!</v>
      </c>
      <c r="AQ69" s="27">
        <f t="shared" si="59"/>
        <v>11.946027204184892</v>
      </c>
      <c r="AR69" s="14">
        <f t="shared" si="60"/>
        <v>189.94415107125457</v>
      </c>
      <c r="AS69" s="25">
        <v>0.36849740461643371</v>
      </c>
      <c r="AT69" s="22">
        <f t="shared" si="61"/>
        <v>0.43551841019173204</v>
      </c>
      <c r="AU69" s="22">
        <f t="shared" si="62"/>
        <v>6.7021005575298331E-2</v>
      </c>
      <c r="AV69" s="115">
        <f t="shared" si="63"/>
        <v>2.9211232312250396E-2</v>
      </c>
      <c r="AW69" s="163">
        <f t="shared" si="64"/>
        <v>9.5227988589719186E-4</v>
      </c>
      <c r="AX69" s="116">
        <f t="shared" si="65"/>
        <v>670.21005575298318</v>
      </c>
      <c r="AY69" s="115">
        <f t="shared" si="66"/>
        <v>3.1591932026993376E-2</v>
      </c>
      <c r="AZ69" s="157">
        <f t="shared" si="67"/>
        <v>31.591932026993376</v>
      </c>
      <c r="BA69" s="117">
        <f t="shared" si="68"/>
        <v>29.211232312250395</v>
      </c>
      <c r="BB69" s="118">
        <f t="shared" si="69"/>
        <v>8.6414880300220993</v>
      </c>
      <c r="BC69" s="118">
        <f t="shared" si="70"/>
        <v>124.12530016181422</v>
      </c>
      <c r="BD69" s="117">
        <f t="shared" si="71"/>
        <v>1.4208677976747188</v>
      </c>
      <c r="BE69" s="14">
        <f t="shared" si="72"/>
        <v>-21.838430645093865</v>
      </c>
      <c r="BF69" s="25">
        <v>1.0808848989999</v>
      </c>
      <c r="BG69" s="22">
        <f t="shared" si="73"/>
        <v>1.0872099766147112</v>
      </c>
      <c r="BH69" s="38">
        <f t="shared" si="74"/>
        <v>6.3250776148111587E-3</v>
      </c>
      <c r="BI69" s="115">
        <f t="shared" si="75"/>
        <v>4.324740234736496E-2</v>
      </c>
      <c r="BJ69" s="163">
        <f t="shared" si="76"/>
        <v>1.0736013034340964E-3</v>
      </c>
      <c r="BK69" s="116">
        <f t="shared" si="77"/>
        <v>63.250776148111584</v>
      </c>
      <c r="BL69" s="115">
        <f t="shared" si="78"/>
        <v>5.1337330899370821E-2</v>
      </c>
      <c r="BM69" s="157">
        <f t="shared" si="79"/>
        <v>51.337330899370819</v>
      </c>
      <c r="BN69" s="117">
        <f t="shared" si="80"/>
        <v>43.247402347364961</v>
      </c>
      <c r="BO69" s="161">
        <f t="shared" si="81"/>
        <v>16.973725364572459</v>
      </c>
      <c r="BP69" s="161">
        <f t="shared" si="82"/>
        <v>14.363880356089181</v>
      </c>
    </row>
    <row r="70" spans="1:68" ht="15.75">
      <c r="A70" s="67">
        <v>116</v>
      </c>
      <c r="B70" s="134">
        <v>3</v>
      </c>
      <c r="C70" s="66" t="s">
        <v>417</v>
      </c>
      <c r="D70" s="66" t="s">
        <v>420</v>
      </c>
      <c r="E70" s="66" t="s">
        <v>437</v>
      </c>
      <c r="F70" s="66" t="s">
        <v>411</v>
      </c>
      <c r="G70" s="66"/>
      <c r="H70" s="66" t="s">
        <v>429</v>
      </c>
      <c r="I70" s="66">
        <v>100</v>
      </c>
      <c r="J70" s="66">
        <v>20</v>
      </c>
      <c r="K70" s="66">
        <v>30</v>
      </c>
      <c r="L70" s="66" t="s">
        <v>457</v>
      </c>
      <c r="M70" s="66">
        <v>1</v>
      </c>
      <c r="N70"/>
      <c r="O70"/>
      <c r="P70"/>
      <c r="Q70" s="66">
        <v>20</v>
      </c>
      <c r="R70">
        <v>3.4010701107011068</v>
      </c>
      <c r="S70" s="55">
        <v>4.5789298892988937</v>
      </c>
      <c r="T70" s="82">
        <v>181</v>
      </c>
      <c r="U70" s="82" t="s">
        <v>261</v>
      </c>
      <c r="V70" s="83">
        <v>3.8778772500000001</v>
      </c>
      <c r="W70" s="83">
        <v>108.16302696545671</v>
      </c>
      <c r="X70" s="83">
        <v>1.922932125</v>
      </c>
      <c r="Y70" s="83">
        <v>-23.768999665282752</v>
      </c>
      <c r="Z70" s="71" t="s">
        <v>106</v>
      </c>
      <c r="AA70" s="73">
        <v>5.5661983611111108</v>
      </c>
      <c r="AB70" s="73">
        <v>3.0248816727959098</v>
      </c>
      <c r="AC70" s="73">
        <v>3.9982883888888887</v>
      </c>
      <c r="AD70" s="73">
        <v>-25.508901929003891</v>
      </c>
      <c r="AE70" s="73">
        <v>2.2461111111111109</v>
      </c>
      <c r="AF70" s="73">
        <v>2.2461111111111109</v>
      </c>
      <c r="AG70" s="32">
        <f t="shared" si="51"/>
        <v>1.1379460310984945E-2</v>
      </c>
      <c r="AH70" s="32">
        <f t="shared" si="52"/>
        <v>0.25846953038557846</v>
      </c>
      <c r="AI70" s="33">
        <f t="shared" si="53"/>
        <v>4.4128150257246444E-2</v>
      </c>
      <c r="AJ70" s="34">
        <f t="shared" si="54"/>
        <v>0.49701936331209245</v>
      </c>
      <c r="AK70" s="16">
        <f t="shared" si="49"/>
        <v>1.0630210257497651E-2</v>
      </c>
      <c r="AL70" s="16">
        <f t="shared" si="50"/>
        <v>0.11972902338428627</v>
      </c>
      <c r="AM70" s="27">
        <f t="shared" si="55"/>
        <v>10.630210257497652</v>
      </c>
      <c r="AN70" s="27">
        <f t="shared" si="56"/>
        <v>119.72902338428628</v>
      </c>
      <c r="AO70" s="29" t="e">
        <f t="shared" si="57"/>
        <v>#VALUE!</v>
      </c>
      <c r="AP70" s="29" t="e">
        <f t="shared" si="58"/>
        <v>#VALUE!</v>
      </c>
      <c r="AQ70" s="27">
        <f t="shared" si="59"/>
        <v>11.263090802916107</v>
      </c>
      <c r="AR70" s="14">
        <f t="shared" si="60"/>
        <v>107.1181452926608</v>
      </c>
      <c r="AS70" s="25">
        <v>0.36849740461643371</v>
      </c>
      <c r="AT70" s="22">
        <f t="shared" si="61"/>
        <v>0.40532704386513163</v>
      </c>
      <c r="AU70" s="22">
        <f t="shared" si="62"/>
        <v>3.6829639248697921E-2</v>
      </c>
      <c r="AV70" s="115">
        <f t="shared" si="63"/>
        <v>0.10756042572723815</v>
      </c>
      <c r="AW70" s="163">
        <f t="shared" si="64"/>
        <v>3.9150680892144664E-3</v>
      </c>
      <c r="AX70" s="116">
        <f t="shared" si="65"/>
        <v>368.29639248697919</v>
      </c>
      <c r="AY70" s="115">
        <f t="shared" si="66"/>
        <v>0.1173480959502743</v>
      </c>
      <c r="AZ70" s="157">
        <f t="shared" si="67"/>
        <v>117.3480959502743</v>
      </c>
      <c r="BA70" s="117">
        <f t="shared" si="68"/>
        <v>107.56042572723814</v>
      </c>
      <c r="BB70" s="118">
        <f t="shared" si="69"/>
        <v>19.546855293700094</v>
      </c>
      <c r="BC70" s="118">
        <f t="shared" si="70"/>
        <v>149.39955495558138</v>
      </c>
      <c r="BD70" s="117">
        <f t="shared" si="71"/>
        <v>10.630210257497652</v>
      </c>
      <c r="BE70" s="14">
        <f t="shared" si="72"/>
        <v>-24.290097736278863</v>
      </c>
      <c r="BF70" s="25">
        <v>1.0808848989999</v>
      </c>
      <c r="BG70" s="22">
        <f t="shared" si="73"/>
        <v>1.0845145431417298</v>
      </c>
      <c r="BH70" s="38">
        <f t="shared" si="74"/>
        <v>3.6296441418297576E-3</v>
      </c>
      <c r="BI70" s="115">
        <f t="shared" si="75"/>
        <v>0.11512745925166447</v>
      </c>
      <c r="BJ70" s="163">
        <f t="shared" si="76"/>
        <v>4.3457374833377272E-3</v>
      </c>
      <c r="BK70" s="116">
        <f t="shared" si="77"/>
        <v>36.296441418297576</v>
      </c>
      <c r="BL70" s="115">
        <f t="shared" si="78"/>
        <v>0.14038273536646684</v>
      </c>
      <c r="BM70" s="157">
        <f t="shared" si="79"/>
        <v>140.38273536646685</v>
      </c>
      <c r="BN70" s="117">
        <f t="shared" si="80"/>
        <v>115.12745925166446</v>
      </c>
      <c r="BO70" s="161">
        <f t="shared" si="81"/>
        <v>119.72902338428628</v>
      </c>
      <c r="BP70" s="161">
        <f t="shared" si="82"/>
        <v>7.6431504050542856</v>
      </c>
    </row>
    <row r="71" spans="1:68" ht="15.75">
      <c r="A71" s="67">
        <v>117</v>
      </c>
      <c r="B71" s="134">
        <v>3</v>
      </c>
      <c r="C71" s="66" t="s">
        <v>419</v>
      </c>
      <c r="D71" s="66" t="s">
        <v>422</v>
      </c>
      <c r="E71" s="66" t="s">
        <v>437</v>
      </c>
      <c r="F71" s="66" t="s">
        <v>411</v>
      </c>
      <c r="G71" s="66"/>
      <c r="H71" s="66" t="s">
        <v>429</v>
      </c>
      <c r="I71" s="66">
        <v>100</v>
      </c>
      <c r="J71" s="66">
        <v>20</v>
      </c>
      <c r="K71" s="66">
        <v>30</v>
      </c>
      <c r="L71" s="66" t="s">
        <v>458</v>
      </c>
      <c r="M71" s="66">
        <v>1</v>
      </c>
      <c r="N71"/>
      <c r="O71"/>
      <c r="P71"/>
      <c r="Q71" s="66">
        <v>20</v>
      </c>
      <c r="R71">
        <v>3.3693975903614461</v>
      </c>
      <c r="S71" s="55">
        <v>1.3706024096385543</v>
      </c>
      <c r="T71" s="80">
        <v>182</v>
      </c>
      <c r="U71" s="80" t="s">
        <v>262</v>
      </c>
      <c r="V71" s="81">
        <v>1.2636810000000001</v>
      </c>
      <c r="W71" s="81">
        <v>133.43934990504115</v>
      </c>
      <c r="X71" s="81">
        <v>0.79336068749999999</v>
      </c>
      <c r="Y71" s="81">
        <v>-20.960908559916579</v>
      </c>
      <c r="Z71" s="71" t="s">
        <v>106</v>
      </c>
      <c r="AA71" s="73">
        <v>5.5661983611111108</v>
      </c>
      <c r="AB71" s="73">
        <v>3.0248816727959098</v>
      </c>
      <c r="AC71" s="73">
        <v>3.9982883888888887</v>
      </c>
      <c r="AD71" s="73">
        <v>-25.508901929003891</v>
      </c>
      <c r="AE71" s="73">
        <v>2.2461111111111109</v>
      </c>
      <c r="AF71" s="73">
        <v>2.2461111111111109</v>
      </c>
      <c r="AG71" s="32">
        <f t="shared" si="51"/>
        <v>1.1379460310984945E-2</v>
      </c>
      <c r="AH71" s="32">
        <f t="shared" si="52"/>
        <v>0.25846953038557846</v>
      </c>
      <c r="AI71" s="33">
        <f t="shared" si="53"/>
        <v>1.4380007785245768E-2</v>
      </c>
      <c r="AJ71" s="34">
        <f t="shared" si="54"/>
        <v>0.20505956432450467</v>
      </c>
      <c r="AK71" s="16">
        <f t="shared" si="49"/>
        <v>3.0402015076828447E-3</v>
      </c>
      <c r="AL71" s="16">
        <f t="shared" si="50"/>
        <v>4.3353411620805422E-2</v>
      </c>
      <c r="AM71" s="27">
        <f t="shared" si="55"/>
        <v>3.0402015076828448</v>
      </c>
      <c r="AN71" s="27">
        <f t="shared" si="56"/>
        <v>43.353411620805424</v>
      </c>
      <c r="AO71" s="29" t="e">
        <f t="shared" si="57"/>
        <v>#VALUE!</v>
      </c>
      <c r="AP71" s="29" t="e">
        <f t="shared" si="58"/>
        <v>#VALUE!</v>
      </c>
      <c r="AQ71" s="27">
        <f t="shared" si="59"/>
        <v>14.260045431609619</v>
      </c>
      <c r="AR71" s="14">
        <f t="shared" si="60"/>
        <v>132.39446823224523</v>
      </c>
      <c r="AS71" s="25">
        <v>0.36849740461643371</v>
      </c>
      <c r="AT71" s="22">
        <f t="shared" si="61"/>
        <v>0.41454259748634653</v>
      </c>
      <c r="AU71" s="22">
        <f t="shared" si="62"/>
        <v>4.6045192869912821E-2</v>
      </c>
      <c r="AV71" s="115">
        <f t="shared" si="63"/>
        <v>0.13509944838229018</v>
      </c>
      <c r="AW71" s="163">
        <f t="shared" si="64"/>
        <v>1.3998666478465633E-3</v>
      </c>
      <c r="AX71" s="116">
        <f t="shared" si="65"/>
        <v>460.45192869912819</v>
      </c>
      <c r="AY71" s="115">
        <f t="shared" si="66"/>
        <v>0.13859911500190658</v>
      </c>
      <c r="AZ71" s="157">
        <f t="shared" si="67"/>
        <v>138.59911500190657</v>
      </c>
      <c r="BA71" s="117">
        <f t="shared" si="68"/>
        <v>135.09944838229018</v>
      </c>
      <c r="BB71" s="118">
        <f t="shared" si="69"/>
        <v>11.735552634055173</v>
      </c>
      <c r="BC71" s="118">
        <f t="shared" si="70"/>
        <v>114.43963156664317</v>
      </c>
      <c r="BD71" s="117">
        <f t="shared" si="71"/>
        <v>3.0402015076828448</v>
      </c>
      <c r="BE71" s="14">
        <f t="shared" si="72"/>
        <v>-21.482006630912689</v>
      </c>
      <c r="BF71" s="25">
        <v>1.0808848989999</v>
      </c>
      <c r="BG71" s="22">
        <f t="shared" si="73"/>
        <v>1.0876018272197905</v>
      </c>
      <c r="BH71" s="38">
        <f t="shared" si="74"/>
        <v>6.7169282198904501E-3</v>
      </c>
      <c r="BI71" s="115">
        <f t="shared" si="75"/>
        <v>0.13594672786202494</v>
      </c>
      <c r="BJ71" s="163">
        <f t="shared" si="76"/>
        <v>2.9120175394431454E-3</v>
      </c>
      <c r="BK71" s="116">
        <f t="shared" si="77"/>
        <v>67.169282198904497</v>
      </c>
      <c r="BL71" s="115">
        <f t="shared" si="78"/>
        <v>0.1602201126933859</v>
      </c>
      <c r="BM71" s="157">
        <f t="shared" si="79"/>
        <v>160.22011269338591</v>
      </c>
      <c r="BN71" s="117">
        <f t="shared" si="80"/>
        <v>135.94672786202494</v>
      </c>
      <c r="BO71" s="161">
        <f t="shared" si="81"/>
        <v>43.353411620805424</v>
      </c>
      <c r="BP71" s="161">
        <f t="shared" si="82"/>
        <v>9.7515332370929872</v>
      </c>
    </row>
    <row r="72" spans="1:68" ht="15.75">
      <c r="A72" s="67">
        <v>118</v>
      </c>
      <c r="B72" s="134">
        <v>3</v>
      </c>
      <c r="C72" s="66" t="s">
        <v>421</v>
      </c>
      <c r="D72" s="66" t="s">
        <v>424</v>
      </c>
      <c r="E72" s="66" t="s">
        <v>437</v>
      </c>
      <c r="F72" s="66" t="s">
        <v>411</v>
      </c>
      <c r="G72" s="66"/>
      <c r="H72" s="66" t="s">
        <v>429</v>
      </c>
      <c r="I72" s="66">
        <v>100</v>
      </c>
      <c r="J72" s="66">
        <v>20</v>
      </c>
      <c r="K72" s="66">
        <v>30</v>
      </c>
      <c r="L72" s="66" t="s">
        <v>459</v>
      </c>
      <c r="M72" s="66">
        <v>1</v>
      </c>
      <c r="N72"/>
      <c r="O72"/>
      <c r="P72"/>
      <c r="Q72" s="66">
        <v>20</v>
      </c>
      <c r="R72">
        <v>3.0773730684326712</v>
      </c>
      <c r="S72" s="55">
        <v>2.6126269315673292</v>
      </c>
      <c r="T72" s="82">
        <v>183</v>
      </c>
      <c r="U72" s="82" t="s">
        <v>263</v>
      </c>
      <c r="V72" s="83">
        <v>0.95738449999999997</v>
      </c>
      <c r="W72" s="83">
        <v>352.95992099036192</v>
      </c>
      <c r="X72" s="83">
        <v>0.57105131249999996</v>
      </c>
      <c r="Y72" s="83">
        <v>-16.057729069449401</v>
      </c>
      <c r="Z72" s="71" t="s">
        <v>106</v>
      </c>
      <c r="AA72" s="73">
        <v>5.5661983611111108</v>
      </c>
      <c r="AB72" s="73">
        <v>3.0248816727959098</v>
      </c>
      <c r="AC72" s="73">
        <v>3.9982883888888887</v>
      </c>
      <c r="AD72" s="73">
        <v>-25.508901929003891</v>
      </c>
      <c r="AE72" s="73">
        <v>2.2461111111111109</v>
      </c>
      <c r="AF72" s="73">
        <v>2.2461111111111109</v>
      </c>
      <c r="AG72" s="32">
        <f t="shared" si="51"/>
        <v>1.1379460310984945E-2</v>
      </c>
      <c r="AH72" s="32">
        <f t="shared" si="52"/>
        <v>0.25846953038557846</v>
      </c>
      <c r="AI72" s="33">
        <f t="shared" si="53"/>
        <v>1.0894518920102167E-2</v>
      </c>
      <c r="AJ72" s="34">
        <f t="shared" si="54"/>
        <v>0.1475993645679432</v>
      </c>
      <c r="AK72" s="16">
        <f t="shared" si="49"/>
        <v>2.6684414104813305E-3</v>
      </c>
      <c r="AL72" s="16">
        <f t="shared" si="50"/>
        <v>3.6152147649869508E-2</v>
      </c>
      <c r="AM72" s="27">
        <f t="shared" si="55"/>
        <v>2.6684414104813303</v>
      </c>
      <c r="AN72" s="27">
        <f t="shared" si="56"/>
        <v>36.152147649869505</v>
      </c>
      <c r="AO72" s="29" t="e">
        <f t="shared" si="57"/>
        <v>#VALUE!</v>
      </c>
      <c r="AP72" s="29" t="e">
        <f t="shared" si="58"/>
        <v>#VALUE!</v>
      </c>
      <c r="AQ72" s="27">
        <f t="shared" si="59"/>
        <v>13.548038756956791</v>
      </c>
      <c r="AR72" s="14">
        <f t="shared" si="60"/>
        <v>351.91503931756603</v>
      </c>
      <c r="AS72" s="25">
        <v>0.36849740461643371</v>
      </c>
      <c r="AT72" s="22">
        <f t="shared" si="61"/>
        <v>0.49450644957706241</v>
      </c>
      <c r="AU72" s="22">
        <f t="shared" si="62"/>
        <v>0.1260090449606287</v>
      </c>
      <c r="AV72" s="115">
        <f t="shared" si="63"/>
        <v>8.4637912700270157E-2</v>
      </c>
      <c r="AW72" s="163">
        <f t="shared" si="64"/>
        <v>3.3624775366814545E-3</v>
      </c>
      <c r="AX72" s="116">
        <f t="shared" si="65"/>
        <v>1260.0904496062869</v>
      </c>
      <c r="AY72" s="115">
        <f t="shared" si="66"/>
        <v>9.3044106541973787E-2</v>
      </c>
      <c r="AZ72" s="157">
        <f t="shared" si="67"/>
        <v>93.04410654197379</v>
      </c>
      <c r="BA72" s="117">
        <f t="shared" si="68"/>
        <v>84.637912700270164</v>
      </c>
      <c r="BB72" s="118">
        <f t="shared" si="69"/>
        <v>3.7396205835241894</v>
      </c>
      <c r="BC72" s="118">
        <f t="shared" si="70"/>
        <v>48.370929560532019</v>
      </c>
      <c r="BD72" s="117">
        <f t="shared" si="71"/>
        <v>2.6684414104813303</v>
      </c>
      <c r="BE72" s="14">
        <f t="shared" si="72"/>
        <v>-16.578827140445512</v>
      </c>
      <c r="BF72" s="25">
        <v>1.0808848989999</v>
      </c>
      <c r="BG72" s="22">
        <f t="shared" si="73"/>
        <v>1.0929920407324598</v>
      </c>
      <c r="BH72" s="38">
        <f t="shared" si="74"/>
        <v>1.2107141732559779E-2</v>
      </c>
      <c r="BI72" s="115">
        <f t="shared" si="75"/>
        <v>0.12282831832280905</v>
      </c>
      <c r="BJ72" s="163">
        <f t="shared" si="76"/>
        <v>4.3769917553339805E-3</v>
      </c>
      <c r="BK72" s="116">
        <f t="shared" si="77"/>
        <v>121.07141732559779</v>
      </c>
      <c r="BL72" s="115">
        <f t="shared" si="78"/>
        <v>0.14912433750149509</v>
      </c>
      <c r="BM72" s="157">
        <f t="shared" si="79"/>
        <v>149.12433750149509</v>
      </c>
      <c r="BN72" s="117">
        <f t="shared" si="80"/>
        <v>122.82831832280905</v>
      </c>
      <c r="BO72" s="161">
        <f t="shared" si="81"/>
        <v>36.152147649869505</v>
      </c>
      <c r="BP72" s="161">
        <f t="shared" si="82"/>
        <v>12.934715830167891</v>
      </c>
    </row>
    <row r="73" spans="1:68" ht="15.75">
      <c r="A73" s="67">
        <v>119</v>
      </c>
      <c r="B73" s="134">
        <v>3</v>
      </c>
      <c r="C73" s="66" t="s">
        <v>423</v>
      </c>
      <c r="D73" s="66" t="s">
        <v>414</v>
      </c>
      <c r="E73" s="66" t="s">
        <v>437</v>
      </c>
      <c r="F73" s="66" t="s">
        <v>411</v>
      </c>
      <c r="G73" s="66"/>
      <c r="H73" s="66" t="s">
        <v>429</v>
      </c>
      <c r="I73" s="66">
        <v>100</v>
      </c>
      <c r="J73" s="66">
        <v>20</v>
      </c>
      <c r="K73" s="66">
        <v>30</v>
      </c>
      <c r="L73" s="66" t="s">
        <v>460</v>
      </c>
      <c r="M73" s="66">
        <v>1</v>
      </c>
      <c r="N73"/>
      <c r="O73"/>
      <c r="P73"/>
      <c r="Q73" s="66">
        <v>20</v>
      </c>
      <c r="R73">
        <v>6.3367787021630599</v>
      </c>
      <c r="S73" s="55">
        <v>5.4832212978369395</v>
      </c>
      <c r="T73" s="80">
        <v>184</v>
      </c>
      <c r="U73" s="80" t="s">
        <v>264</v>
      </c>
      <c r="V73" s="81">
        <v>1.5689911249999999</v>
      </c>
      <c r="W73" s="81">
        <v>1914.2941775921681</v>
      </c>
      <c r="X73" s="81">
        <v>0.81720199999999998</v>
      </c>
      <c r="Y73" s="81">
        <v>1.4981039274559367</v>
      </c>
      <c r="Z73" s="71" t="s">
        <v>106</v>
      </c>
      <c r="AA73" s="73">
        <v>5.5661983611111108</v>
      </c>
      <c r="AB73" s="73">
        <v>3.0248816727959098</v>
      </c>
      <c r="AC73" s="73">
        <v>3.9982883888888887</v>
      </c>
      <c r="AD73" s="73">
        <v>-25.508901929003891</v>
      </c>
      <c r="AE73" s="73">
        <v>2.2461111111111109</v>
      </c>
      <c r="AF73" s="73">
        <v>2.2461111111111109</v>
      </c>
      <c r="AG73" s="32">
        <f t="shared" si="51"/>
        <v>1.1379460310984945E-2</v>
      </c>
      <c r="AH73" s="32">
        <f t="shared" si="52"/>
        <v>0.25846953038557846</v>
      </c>
      <c r="AI73" s="33">
        <f t="shared" si="53"/>
        <v>1.7854272235225118E-2</v>
      </c>
      <c r="AJ73" s="34">
        <f t="shared" si="54"/>
        <v>0.21122181717015548</v>
      </c>
      <c r="AK73" s="16">
        <f t="shared" si="49"/>
        <v>2.3933525842647178E-3</v>
      </c>
      <c r="AL73" s="16">
        <f t="shared" si="50"/>
        <v>2.8314135424680743E-2</v>
      </c>
      <c r="AM73" s="27">
        <f t="shared" si="55"/>
        <v>2.3933525842647176</v>
      </c>
      <c r="AN73" s="27">
        <f t="shared" si="56"/>
        <v>28.314135424680742</v>
      </c>
      <c r="AO73" s="29" t="e">
        <f t="shared" si="57"/>
        <v>#VALUE!</v>
      </c>
      <c r="AP73" s="29" t="e">
        <f t="shared" si="58"/>
        <v>#VALUE!</v>
      </c>
      <c r="AQ73" s="27">
        <f t="shared" si="59"/>
        <v>11.830323543147893</v>
      </c>
      <c r="AR73" s="14">
        <f t="shared" si="60"/>
        <v>1913.2492959193721</v>
      </c>
      <c r="AS73" s="25">
        <v>0.36849740461643371</v>
      </c>
      <c r="AT73" s="22">
        <f t="shared" si="61"/>
        <v>1.0595634653980848</v>
      </c>
      <c r="AU73" s="22">
        <f t="shared" si="62"/>
        <v>0.691066060781651</v>
      </c>
      <c r="AV73" s="115">
        <f t="shared" si="63"/>
        <v>1.0641970592030391E-2</v>
      </c>
      <c r="AW73" s="163">
        <f t="shared" si="64"/>
        <v>1.6539647424694031E-2</v>
      </c>
      <c r="AX73" s="116">
        <f t="shared" si="65"/>
        <v>6910.6606078165096</v>
      </c>
      <c r="AY73" s="115">
        <f t="shared" si="66"/>
        <v>5.199108915376547E-2</v>
      </c>
      <c r="AZ73" s="157">
        <f t="shared" si="67"/>
        <v>51.991089153765472</v>
      </c>
      <c r="BA73" s="117">
        <f t="shared" si="68"/>
        <v>10.64197059203039</v>
      </c>
      <c r="BB73" s="118">
        <f t="shared" si="69"/>
        <v>6.723010980462468</v>
      </c>
      <c r="BC73" s="118">
        <f t="shared" si="70"/>
        <v>98.464288736058961</v>
      </c>
      <c r="BD73" s="117">
        <f t="shared" si="71"/>
        <v>2.3933525842647176</v>
      </c>
      <c r="BE73" s="14">
        <f t="shared" si="72"/>
        <v>0.97700585645982607</v>
      </c>
      <c r="BF73" s="25">
        <v>1.0808848989999</v>
      </c>
      <c r="BG73" s="22">
        <f t="shared" si="73"/>
        <v>1.1122868824139791</v>
      </c>
      <c r="BH73" s="38">
        <f t="shared" si="74"/>
        <v>3.1401983414079071E-2</v>
      </c>
      <c r="BI73" s="115">
        <f t="shared" si="75"/>
        <v>5.2146497253626425E-2</v>
      </c>
      <c r="BJ73" s="163">
        <f t="shared" si="76"/>
        <v>8.8912001098981324E-3</v>
      </c>
      <c r="BK73" s="116">
        <f t="shared" si="77"/>
        <v>314.01983414079069</v>
      </c>
      <c r="BL73" s="115">
        <f t="shared" si="78"/>
        <v>8.0892809685075076E-2</v>
      </c>
      <c r="BM73" s="157">
        <f t="shared" si="79"/>
        <v>80.892809685075079</v>
      </c>
      <c r="BN73" s="117">
        <f t="shared" si="80"/>
        <v>52.146497253626428</v>
      </c>
      <c r="BO73" s="161">
        <f t="shared" si="81"/>
        <v>28.314135424680742</v>
      </c>
      <c r="BP73" s="161">
        <f t="shared" si="82"/>
        <v>14.645861656659934</v>
      </c>
    </row>
    <row r="74" spans="1:68" ht="15.75">
      <c r="A74" s="67">
        <v>120</v>
      </c>
      <c r="B74" s="134">
        <v>3</v>
      </c>
      <c r="C74" s="66" t="s">
        <v>425</v>
      </c>
      <c r="D74" s="66" t="s">
        <v>409</v>
      </c>
      <c r="E74" s="66" t="s">
        <v>437</v>
      </c>
      <c r="F74" s="66" t="s">
        <v>411</v>
      </c>
      <c r="G74" s="66"/>
      <c r="H74" s="66" t="s">
        <v>429</v>
      </c>
      <c r="I74" s="66">
        <v>100</v>
      </c>
      <c r="J74" s="66">
        <v>20</v>
      </c>
      <c r="K74" s="66">
        <v>30</v>
      </c>
      <c r="L74" s="66" t="s">
        <v>461</v>
      </c>
      <c r="M74" s="66">
        <v>1</v>
      </c>
      <c r="N74"/>
      <c r="O74"/>
      <c r="P74"/>
      <c r="Q74" s="66">
        <v>20</v>
      </c>
      <c r="R74">
        <v>4.2045993031358897</v>
      </c>
      <c r="S74" s="55">
        <v>4.1754006968641111</v>
      </c>
      <c r="T74" s="82">
        <v>185</v>
      </c>
      <c r="U74" s="82" t="s">
        <v>265</v>
      </c>
      <c r="V74" s="83">
        <v>1.6754102500000001</v>
      </c>
      <c r="W74" s="83">
        <v>344.67095933210004</v>
      </c>
      <c r="X74" s="83">
        <v>0.93553350000000002</v>
      </c>
      <c r="Y74" s="83">
        <v>-14.582677812656749</v>
      </c>
      <c r="Z74" s="71" t="s">
        <v>106</v>
      </c>
      <c r="AA74" s="73">
        <v>5.5661983611111108</v>
      </c>
      <c r="AB74" s="73">
        <v>3.0248816727959098</v>
      </c>
      <c r="AC74" s="73">
        <v>3.9982883888888887</v>
      </c>
      <c r="AD74" s="73">
        <v>-25.508901929003891</v>
      </c>
      <c r="AE74" s="73">
        <v>2.2461111111111109</v>
      </c>
      <c r="AF74" s="73">
        <v>2.2461111111111109</v>
      </c>
      <c r="AG74" s="32">
        <f t="shared" si="51"/>
        <v>1.1379460310984945E-2</v>
      </c>
      <c r="AH74" s="32">
        <f t="shared" si="52"/>
        <v>0.25846953038557846</v>
      </c>
      <c r="AI74" s="33">
        <f t="shared" si="53"/>
        <v>1.9065264444492365E-2</v>
      </c>
      <c r="AJ74" s="34">
        <f t="shared" si="54"/>
        <v>0.24180690440497657</v>
      </c>
      <c r="AK74" s="16">
        <f t="shared" si="49"/>
        <v>3.654017692748362E-3</v>
      </c>
      <c r="AL74" s="16">
        <f t="shared" si="50"/>
        <v>4.6344319508232361E-2</v>
      </c>
      <c r="AM74" s="27">
        <f t="shared" si="55"/>
        <v>3.6540176927483619</v>
      </c>
      <c r="AN74" s="27">
        <f t="shared" si="56"/>
        <v>46.34431950823236</v>
      </c>
      <c r="AO74" s="29" t="e">
        <f t="shared" si="57"/>
        <v>#VALUE!</v>
      </c>
      <c r="AP74" s="29" t="e">
        <f t="shared" si="58"/>
        <v>#VALUE!</v>
      </c>
      <c r="AQ74" s="27">
        <f t="shared" si="59"/>
        <v>12.683113056678872</v>
      </c>
      <c r="AR74" s="14">
        <f t="shared" si="60"/>
        <v>343.62607765930414</v>
      </c>
      <c r="AS74" s="25">
        <v>0.36849740461643371</v>
      </c>
      <c r="AT74" s="22">
        <f t="shared" si="61"/>
        <v>0.4914893967285992</v>
      </c>
      <c r="AU74" s="22">
        <f t="shared" si="62"/>
        <v>0.12299199211216549</v>
      </c>
      <c r="AV74" s="115">
        <f t="shared" si="63"/>
        <v>7.1001368158326958E-2</v>
      </c>
      <c r="AW74" s="163">
        <f t="shared" si="64"/>
        <v>4.4941491524421971E-3</v>
      </c>
      <c r="AX74" s="116">
        <f t="shared" si="65"/>
        <v>1229.9199211216549</v>
      </c>
      <c r="AY74" s="115">
        <f t="shared" si="66"/>
        <v>8.2236741039432446E-2</v>
      </c>
      <c r="AZ74" s="157">
        <f t="shared" si="67"/>
        <v>82.236741039432445</v>
      </c>
      <c r="BA74" s="117">
        <f t="shared" si="68"/>
        <v>71.001368158326954</v>
      </c>
      <c r="BB74" s="118">
        <f t="shared" si="69"/>
        <v>5.0029732795298614</v>
      </c>
      <c r="BC74" s="118">
        <f t="shared" si="70"/>
        <v>79.003598097909588</v>
      </c>
      <c r="BD74" s="117">
        <f t="shared" si="71"/>
        <v>3.6540176927483619</v>
      </c>
      <c r="BE74" s="14">
        <f t="shared" si="72"/>
        <v>-15.10377588365286</v>
      </c>
      <c r="BF74" s="25">
        <v>1.0808848989999</v>
      </c>
      <c r="BG74" s="22">
        <f t="shared" si="73"/>
        <v>1.0946134942434491</v>
      </c>
      <c r="BH74" s="38">
        <f t="shared" si="74"/>
        <v>1.372859524354908E-2</v>
      </c>
      <c r="BI74" s="115">
        <f t="shared" si="75"/>
        <v>0.10342851248833185</v>
      </c>
      <c r="BJ74" s="163">
        <f t="shared" si="76"/>
        <v>6.362424043662376E-3</v>
      </c>
      <c r="BK74" s="116">
        <f t="shared" si="77"/>
        <v>137.2859524354908</v>
      </c>
      <c r="BL74" s="115">
        <f t="shared" si="78"/>
        <v>0.13226313665852926</v>
      </c>
      <c r="BM74" s="157">
        <f t="shared" si="79"/>
        <v>132.26313665852925</v>
      </c>
      <c r="BN74" s="117">
        <f t="shared" si="80"/>
        <v>103.42851248833185</v>
      </c>
      <c r="BO74" s="161">
        <f t="shared" si="81"/>
        <v>46.34431950823236</v>
      </c>
      <c r="BP74" s="161">
        <f t="shared" si="82"/>
        <v>15.79132921240261</v>
      </c>
    </row>
    <row r="75" spans="1:68" ht="15.75">
      <c r="A75" s="67">
        <v>121</v>
      </c>
      <c r="B75" s="134">
        <v>4</v>
      </c>
      <c r="C75" s="66" t="s">
        <v>408</v>
      </c>
      <c r="D75" s="66" t="s">
        <v>416</v>
      </c>
      <c r="E75" s="66" t="s">
        <v>437</v>
      </c>
      <c r="F75" s="66" t="s">
        <v>411</v>
      </c>
      <c r="G75" s="66"/>
      <c r="H75" s="66" t="s">
        <v>430</v>
      </c>
      <c r="I75" s="66">
        <v>100</v>
      </c>
      <c r="J75" s="66">
        <v>20</v>
      </c>
      <c r="K75" s="66">
        <v>30</v>
      </c>
      <c r="L75" s="66" t="s">
        <v>462</v>
      </c>
      <c r="M75" s="66">
        <v>1</v>
      </c>
      <c r="N75"/>
      <c r="O75"/>
      <c r="P75"/>
      <c r="Q75" s="66">
        <v>20</v>
      </c>
      <c r="R75">
        <v>4.7290033222591372</v>
      </c>
      <c r="S75" s="55">
        <v>3.4909966777408634</v>
      </c>
      <c r="T75" s="80">
        <v>186</v>
      </c>
      <c r="U75" s="80" t="s">
        <v>266</v>
      </c>
      <c r="V75" s="81">
        <v>2.22115975</v>
      </c>
      <c r="W75" s="81">
        <v>2515.1273439899387</v>
      </c>
      <c r="X75" s="81">
        <v>1.2072130000000001</v>
      </c>
      <c r="Y75" s="81">
        <v>-19.747439956361998</v>
      </c>
      <c r="Z75" s="71" t="s">
        <v>54</v>
      </c>
      <c r="AA75" s="73">
        <v>5.5661983611111108</v>
      </c>
      <c r="AB75" s="73">
        <v>3.0248816727959098</v>
      </c>
      <c r="AC75" s="73">
        <v>3.9982883888888887</v>
      </c>
      <c r="AD75" s="73">
        <v>-25.508901929003891</v>
      </c>
      <c r="AE75" s="73">
        <v>2.2461111111111109</v>
      </c>
      <c r="AF75" s="73">
        <v>2.2461111111111109</v>
      </c>
      <c r="AG75" s="32">
        <f t="shared" si="51"/>
        <v>1.1379460310984945E-2</v>
      </c>
      <c r="AH75" s="32">
        <f t="shared" si="52"/>
        <v>0.25846953038557846</v>
      </c>
      <c r="AI75" s="33">
        <f t="shared" si="53"/>
        <v>2.5275599219482244E-2</v>
      </c>
      <c r="AJ75" s="34">
        <f t="shared" si="54"/>
        <v>0.31202777718536534</v>
      </c>
      <c r="AK75" s="16">
        <f t="shared" si="49"/>
        <v>4.1851596543823208E-3</v>
      </c>
      <c r="AL75" s="16">
        <f t="shared" si="50"/>
        <v>5.166587952210526E-2</v>
      </c>
      <c r="AM75" s="27">
        <f t="shared" si="55"/>
        <v>4.1851596543823204</v>
      </c>
      <c r="AN75" s="27">
        <f t="shared" si="56"/>
        <v>51.665879522105257</v>
      </c>
      <c r="AO75" s="29" t="e">
        <f t="shared" si="57"/>
        <v>#VALUE!</v>
      </c>
      <c r="AP75" s="29" t="e">
        <f t="shared" si="58"/>
        <v>#VALUE!</v>
      </c>
      <c r="AQ75" s="27">
        <f t="shared" si="59"/>
        <v>12.345019972656342</v>
      </c>
      <c r="AR75" s="14">
        <f t="shared" si="60"/>
        <v>2514.0824623171429</v>
      </c>
      <c r="AS75" s="25">
        <v>0.36849740461643371</v>
      </c>
      <c r="AT75" s="22">
        <f t="shared" si="61"/>
        <v>1.2753026504866389</v>
      </c>
      <c r="AU75" s="22">
        <f t="shared" si="62"/>
        <v>0.90680524587020517</v>
      </c>
      <c r="AV75" s="115">
        <f t="shared" si="63"/>
        <v>0.21955578665577757</v>
      </c>
      <c r="AW75" s="163">
        <f t="shared" si="64"/>
        <v>3.7951247293982228E-2</v>
      </c>
      <c r="AX75" s="116">
        <f t="shared" si="65"/>
        <v>9068.0524587020518</v>
      </c>
      <c r="AY75" s="115">
        <f t="shared" si="66"/>
        <v>0.31443390489073314</v>
      </c>
      <c r="AZ75" s="157">
        <f t="shared" si="67"/>
        <v>314.43390489073312</v>
      </c>
      <c r="BA75" s="117">
        <f t="shared" si="68"/>
        <v>219.55578665577758</v>
      </c>
      <c r="BB75" s="118">
        <f t="shared" si="69"/>
        <v>17.077725840006238</v>
      </c>
      <c r="BC75" s="118">
        <f t="shared" si="70"/>
        <v>141.56727080995478</v>
      </c>
      <c r="BD75" s="117">
        <f t="shared" si="71"/>
        <v>4.1851596543823204</v>
      </c>
      <c r="BE75" s="14">
        <f t="shared" si="72"/>
        <v>-20.268538027358108</v>
      </c>
      <c r="BF75" s="25">
        <v>1.0808848989999</v>
      </c>
      <c r="BG75" s="22">
        <f t="shared" si="73"/>
        <v>1.0889358846647426</v>
      </c>
      <c r="BH75" s="38">
        <f t="shared" si="74"/>
        <v>8.0509856648425249E-3</v>
      </c>
      <c r="BI75" s="115">
        <f t="shared" si="75"/>
        <v>0.41127817208750794</v>
      </c>
      <c r="BJ75" s="163">
        <f t="shared" si="76"/>
        <v>4.1596125539395045E-3</v>
      </c>
      <c r="BK75" s="116">
        <f t="shared" si="77"/>
        <v>80.509856648425256</v>
      </c>
      <c r="BL75" s="115">
        <f t="shared" si="78"/>
        <v>0.47308697498329516</v>
      </c>
      <c r="BM75" s="157">
        <f t="shared" si="79"/>
        <v>473.08697498329514</v>
      </c>
      <c r="BN75" s="117">
        <f t="shared" si="80"/>
        <v>411.27817208750793</v>
      </c>
      <c r="BO75" s="161">
        <f t="shared" si="81"/>
        <v>51.665879522105257</v>
      </c>
      <c r="BP75" s="161">
        <f t="shared" si="82"/>
        <v>8.2895856354784456</v>
      </c>
    </row>
    <row r="76" spans="1:68" ht="15.75">
      <c r="A76" s="67">
        <v>122</v>
      </c>
      <c r="B76" s="134">
        <v>4</v>
      </c>
      <c r="C76" s="66" t="s">
        <v>413</v>
      </c>
      <c r="D76" s="66" t="s">
        <v>409</v>
      </c>
      <c r="E76" s="66" t="s">
        <v>437</v>
      </c>
      <c r="F76" s="66" t="s">
        <v>411</v>
      </c>
      <c r="G76" s="66"/>
      <c r="H76" s="66" t="s">
        <v>430</v>
      </c>
      <c r="I76" s="66">
        <v>100</v>
      </c>
      <c r="J76" s="66">
        <v>20</v>
      </c>
      <c r="K76" s="66">
        <v>30</v>
      </c>
      <c r="L76" s="66" t="s">
        <v>463</v>
      </c>
      <c r="M76" s="66">
        <v>1</v>
      </c>
      <c r="N76"/>
      <c r="O76"/>
      <c r="P76"/>
      <c r="Q76" s="66">
        <v>20</v>
      </c>
      <c r="R76">
        <v>3.4315231788079466</v>
      </c>
      <c r="S76" s="55">
        <v>1.6484768211920535</v>
      </c>
      <c r="T76" s="82">
        <v>187</v>
      </c>
      <c r="U76" s="82" t="s">
        <v>267</v>
      </c>
      <c r="V76" s="83">
        <v>5.2232554999999996</v>
      </c>
      <c r="W76" s="83">
        <v>1086.4698484739015</v>
      </c>
      <c r="X76" s="83">
        <v>2.8112322500000002</v>
      </c>
      <c r="Y76" s="83">
        <v>-1.8403625748692252</v>
      </c>
      <c r="Z76" s="71" t="s">
        <v>106</v>
      </c>
      <c r="AA76" s="73">
        <v>5.5661983611111108</v>
      </c>
      <c r="AB76" s="73">
        <v>3.0248816727959098</v>
      </c>
      <c r="AC76" s="73">
        <v>3.9982883888888887</v>
      </c>
      <c r="AD76" s="73">
        <v>-25.508901929003891</v>
      </c>
      <c r="AE76" s="73">
        <v>2.2461111111111109</v>
      </c>
      <c r="AF76" s="73">
        <v>2.2461111111111109</v>
      </c>
      <c r="AG76" s="32">
        <f t="shared" si="51"/>
        <v>1.1379460310984945E-2</v>
      </c>
      <c r="AH76" s="32">
        <f t="shared" si="52"/>
        <v>0.25846953038557846</v>
      </c>
      <c r="AI76" s="33">
        <f t="shared" si="53"/>
        <v>5.943782865638382E-2</v>
      </c>
      <c r="AJ76" s="34">
        <f t="shared" si="54"/>
        <v>0.72661787946229317</v>
      </c>
      <c r="AK76" s="16">
        <f t="shared" si="49"/>
        <v>1.2499196313328333E-2</v>
      </c>
      <c r="AL76" s="16">
        <f t="shared" si="50"/>
        <v>0.15280066121995009</v>
      </c>
      <c r="AM76" s="27">
        <f t="shared" si="55"/>
        <v>12.499196313328333</v>
      </c>
      <c r="AN76" s="27">
        <f t="shared" si="56"/>
        <v>152.80066121995009</v>
      </c>
      <c r="AO76" s="29" t="e">
        <f t="shared" si="57"/>
        <v>#VALUE!</v>
      </c>
      <c r="AP76" s="29" t="e">
        <f t="shared" si="58"/>
        <v>#VALUE!</v>
      </c>
      <c r="AQ76" s="27">
        <f t="shared" si="59"/>
        <v>12.224838892802522</v>
      </c>
      <c r="AR76" s="14">
        <f t="shared" si="60"/>
        <v>1085.4249668011055</v>
      </c>
      <c r="AS76" s="25">
        <v>0.36849740461643371</v>
      </c>
      <c r="AT76" s="22">
        <f t="shared" si="61"/>
        <v>0.76077013705310692</v>
      </c>
      <c r="AU76" s="22">
        <f t="shared" si="62"/>
        <v>0.39227273243667321</v>
      </c>
      <c r="AV76" s="115">
        <f t="shared" si="63"/>
        <v>9.9046556671993441E-2</v>
      </c>
      <c r="AW76" s="163">
        <f t="shared" si="64"/>
        <v>4.903093891091697E-2</v>
      </c>
      <c r="AX76" s="116">
        <f t="shared" si="65"/>
        <v>3922.7273243667323</v>
      </c>
      <c r="AY76" s="115">
        <f t="shared" si="66"/>
        <v>0.22162390394928586</v>
      </c>
      <c r="AZ76" s="157">
        <f t="shared" si="67"/>
        <v>221.62390394928585</v>
      </c>
      <c r="BA76" s="117">
        <f t="shared" si="68"/>
        <v>99.046556671993443</v>
      </c>
      <c r="BB76" s="118">
        <f t="shared" si="69"/>
        <v>7.5165390355715243</v>
      </c>
      <c r="BC76" s="118">
        <f t="shared" si="70"/>
        <v>29.444032572570269</v>
      </c>
      <c r="BD76" s="117">
        <f t="shared" si="71"/>
        <v>12.499196313328333</v>
      </c>
      <c r="BE76" s="14">
        <f t="shared" si="72"/>
        <v>-2.3614606458653356</v>
      </c>
      <c r="BF76" s="25">
        <v>1.0808848989999</v>
      </c>
      <c r="BG76" s="22">
        <f t="shared" si="73"/>
        <v>1.1086183008254036</v>
      </c>
      <c r="BH76" s="38">
        <f t="shared" si="74"/>
        <v>2.7733401825503545E-2</v>
      </c>
      <c r="BI76" s="115">
        <f t="shared" si="75"/>
        <v>8.8969058155456707E-2</v>
      </c>
      <c r="BJ76" s="163">
        <f t="shared" si="76"/>
        <v>4.2376821368155126E-2</v>
      </c>
      <c r="BK76" s="116">
        <f t="shared" si="77"/>
        <v>277.33401825503546</v>
      </c>
      <c r="BL76" s="115">
        <f t="shared" si="78"/>
        <v>0.20603224384527657</v>
      </c>
      <c r="BM76" s="157">
        <f t="shared" si="79"/>
        <v>206.03224384527658</v>
      </c>
      <c r="BN76" s="117">
        <f t="shared" si="80"/>
        <v>88.969058155456707</v>
      </c>
      <c r="BO76" s="161">
        <f t="shared" si="81"/>
        <v>152.80066121995009</v>
      </c>
      <c r="BP76" s="161">
        <f t="shared" si="82"/>
        <v>3.9172327095260639</v>
      </c>
    </row>
    <row r="77" spans="1:68" ht="15.75">
      <c r="A77" s="67">
        <v>123</v>
      </c>
      <c r="B77" s="134">
        <v>4</v>
      </c>
      <c r="C77" s="66" t="s">
        <v>415</v>
      </c>
      <c r="D77" s="66" t="s">
        <v>418</v>
      </c>
      <c r="E77" s="66" t="s">
        <v>437</v>
      </c>
      <c r="F77" s="66" t="s">
        <v>411</v>
      </c>
      <c r="G77" s="66"/>
      <c r="H77" s="66" t="s">
        <v>430</v>
      </c>
      <c r="I77" s="66">
        <v>100</v>
      </c>
      <c r="J77" s="66">
        <v>20</v>
      </c>
      <c r="K77" s="66">
        <v>30</v>
      </c>
      <c r="L77" s="66" t="s">
        <v>464</v>
      </c>
      <c r="M77" s="66">
        <v>1</v>
      </c>
      <c r="N77"/>
      <c r="O77"/>
      <c r="P77"/>
      <c r="Q77" s="66">
        <v>20</v>
      </c>
      <c r="R77">
        <v>5.9519442508710805</v>
      </c>
      <c r="S77" s="55">
        <v>2.908055749128919</v>
      </c>
      <c r="T77" s="80">
        <v>188</v>
      </c>
      <c r="U77" s="80" t="s">
        <v>268</v>
      </c>
      <c r="V77" s="81">
        <v>1.762911125</v>
      </c>
      <c r="W77" s="81">
        <v>718.24340397005983</v>
      </c>
      <c r="X77" s="81">
        <v>1.094245125</v>
      </c>
      <c r="Y77" s="81">
        <v>-21.905925934588943</v>
      </c>
      <c r="Z77" s="71" t="s">
        <v>106</v>
      </c>
      <c r="AA77" s="73">
        <v>5.5661983611111108</v>
      </c>
      <c r="AB77" s="73">
        <v>3.0248816727959098</v>
      </c>
      <c r="AC77" s="73">
        <v>3.9982883888888887</v>
      </c>
      <c r="AD77" s="73">
        <v>-25.508901929003891</v>
      </c>
      <c r="AE77" s="73">
        <v>2.2461111111111109</v>
      </c>
      <c r="AF77" s="73">
        <v>2.2461111111111109</v>
      </c>
      <c r="AG77" s="32">
        <f t="shared" si="51"/>
        <v>1.1379460310984945E-2</v>
      </c>
      <c r="AH77" s="32">
        <f t="shared" si="52"/>
        <v>0.25846953038557846</v>
      </c>
      <c r="AI77" s="33">
        <f t="shared" si="53"/>
        <v>2.0060977178731319E-2</v>
      </c>
      <c r="AJ77" s="34">
        <f t="shared" si="54"/>
        <v>0.28282902358545864</v>
      </c>
      <c r="AK77" s="16">
        <f t="shared" si="49"/>
        <v>2.5737135308075885E-3</v>
      </c>
      <c r="AL77" s="16">
        <f t="shared" si="50"/>
        <v>3.6285415133153948E-2</v>
      </c>
      <c r="AM77" s="27">
        <f t="shared" si="55"/>
        <v>2.5737135308075882</v>
      </c>
      <c r="AN77" s="27">
        <f t="shared" si="56"/>
        <v>36.285415133153947</v>
      </c>
      <c r="AO77" s="29" t="e">
        <f t="shared" si="57"/>
        <v>#VALUE!</v>
      </c>
      <c r="AP77" s="29" t="e">
        <f t="shared" si="58"/>
        <v>#VALUE!</v>
      </c>
      <c r="AQ77" s="27">
        <f t="shared" si="59"/>
        <v>14.098466942343887</v>
      </c>
      <c r="AR77" s="14">
        <f t="shared" si="60"/>
        <v>717.19852229726393</v>
      </c>
      <c r="AS77" s="25">
        <v>0.36849740461643371</v>
      </c>
      <c r="AT77" s="22">
        <f t="shared" si="61"/>
        <v>0.62728250505688965</v>
      </c>
      <c r="AU77" s="22">
        <f t="shared" si="62"/>
        <v>0.25878510044045594</v>
      </c>
      <c r="AV77" s="115">
        <f t="shared" si="63"/>
        <v>0.21020544246363745</v>
      </c>
      <c r="AW77" s="163">
        <f t="shared" si="64"/>
        <v>6.6603871457500225E-3</v>
      </c>
      <c r="AX77" s="116">
        <f t="shared" si="65"/>
        <v>2587.8510044045597</v>
      </c>
      <c r="AY77" s="115">
        <f t="shared" si="66"/>
        <v>0.22685641032801254</v>
      </c>
      <c r="AZ77" s="157">
        <f t="shared" si="67"/>
        <v>226.85641032801254</v>
      </c>
      <c r="BA77" s="117">
        <f t="shared" si="68"/>
        <v>210.20544246363747</v>
      </c>
      <c r="BB77" s="118">
        <f t="shared" si="69"/>
        <v>16.630351122129532</v>
      </c>
      <c r="BC77" s="118">
        <f t="shared" si="70"/>
        <v>167.18600184228285</v>
      </c>
      <c r="BD77" s="117">
        <f t="shared" si="71"/>
        <v>2.5737135308075882</v>
      </c>
      <c r="BE77" s="14">
        <f t="shared" si="72"/>
        <v>-22.427024005585054</v>
      </c>
      <c r="BF77" s="25">
        <v>1.0808848989999</v>
      </c>
      <c r="BG77" s="22">
        <f t="shared" si="73"/>
        <v>1.0865628735075257</v>
      </c>
      <c r="BH77" s="38">
        <f t="shared" si="74"/>
        <v>5.6779745076256383E-3</v>
      </c>
      <c r="BI77" s="115">
        <f t="shared" si="75"/>
        <v>0.2871168980041412</v>
      </c>
      <c r="BJ77" s="163">
        <f t="shared" si="76"/>
        <v>2.0602766212466169E-3</v>
      </c>
      <c r="BK77" s="116">
        <f t="shared" si="77"/>
        <v>56.779745076256383</v>
      </c>
      <c r="BL77" s="115">
        <f t="shared" si="78"/>
        <v>0.32815720180777536</v>
      </c>
      <c r="BM77" s="157">
        <f t="shared" si="79"/>
        <v>328.15720180777538</v>
      </c>
      <c r="BN77" s="117">
        <f t="shared" si="80"/>
        <v>287.11689800414121</v>
      </c>
      <c r="BO77" s="161">
        <f t="shared" si="81"/>
        <v>36.285415133153947</v>
      </c>
      <c r="BP77" s="161">
        <f t="shared" si="82"/>
        <v>10.053065062457595</v>
      </c>
    </row>
    <row r="78" spans="1:68" ht="15.75">
      <c r="A78" s="67">
        <v>124</v>
      </c>
      <c r="B78" s="134">
        <v>4</v>
      </c>
      <c r="C78" s="66" t="s">
        <v>417</v>
      </c>
      <c r="D78" s="66" t="s">
        <v>424</v>
      </c>
      <c r="E78" s="66" t="s">
        <v>437</v>
      </c>
      <c r="F78" s="66" t="s">
        <v>411</v>
      </c>
      <c r="G78" s="66"/>
      <c r="H78" s="66" t="s">
        <v>430</v>
      </c>
      <c r="I78" s="66">
        <v>100</v>
      </c>
      <c r="J78" s="66">
        <v>20</v>
      </c>
      <c r="K78" s="66">
        <v>30</v>
      </c>
      <c r="L78" s="66" t="s">
        <v>465</v>
      </c>
      <c r="M78" s="66">
        <v>1</v>
      </c>
      <c r="N78"/>
      <c r="O78"/>
      <c r="P78"/>
      <c r="Q78" s="66">
        <v>20</v>
      </c>
      <c r="R78">
        <v>2.6030769230769235</v>
      </c>
      <c r="S78" s="55">
        <v>1.6269230769230767</v>
      </c>
      <c r="T78" s="82">
        <v>189</v>
      </c>
      <c r="U78" s="82" t="s">
        <v>269</v>
      </c>
      <c r="V78" s="83">
        <v>0.88288262500000003</v>
      </c>
      <c r="W78" s="83">
        <v>1186.8595419935791</v>
      </c>
      <c r="X78" s="83">
        <v>0.54209843749999997</v>
      </c>
      <c r="Y78" s="83">
        <v>0.55129624080753536</v>
      </c>
      <c r="Z78" s="71" t="s">
        <v>106</v>
      </c>
      <c r="AA78" s="73">
        <v>5.5661983611111108</v>
      </c>
      <c r="AB78" s="73">
        <v>3.0248816727959098</v>
      </c>
      <c r="AC78" s="73">
        <v>3.9982883888888887</v>
      </c>
      <c r="AD78" s="73">
        <v>-25.508901929003891</v>
      </c>
      <c r="AE78" s="73">
        <v>2.2461111111111109</v>
      </c>
      <c r="AF78" s="73">
        <v>2.2461111111111109</v>
      </c>
      <c r="AG78" s="32">
        <f t="shared" si="51"/>
        <v>1.1379460310984945E-2</v>
      </c>
      <c r="AH78" s="32">
        <f t="shared" si="52"/>
        <v>0.25846953038557846</v>
      </c>
      <c r="AI78" s="33">
        <f t="shared" si="53"/>
        <v>1.0046727790445706E-2</v>
      </c>
      <c r="AJ78" s="34">
        <f t="shared" si="54"/>
        <v>0.14011592856338084</v>
      </c>
      <c r="AK78" s="16">
        <f t="shared" si="49"/>
        <v>2.7823458611936662E-3</v>
      </c>
      <c r="AL78" s="16">
        <f t="shared" si="50"/>
        <v>3.880377592158641E-2</v>
      </c>
      <c r="AM78" s="27">
        <f t="shared" si="55"/>
        <v>2.782345861193666</v>
      </c>
      <c r="AN78" s="27">
        <f t="shared" si="56"/>
        <v>38.803775921586407</v>
      </c>
      <c r="AO78" s="29" t="e">
        <f t="shared" si="57"/>
        <v>#VALUE!</v>
      </c>
      <c r="AP78" s="29" t="e">
        <f t="shared" si="58"/>
        <v>#VALUE!</v>
      </c>
      <c r="AQ78" s="27">
        <f t="shared" si="59"/>
        <v>13.946424297135739</v>
      </c>
      <c r="AR78" s="14">
        <f t="shared" si="60"/>
        <v>1185.8146603207831</v>
      </c>
      <c r="AS78" s="25">
        <v>0.36849740461643371</v>
      </c>
      <c r="AT78" s="22">
        <f t="shared" si="61"/>
        <v>0.7971007212442166</v>
      </c>
      <c r="AU78" s="22">
        <f t="shared" si="62"/>
        <v>0.42860331662778289</v>
      </c>
      <c r="AV78" s="115">
        <f t="shared" si="63"/>
        <v>9.7528561524018523E-2</v>
      </c>
      <c r="AW78" s="163">
        <f t="shared" si="64"/>
        <v>1.1925226641131902E-2</v>
      </c>
      <c r="AX78" s="116">
        <f t="shared" si="65"/>
        <v>4286.033166277829</v>
      </c>
      <c r="AY78" s="115">
        <f t="shared" si="66"/>
        <v>0.12734162812684824</v>
      </c>
      <c r="AZ78" s="157">
        <f t="shared" si="67"/>
        <v>127.34162812684824</v>
      </c>
      <c r="BA78" s="117">
        <f t="shared" si="68"/>
        <v>97.528561524018528</v>
      </c>
      <c r="BB78" s="118">
        <f t="shared" si="69"/>
        <v>4.3666222839255608</v>
      </c>
      <c r="BC78" s="118">
        <f t="shared" si="70"/>
        <v>51.901120567943835</v>
      </c>
      <c r="BD78" s="117">
        <f t="shared" si="71"/>
        <v>2.782345861193666</v>
      </c>
      <c r="BE78" s="14">
        <f t="shared" si="72"/>
        <v>3.0198169811424758E-2</v>
      </c>
      <c r="BF78" s="25">
        <v>1.0808848989999</v>
      </c>
      <c r="BG78" s="22">
        <f t="shared" si="73"/>
        <v>1.1112464799018973</v>
      </c>
      <c r="BH78" s="38">
        <f t="shared" si="74"/>
        <v>3.0361580901997254E-2</v>
      </c>
      <c r="BI78" s="115">
        <f t="shared" si="75"/>
        <v>0.17684655460801843</v>
      </c>
      <c r="BJ78" s="163">
        <f t="shared" si="76"/>
        <v>1.1781439819462189E-2</v>
      </c>
      <c r="BK78" s="116">
        <f t="shared" si="77"/>
        <v>303.61580901997252</v>
      </c>
      <c r="BL78" s="115">
        <f t="shared" si="78"/>
        <v>0.22840597348267619</v>
      </c>
      <c r="BM78" s="157">
        <f t="shared" si="79"/>
        <v>228.40597348267619</v>
      </c>
      <c r="BN78" s="117">
        <f t="shared" si="80"/>
        <v>176.84655460801844</v>
      </c>
      <c r="BO78" s="161">
        <f t="shared" si="81"/>
        <v>38.803775921586407</v>
      </c>
      <c r="BP78" s="161">
        <f t="shared" si="82"/>
        <v>11.88587360967826</v>
      </c>
    </row>
    <row r="79" spans="1:68" ht="15.75">
      <c r="A79" s="67">
        <v>125</v>
      </c>
      <c r="B79" s="134">
        <v>4</v>
      </c>
      <c r="C79" s="66" t="s">
        <v>419</v>
      </c>
      <c r="D79" s="66" t="s">
        <v>414</v>
      </c>
      <c r="E79" s="66" t="s">
        <v>437</v>
      </c>
      <c r="F79" s="66" t="s">
        <v>411</v>
      </c>
      <c r="G79" s="66"/>
      <c r="H79" s="66" t="s">
        <v>430</v>
      </c>
      <c r="I79" s="66">
        <v>100</v>
      </c>
      <c r="J79" s="66">
        <v>20</v>
      </c>
      <c r="K79" s="66">
        <v>30</v>
      </c>
      <c r="L79" s="66" t="s">
        <v>466</v>
      </c>
      <c r="M79" s="66">
        <v>1</v>
      </c>
      <c r="N79"/>
      <c r="O79"/>
      <c r="P79"/>
      <c r="Q79" s="66">
        <v>20</v>
      </c>
      <c r="R79">
        <v>7.8339405204460979</v>
      </c>
      <c r="S79" s="55">
        <v>6.5260594795539015</v>
      </c>
      <c r="T79" s="80">
        <v>190</v>
      </c>
      <c r="U79" s="80" t="s">
        <v>270</v>
      </c>
      <c r="V79" s="81">
        <v>0.66680474999999995</v>
      </c>
      <c r="W79" s="81">
        <v>411.30814190167888</v>
      </c>
      <c r="X79" s="81">
        <v>0.33748965624999999</v>
      </c>
      <c r="Y79" s="81">
        <v>-18.253570370407349</v>
      </c>
      <c r="Z79" s="71" t="s">
        <v>106</v>
      </c>
      <c r="AA79" s="73">
        <v>5.5661983611111108</v>
      </c>
      <c r="AB79" s="73">
        <v>3.0248816727959098</v>
      </c>
      <c r="AC79" s="73">
        <v>3.9982883888888887</v>
      </c>
      <c r="AD79" s="73">
        <v>-25.508901929003891</v>
      </c>
      <c r="AE79" s="73">
        <v>2.2461111111111109</v>
      </c>
      <c r="AF79" s="73">
        <v>2.2461111111111109</v>
      </c>
      <c r="AG79" s="32">
        <f t="shared" si="51"/>
        <v>1.1379460310984945E-2</v>
      </c>
      <c r="AH79" s="32">
        <f t="shared" si="52"/>
        <v>0.25846953038557846</v>
      </c>
      <c r="AI79" s="33">
        <f t="shared" si="53"/>
        <v>7.5878781878012383E-3</v>
      </c>
      <c r="AJ79" s="34">
        <f t="shared" si="54"/>
        <v>8.7230792960927797E-2</v>
      </c>
      <c r="AK79" s="16">
        <f t="shared" si="49"/>
        <v>8.5642939466588203E-4</v>
      </c>
      <c r="AL79" s="16">
        <f t="shared" si="50"/>
        <v>9.8455738696301299E-3</v>
      </c>
      <c r="AM79" s="27">
        <f t="shared" si="55"/>
        <v>0.85642939466588208</v>
      </c>
      <c r="AN79" s="27">
        <f t="shared" si="56"/>
        <v>9.8455738696301296</v>
      </c>
      <c r="AO79" s="29" t="e">
        <f t="shared" si="57"/>
        <v>#VALUE!</v>
      </c>
      <c r="AP79" s="29" t="e">
        <f t="shared" si="58"/>
        <v>#VALUE!</v>
      </c>
      <c r="AQ79" s="27">
        <f t="shared" si="59"/>
        <v>11.496071866462701</v>
      </c>
      <c r="AR79" s="14">
        <f t="shared" si="60"/>
        <v>410.26326022888298</v>
      </c>
      <c r="AS79" s="25">
        <v>0.36849740461643371</v>
      </c>
      <c r="AT79" s="22">
        <f t="shared" si="61"/>
        <v>0.51573911699474861</v>
      </c>
      <c r="AU79" s="22">
        <f t="shared" si="62"/>
        <v>0.1472417123783149</v>
      </c>
      <c r="AV79" s="115">
        <f t="shared" si="63"/>
        <v>0.11313871786022306</v>
      </c>
      <c r="AW79" s="163">
        <f t="shared" si="64"/>
        <v>1.2610213060172814E-3</v>
      </c>
      <c r="AX79" s="116">
        <f t="shared" si="65"/>
        <v>1472.4171237831492</v>
      </c>
      <c r="AY79" s="115">
        <f t="shared" si="66"/>
        <v>0.11629127112526624</v>
      </c>
      <c r="AZ79" s="157">
        <f t="shared" si="67"/>
        <v>116.29127112526625</v>
      </c>
      <c r="BA79" s="117">
        <f t="shared" si="68"/>
        <v>113.13871786022305</v>
      </c>
      <c r="BB79" s="118">
        <f t="shared" si="69"/>
        <v>12.588252633531862</v>
      </c>
      <c r="BC79" s="118">
        <f t="shared" si="70"/>
        <v>136.31678112053913</v>
      </c>
      <c r="BD79" s="117">
        <f t="shared" si="71"/>
        <v>0.85642939466588208</v>
      </c>
      <c r="BE79" s="14">
        <f t="shared" si="72"/>
        <v>-18.77466844140346</v>
      </c>
      <c r="BF79" s="25">
        <v>1.0808848989999</v>
      </c>
      <c r="BG79" s="22">
        <f t="shared" si="73"/>
        <v>1.0905781586134382</v>
      </c>
      <c r="BH79" s="38">
        <f t="shared" si="74"/>
        <v>9.6932596135381743E-3</v>
      </c>
      <c r="BI79" s="115">
        <f t="shared" si="75"/>
        <v>0.17132205391573438</v>
      </c>
      <c r="BJ79" s="163">
        <f t="shared" si="76"/>
        <v>9.5435703562592492E-4</v>
      </c>
      <c r="BK79" s="116">
        <f t="shared" si="77"/>
        <v>96.932596135381743</v>
      </c>
      <c r="BL79" s="115">
        <f t="shared" si="78"/>
        <v>0.19512320324426599</v>
      </c>
      <c r="BM79" s="157">
        <f t="shared" si="79"/>
        <v>195.12320324426599</v>
      </c>
      <c r="BN79" s="117">
        <f t="shared" si="80"/>
        <v>171.32205391573439</v>
      </c>
      <c r="BO79" s="161">
        <f t="shared" si="81"/>
        <v>9.8455738696301296</v>
      </c>
      <c r="BP79" s="161">
        <f t="shared" si="82"/>
        <v>10.828888257090293</v>
      </c>
    </row>
    <row r="80" spans="1:68" ht="15.75">
      <c r="A80" s="67">
        <v>126</v>
      </c>
      <c r="B80" s="134">
        <v>4</v>
      </c>
      <c r="C80" s="66" t="s">
        <v>421</v>
      </c>
      <c r="D80" s="66" t="s">
        <v>420</v>
      </c>
      <c r="E80" s="66" t="s">
        <v>437</v>
      </c>
      <c r="F80" s="66" t="s">
        <v>411</v>
      </c>
      <c r="G80" s="66"/>
      <c r="H80" s="66" t="s">
        <v>430</v>
      </c>
      <c r="I80" s="66">
        <v>100</v>
      </c>
      <c r="J80" s="66">
        <v>20</v>
      </c>
      <c r="K80" s="66">
        <v>30</v>
      </c>
      <c r="L80" s="66" t="s">
        <v>468</v>
      </c>
      <c r="M80" s="66">
        <v>1</v>
      </c>
      <c r="N80"/>
      <c r="O80"/>
      <c r="P80"/>
      <c r="Q80" s="66">
        <v>20</v>
      </c>
      <c r="R80">
        <v>5.0849642004773266</v>
      </c>
      <c r="S80" s="55">
        <v>5.5150357995226731</v>
      </c>
      <c r="T80" s="80">
        <v>192</v>
      </c>
      <c r="U80" s="80" t="s">
        <v>272</v>
      </c>
      <c r="V80" s="81">
        <v>1.8249303750000001</v>
      </c>
      <c r="W80" s="81">
        <v>173.49745283467186</v>
      </c>
      <c r="X80" s="81">
        <v>0.93776956249999999</v>
      </c>
      <c r="Y80" s="81">
        <v>-19.673466696359441</v>
      </c>
      <c r="Z80" s="71" t="s">
        <v>106</v>
      </c>
      <c r="AA80" s="73">
        <v>5.5661983611111108</v>
      </c>
      <c r="AB80" s="73">
        <v>3.0248816727959098</v>
      </c>
      <c r="AC80" s="73">
        <v>3.9982883888888887</v>
      </c>
      <c r="AD80" s="73">
        <v>-25.508901929003891</v>
      </c>
      <c r="AE80" s="73">
        <v>2.2461111111111109</v>
      </c>
      <c r="AF80" s="73">
        <v>2.2461111111111109</v>
      </c>
      <c r="AG80" s="32">
        <f t="shared" si="51"/>
        <v>1.1379460310984945E-2</v>
      </c>
      <c r="AH80" s="32">
        <f t="shared" si="52"/>
        <v>0.25846953038557846</v>
      </c>
      <c r="AI80" s="33">
        <f t="shared" si="53"/>
        <v>2.0766722772623373E-2</v>
      </c>
      <c r="AJ80" s="34">
        <f t="shared" si="54"/>
        <v>0.24238485842926435</v>
      </c>
      <c r="AK80" s="16">
        <f t="shared" si="49"/>
        <v>3.4734015428762159E-3</v>
      </c>
      <c r="AL80" s="16">
        <f t="shared" si="50"/>
        <v>4.0540818619099146E-2</v>
      </c>
      <c r="AM80" s="27">
        <f t="shared" si="55"/>
        <v>3.4734015428762159</v>
      </c>
      <c r="AN80" s="27">
        <f t="shared" si="56"/>
        <v>40.540818619099149</v>
      </c>
      <c r="AO80" s="29" t="e">
        <f t="shared" si="57"/>
        <v>#VALUE!</v>
      </c>
      <c r="AP80" s="29" t="e">
        <f t="shared" si="58"/>
        <v>#VALUE!</v>
      </c>
      <c r="AQ80" s="27">
        <f t="shared" si="59"/>
        <v>11.671791504281005</v>
      </c>
      <c r="AR80" s="14">
        <f t="shared" si="60"/>
        <v>172.45257116187594</v>
      </c>
      <c r="AS80" s="25">
        <v>0.36849740461643371</v>
      </c>
      <c r="AT80" s="22">
        <f t="shared" si="61"/>
        <v>0.4291439822105107</v>
      </c>
      <c r="AU80" s="22">
        <f t="shared" si="62"/>
        <v>6.0646577594076989E-2</v>
      </c>
      <c r="AV80" s="115">
        <f t="shared" si="63"/>
        <v>9.7328582121048057E-2</v>
      </c>
      <c r="AW80" s="163">
        <f t="shared" si="64"/>
        <v>2.1064991618542916E-3</v>
      </c>
      <c r="AX80" s="116">
        <f t="shared" si="65"/>
        <v>606.46577594076984</v>
      </c>
      <c r="AY80" s="115">
        <f t="shared" si="66"/>
        <v>0.10259483002568379</v>
      </c>
      <c r="AZ80" s="157">
        <f t="shared" si="67"/>
        <v>102.59483002568379</v>
      </c>
      <c r="BA80" s="117">
        <f t="shared" si="68"/>
        <v>97.328582121048058</v>
      </c>
      <c r="BB80" s="118">
        <f t="shared" si="69"/>
        <v>12.10536159939581</v>
      </c>
      <c r="BC80" s="118">
        <f t="shared" si="70"/>
        <v>108.2628129423766</v>
      </c>
      <c r="BD80" s="117">
        <f t="shared" si="71"/>
        <v>3.4734015428762159</v>
      </c>
      <c r="BE80" s="14">
        <f t="shared" si="72"/>
        <v>-20.194564767355551</v>
      </c>
      <c r="BF80" s="25">
        <v>1.0808848989999</v>
      </c>
      <c r="BG80" s="22">
        <f t="shared" si="73"/>
        <v>1.08901720787807</v>
      </c>
      <c r="BH80" s="38">
        <f t="shared" si="74"/>
        <v>8.1323088781699582E-3</v>
      </c>
      <c r="BI80" s="115">
        <f t="shared" si="75"/>
        <v>9.9499759661351689E-2</v>
      </c>
      <c r="BJ80" s="163">
        <f t="shared" si="76"/>
        <v>3.2969045918437791E-3</v>
      </c>
      <c r="BK80" s="116">
        <f t="shared" si="77"/>
        <v>81.323088781699582</v>
      </c>
      <c r="BL80" s="115">
        <f t="shared" si="78"/>
        <v>0.12017949109863009</v>
      </c>
      <c r="BM80" s="157">
        <f t="shared" si="79"/>
        <v>120.17949109863009</v>
      </c>
      <c r="BN80" s="117">
        <f t="shared" si="80"/>
        <v>99.499759661351689</v>
      </c>
      <c r="BO80" s="161">
        <f t="shared" si="81"/>
        <v>40.540818619099149</v>
      </c>
      <c r="BP80" s="161">
        <f t="shared" si="82"/>
        <v>8.9433770361539722</v>
      </c>
    </row>
    <row r="81" spans="1:68" ht="15.75">
      <c r="A81" s="67">
        <v>127</v>
      </c>
      <c r="B81" s="134">
        <v>4</v>
      </c>
      <c r="C81" s="66" t="s">
        <v>423</v>
      </c>
      <c r="D81" s="66" t="s">
        <v>426</v>
      </c>
      <c r="E81" s="66" t="s">
        <v>437</v>
      </c>
      <c r="F81" s="66" t="s">
        <v>411</v>
      </c>
      <c r="G81" s="66"/>
      <c r="H81" s="66" t="s">
        <v>430</v>
      </c>
      <c r="I81" s="66">
        <v>100</v>
      </c>
      <c r="J81" s="66">
        <v>20</v>
      </c>
      <c r="K81" s="66">
        <v>30</v>
      </c>
      <c r="L81" s="66" t="s">
        <v>469</v>
      </c>
      <c r="M81" s="66">
        <v>1</v>
      </c>
      <c r="N81"/>
      <c r="O81"/>
      <c r="P81"/>
      <c r="Q81" s="66">
        <v>20</v>
      </c>
      <c r="R81">
        <v>10.678611457036114</v>
      </c>
      <c r="S81" s="55">
        <v>4.4313885429638873</v>
      </c>
      <c r="T81" s="82">
        <v>193</v>
      </c>
      <c r="U81" s="82" t="s">
        <v>273</v>
      </c>
      <c r="V81" s="83">
        <v>1.189630875</v>
      </c>
      <c r="W81" s="83">
        <v>894.34639921325197</v>
      </c>
      <c r="X81" s="83">
        <v>0.64424756250000004</v>
      </c>
      <c r="Y81" s="83">
        <v>-11.299652053865396</v>
      </c>
      <c r="Z81" s="71" t="s">
        <v>106</v>
      </c>
      <c r="AA81" s="73">
        <v>5.5661983611111108</v>
      </c>
      <c r="AB81" s="73">
        <v>3.0248816727959098</v>
      </c>
      <c r="AC81" s="73">
        <v>3.9982883888888887</v>
      </c>
      <c r="AD81" s="73">
        <v>-25.508901929003891</v>
      </c>
      <c r="AE81" s="73">
        <v>2.2461111111111109</v>
      </c>
      <c r="AF81" s="73">
        <v>2.2461111111111109</v>
      </c>
      <c r="AG81" s="32">
        <f t="shared" si="51"/>
        <v>1.1379460310984945E-2</v>
      </c>
      <c r="AH81" s="32">
        <f t="shared" si="52"/>
        <v>0.25846953038557846</v>
      </c>
      <c r="AI81" s="33">
        <f t="shared" si="53"/>
        <v>1.3537357326784792E-2</v>
      </c>
      <c r="AJ81" s="34">
        <f t="shared" si="54"/>
        <v>0.16651836493142863</v>
      </c>
      <c r="AK81" s="16">
        <f t="shared" si="49"/>
        <v>1.0323952635798814E-3</v>
      </c>
      <c r="AL81" s="16">
        <f t="shared" si="50"/>
        <v>1.2699138177739414E-2</v>
      </c>
      <c r="AM81" s="27">
        <f t="shared" si="55"/>
        <v>1.0323952635798814</v>
      </c>
      <c r="AN81" s="27">
        <f t="shared" si="56"/>
        <v>12.699138177739414</v>
      </c>
      <c r="AO81" s="29" t="e">
        <f t="shared" si="57"/>
        <v>#VALUE!</v>
      </c>
      <c r="AP81" s="29" t="e">
        <f t="shared" si="58"/>
        <v>#VALUE!</v>
      </c>
      <c r="AQ81" s="27">
        <f t="shared" si="59"/>
        <v>12.300655210006028</v>
      </c>
      <c r="AR81" s="14">
        <f t="shared" si="60"/>
        <v>893.30151754045608</v>
      </c>
      <c r="AS81" s="25">
        <v>0.36849740461643371</v>
      </c>
      <c r="AT81" s="22">
        <f t="shared" si="61"/>
        <v>0.69116726822092989</v>
      </c>
      <c r="AU81" s="22">
        <f t="shared" si="62"/>
        <v>0.32266986360449618</v>
      </c>
      <c r="AV81" s="115">
        <f t="shared" si="63"/>
        <v>0.25912523500664603</v>
      </c>
      <c r="AW81" s="163">
        <f t="shared" si="64"/>
        <v>3.3312283888524818E-3</v>
      </c>
      <c r="AX81" s="116">
        <f t="shared" si="65"/>
        <v>3226.6986360449614</v>
      </c>
      <c r="AY81" s="115">
        <f t="shared" si="66"/>
        <v>0.26745330597877726</v>
      </c>
      <c r="AZ81" s="157">
        <f t="shared" si="67"/>
        <v>267.45330597877728</v>
      </c>
      <c r="BA81" s="117">
        <f t="shared" si="68"/>
        <v>259.12523500664605</v>
      </c>
      <c r="BB81" s="118">
        <f t="shared" si="69"/>
        <v>28.132954488216381</v>
      </c>
      <c r="BC81" s="118">
        <f t="shared" si="70"/>
        <v>309.88868385334399</v>
      </c>
      <c r="BD81" s="117">
        <f t="shared" si="71"/>
        <v>1.0323952635798814</v>
      </c>
      <c r="BE81" s="14">
        <f t="shared" si="72"/>
        <v>-11.820750124861506</v>
      </c>
      <c r="BF81" s="25">
        <v>1.0808848989999</v>
      </c>
      <c r="BG81" s="22">
        <f t="shared" si="73"/>
        <v>1.0982221770791154</v>
      </c>
      <c r="BH81" s="38">
        <f t="shared" si="74"/>
        <v>1.7337278079215368E-2</v>
      </c>
      <c r="BI81" s="115">
        <f t="shared" si="75"/>
        <v>0.28093657260627974</v>
      </c>
      <c r="BJ81" s="163">
        <f t="shared" si="76"/>
        <v>2.2016848995384856E-3</v>
      </c>
      <c r="BK81" s="116">
        <f t="shared" si="77"/>
        <v>173.37278079215369</v>
      </c>
      <c r="BL81" s="115">
        <f t="shared" si="78"/>
        <v>0.32155785643091089</v>
      </c>
      <c r="BM81" s="157">
        <f t="shared" si="79"/>
        <v>321.55785643091087</v>
      </c>
      <c r="BN81" s="117">
        <f t="shared" si="80"/>
        <v>280.93657260627975</v>
      </c>
      <c r="BO81" s="161">
        <f t="shared" si="81"/>
        <v>12.699138177739414</v>
      </c>
      <c r="BP81" s="161">
        <f t="shared" si="82"/>
        <v>11.015148941542643</v>
      </c>
    </row>
    <row r="82" spans="1:68" ht="15.75">
      <c r="A82" s="67">
        <v>128</v>
      </c>
      <c r="B82" s="134">
        <v>4</v>
      </c>
      <c r="C82" s="66" t="s">
        <v>425</v>
      </c>
      <c r="D82" s="66" t="s">
        <v>422</v>
      </c>
      <c r="E82" s="66" t="s">
        <v>437</v>
      </c>
      <c r="F82" s="66" t="s">
        <v>411</v>
      </c>
      <c r="G82" s="66"/>
      <c r="H82" s="66" t="s">
        <v>430</v>
      </c>
      <c r="I82" s="66">
        <v>100</v>
      </c>
      <c r="J82" s="66">
        <v>20</v>
      </c>
      <c r="K82" s="66">
        <v>30</v>
      </c>
      <c r="L82" s="66" t="s">
        <v>470</v>
      </c>
      <c r="M82" s="66">
        <v>1</v>
      </c>
      <c r="N82"/>
      <c r="O82"/>
      <c r="P82"/>
      <c r="Q82" s="66">
        <v>20</v>
      </c>
      <c r="R82">
        <v>4.2000959999999994</v>
      </c>
      <c r="S82" s="55">
        <v>2.3299040000000004</v>
      </c>
      <c r="T82" s="80">
        <v>194</v>
      </c>
      <c r="U82" s="80" t="s">
        <v>274</v>
      </c>
      <c r="V82" s="81">
        <v>2.6142694999999998</v>
      </c>
      <c r="W82" s="81">
        <v>403.44539955746245</v>
      </c>
      <c r="X82" s="81">
        <v>1.5093825000000001</v>
      </c>
      <c r="Y82" s="81">
        <v>-16.534574624273354</v>
      </c>
      <c r="Z82" s="71" t="s">
        <v>106</v>
      </c>
      <c r="AA82" s="73">
        <v>5.5661983611111108</v>
      </c>
      <c r="AB82" s="73">
        <v>3.0248816727959098</v>
      </c>
      <c r="AC82" s="73">
        <v>3.9982883888888887</v>
      </c>
      <c r="AD82" s="73">
        <v>-25.508901929003891</v>
      </c>
      <c r="AE82" s="73">
        <v>2.2461111111111109</v>
      </c>
      <c r="AF82" s="73">
        <v>2.2461111111111109</v>
      </c>
      <c r="AG82" s="32">
        <f t="shared" si="51"/>
        <v>1.1379460310984945E-2</v>
      </c>
      <c r="AH82" s="32">
        <f t="shared" si="52"/>
        <v>0.25846953038557846</v>
      </c>
      <c r="AI82" s="33">
        <f t="shared" si="53"/>
        <v>2.9748976017468454E-2</v>
      </c>
      <c r="AJ82" s="34">
        <f t="shared" si="54"/>
        <v>0.39012938594721042</v>
      </c>
      <c r="AK82" s="16">
        <f t="shared" si="49"/>
        <v>5.2720364690741432E-3</v>
      </c>
      <c r="AL82" s="16">
        <f t="shared" si="50"/>
        <v>6.9137719199594161E-2</v>
      </c>
      <c r="AM82" s="27">
        <f t="shared" si="55"/>
        <v>5.272036469074143</v>
      </c>
      <c r="AN82" s="27">
        <f t="shared" si="56"/>
        <v>69.137719199594159</v>
      </c>
      <c r="AO82" s="29" t="e">
        <f t="shared" si="57"/>
        <v>#VALUE!</v>
      </c>
      <c r="AP82" s="29" t="e">
        <f t="shared" si="58"/>
        <v>#VALUE!</v>
      </c>
      <c r="AQ82" s="27">
        <f t="shared" si="59"/>
        <v>13.114044184852895</v>
      </c>
      <c r="AR82" s="14">
        <f t="shared" si="60"/>
        <v>402.40051788466656</v>
      </c>
      <c r="AS82" s="25">
        <v>0.36849740461643371</v>
      </c>
      <c r="AT82" s="22">
        <f t="shared" si="61"/>
        <v>0.51287842704244813</v>
      </c>
      <c r="AU82" s="22">
        <f t="shared" si="62"/>
        <v>0.14438102242601442</v>
      </c>
      <c r="AV82" s="115">
        <f t="shared" si="63"/>
        <v>4.9280530186211494E-2</v>
      </c>
      <c r="AW82" s="163">
        <f t="shared" si="64"/>
        <v>7.6118201567215975E-3</v>
      </c>
      <c r="AX82" s="116">
        <f t="shared" si="65"/>
        <v>1443.810224260144</v>
      </c>
      <c r="AY82" s="115">
        <f t="shared" si="66"/>
        <v>6.8310080578015492E-2</v>
      </c>
      <c r="AZ82" s="157">
        <f t="shared" si="67"/>
        <v>68.310080578015487</v>
      </c>
      <c r="BA82" s="117">
        <f t="shared" si="68"/>
        <v>49.280530186211493</v>
      </c>
      <c r="BB82" s="118">
        <f t="shared" si="69"/>
        <v>-2.8906426336637958</v>
      </c>
      <c r="BC82" s="118">
        <f t="shared" si="70"/>
        <v>-30.242980222362448</v>
      </c>
      <c r="BD82" s="117">
        <f t="shared" si="71"/>
        <v>5.272036469074143</v>
      </c>
      <c r="BE82" s="14">
        <f t="shared" si="72"/>
        <v>-17.055672695269465</v>
      </c>
      <c r="BF82" s="25">
        <v>1.0808848989999</v>
      </c>
      <c r="BG82" s="22">
        <f t="shared" si="73"/>
        <v>1.0924678557803635</v>
      </c>
      <c r="BH82" s="38">
        <f t="shared" si="74"/>
        <v>1.1582956780463505E-2</v>
      </c>
      <c r="BI82" s="115">
        <f t="shared" si="75"/>
        <v>8.6218417104890491E-2</v>
      </c>
      <c r="BJ82" s="163">
        <f t="shared" si="76"/>
        <v>8.0081921338872094E-3</v>
      </c>
      <c r="BK82" s="116">
        <f t="shared" si="77"/>
        <v>115.82956780463505</v>
      </c>
      <c r="BL82" s="115">
        <f t="shared" si="78"/>
        <v>0.11701619957771983</v>
      </c>
      <c r="BM82" s="157">
        <f t="shared" si="79"/>
        <v>117.01619957771983</v>
      </c>
      <c r="BN82" s="117">
        <f t="shared" si="80"/>
        <v>86.218417104890491</v>
      </c>
      <c r="BO82" s="161">
        <f t="shared" si="81"/>
        <v>69.137719199594159</v>
      </c>
      <c r="BP82" s="161">
        <f t="shared" si="82"/>
        <v>10.462372577695795</v>
      </c>
    </row>
    <row r="83" spans="1:68" ht="15.75">
      <c r="A83" s="67">
        <v>129</v>
      </c>
      <c r="B83" s="66">
        <v>5</v>
      </c>
      <c r="C83" s="66" t="s">
        <v>408</v>
      </c>
      <c r="D83" s="66" t="s">
        <v>420</v>
      </c>
      <c r="E83" s="66" t="s">
        <v>437</v>
      </c>
      <c r="F83" s="66" t="s">
        <v>411</v>
      </c>
      <c r="G83" s="66"/>
      <c r="H83" s="66" t="s">
        <v>431</v>
      </c>
      <c r="I83" s="66">
        <v>100</v>
      </c>
      <c r="J83" s="66">
        <v>20</v>
      </c>
      <c r="K83" s="66">
        <v>30</v>
      </c>
      <c r="L83" s="66" t="s">
        <v>471</v>
      </c>
      <c r="M83" s="66">
        <v>1</v>
      </c>
      <c r="N83"/>
      <c r="O83"/>
      <c r="P83"/>
      <c r="Q83" s="66">
        <v>20</v>
      </c>
      <c r="R83">
        <v>5.9519498607242349</v>
      </c>
      <c r="S83" s="55">
        <v>4.4080501392757654</v>
      </c>
      <c r="T83" s="82">
        <v>195</v>
      </c>
      <c r="U83" s="82" t="s">
        <v>275</v>
      </c>
      <c r="V83" s="83">
        <v>2.1347367500000001</v>
      </c>
      <c r="W83" s="83">
        <v>416.10530629670029</v>
      </c>
      <c r="X83" s="83">
        <v>1.3332326249999999</v>
      </c>
      <c r="Y83" s="83">
        <v>-14.524521861257988</v>
      </c>
      <c r="Z83" s="71" t="s">
        <v>106</v>
      </c>
      <c r="AA83" s="73">
        <v>5.5661983611111108</v>
      </c>
      <c r="AB83" s="73">
        <v>3.0248816727959098</v>
      </c>
      <c r="AC83" s="73">
        <v>3.9982883888888887</v>
      </c>
      <c r="AD83" s="73">
        <v>-25.508901929003891</v>
      </c>
      <c r="AE83" s="73">
        <v>2.2461111111111109</v>
      </c>
      <c r="AF83" s="73">
        <v>2.2461111111111109</v>
      </c>
      <c r="AG83" s="32">
        <f t="shared" si="51"/>
        <v>1.1379460310984945E-2</v>
      </c>
      <c r="AH83" s="32">
        <f t="shared" si="52"/>
        <v>0.25846953038557846</v>
      </c>
      <c r="AI83" s="33">
        <f t="shared" si="53"/>
        <v>2.4292152121025992E-2</v>
      </c>
      <c r="AJ83" s="34">
        <f t="shared" si="54"/>
        <v>0.34460001047848204</v>
      </c>
      <c r="AK83" s="16">
        <f t="shared" si="49"/>
        <v>3.3206152652231814E-3</v>
      </c>
      <c r="AL83" s="16">
        <f t="shared" si="50"/>
        <v>4.7105091779846245E-2</v>
      </c>
      <c r="AM83" s="27">
        <f t="shared" si="55"/>
        <v>3.3206152652231813</v>
      </c>
      <c r="AN83" s="27">
        <f t="shared" si="56"/>
        <v>47.105091779846248</v>
      </c>
      <c r="AO83" s="29" t="e">
        <f t="shared" si="57"/>
        <v>#VALUE!</v>
      </c>
      <c r="AP83" s="29" t="e">
        <f t="shared" si="58"/>
        <v>#VALUE!</v>
      </c>
      <c r="AQ83" s="27">
        <f t="shared" si="59"/>
        <v>14.185651759533263</v>
      </c>
      <c r="AR83" s="14">
        <f t="shared" si="60"/>
        <v>415.0604246239044</v>
      </c>
      <c r="AS83" s="25">
        <v>0.36849740461643371</v>
      </c>
      <c r="AT83" s="22">
        <f t="shared" si="61"/>
        <v>0.51748438143821551</v>
      </c>
      <c r="AU83" s="22">
        <f t="shared" si="62"/>
        <v>0.1489869768217818</v>
      </c>
      <c r="AV83" s="115">
        <f t="shared" si="63"/>
        <v>0.44707887870159252</v>
      </c>
      <c r="AW83" s="163">
        <f t="shared" si="64"/>
        <v>4.9472842955386098E-3</v>
      </c>
      <c r="AX83" s="116">
        <f t="shared" si="65"/>
        <v>1489.8697682178176</v>
      </c>
      <c r="AY83" s="115">
        <f t="shared" si="66"/>
        <v>0.45944708944043905</v>
      </c>
      <c r="AZ83" s="157">
        <f t="shared" si="67"/>
        <v>459.44708944043907</v>
      </c>
      <c r="BA83" s="117">
        <f t="shared" si="68"/>
        <v>447.07887870159254</v>
      </c>
      <c r="BB83" s="118">
        <f t="shared" si="69"/>
        <v>29.338144649355293</v>
      </c>
      <c r="BC83" s="118">
        <f t="shared" si="70"/>
        <v>343.13718110888868</v>
      </c>
      <c r="BD83" s="117">
        <f t="shared" si="71"/>
        <v>3.3206152652231813</v>
      </c>
      <c r="BE83" s="14">
        <f t="shared" si="72"/>
        <v>-15.045619932254098</v>
      </c>
      <c r="BF83" s="25">
        <v>1.0808848989999</v>
      </c>
      <c r="BG83" s="22">
        <f t="shared" si="73"/>
        <v>1.0946774212184054</v>
      </c>
      <c r="BH83" s="38">
        <f t="shared" si="74"/>
        <v>1.3792522218505354E-2</v>
      </c>
      <c r="BI83" s="115">
        <f t="shared" si="75"/>
        <v>0.54765581271904207</v>
      </c>
      <c r="BJ83" s="163">
        <f t="shared" si="76"/>
        <v>6.4969802497826324E-3</v>
      </c>
      <c r="BK83" s="116">
        <f t="shared" si="77"/>
        <v>137.92522218505354</v>
      </c>
      <c r="BL83" s="115">
        <f t="shared" si="78"/>
        <v>0.63235523993337894</v>
      </c>
      <c r="BM83" s="157">
        <f t="shared" si="79"/>
        <v>632.35523993337893</v>
      </c>
      <c r="BN83" s="117">
        <f t="shared" si="80"/>
        <v>547.65581271904205</v>
      </c>
      <c r="BO83" s="161">
        <f t="shared" si="81"/>
        <v>47.105091779846248</v>
      </c>
      <c r="BP83" s="161">
        <f t="shared" si="82"/>
        <v>11.695940053810769</v>
      </c>
    </row>
    <row r="84" spans="1:68" ht="15.75">
      <c r="A84" s="67">
        <v>130</v>
      </c>
      <c r="B84" s="66">
        <v>5</v>
      </c>
      <c r="C84" s="66" t="s">
        <v>413</v>
      </c>
      <c r="D84" s="66" t="s">
        <v>424</v>
      </c>
      <c r="E84" s="66" t="s">
        <v>437</v>
      </c>
      <c r="F84" s="66" t="s">
        <v>411</v>
      </c>
      <c r="G84" s="66"/>
      <c r="H84" s="66" t="s">
        <v>431</v>
      </c>
      <c r="I84" s="66">
        <v>100</v>
      </c>
      <c r="J84" s="66">
        <v>20</v>
      </c>
      <c r="K84" s="66">
        <v>30</v>
      </c>
      <c r="L84" s="66" t="s">
        <v>472</v>
      </c>
      <c r="M84" s="66">
        <v>1</v>
      </c>
      <c r="N84"/>
      <c r="O84"/>
      <c r="P84"/>
      <c r="Q84" s="66">
        <v>20</v>
      </c>
      <c r="R84">
        <v>3.4411302211302202</v>
      </c>
      <c r="S84" s="55">
        <v>2.4188697788697797</v>
      </c>
      <c r="T84" s="80">
        <v>196</v>
      </c>
      <c r="U84" s="80" t="s">
        <v>276</v>
      </c>
      <c r="V84" s="81">
        <v>1.800786875</v>
      </c>
      <c r="W84" s="81">
        <v>127.62545585696034</v>
      </c>
      <c r="X84" s="81">
        <v>1.1357326249999999</v>
      </c>
      <c r="Y84" s="81">
        <v>-21.102977305520323</v>
      </c>
      <c r="Z84" s="71" t="s">
        <v>106</v>
      </c>
      <c r="AA84" s="73">
        <v>5.5661983611111108</v>
      </c>
      <c r="AB84" s="73">
        <v>3.0248816727959098</v>
      </c>
      <c r="AC84" s="73">
        <v>3.9982883888888887</v>
      </c>
      <c r="AD84" s="73">
        <v>-25.508901929003891</v>
      </c>
      <c r="AE84" s="73">
        <v>2.2461111111111109</v>
      </c>
      <c r="AF84" s="73">
        <v>2.2461111111111109</v>
      </c>
      <c r="AG84" s="32">
        <f t="shared" si="51"/>
        <v>1.1379460310984945E-2</v>
      </c>
      <c r="AH84" s="32">
        <f t="shared" si="52"/>
        <v>0.25846953038557846</v>
      </c>
      <c r="AI84" s="33">
        <f t="shared" si="53"/>
        <v>2.0491982772605107E-2</v>
      </c>
      <c r="AJ84" s="34">
        <f t="shared" si="54"/>
        <v>0.29355227822733027</v>
      </c>
      <c r="AK84" s="16">
        <f t="shared" si="49"/>
        <v>4.4501570101289478E-3</v>
      </c>
      <c r="AL84" s="16">
        <f t="shared" si="50"/>
        <v>6.3749503563856599E-2</v>
      </c>
      <c r="AM84" s="27">
        <f t="shared" si="55"/>
        <v>4.4501570101289474</v>
      </c>
      <c r="AN84" s="27">
        <f t="shared" si="56"/>
        <v>63.749503563856599</v>
      </c>
      <c r="AO84" s="29" t="e">
        <f t="shared" si="57"/>
        <v>#VALUE!</v>
      </c>
      <c r="AP84" s="29" t="e">
        <f t="shared" si="58"/>
        <v>#VALUE!</v>
      </c>
      <c r="AQ84" s="27">
        <f t="shared" si="59"/>
        <v>14.325225698499429</v>
      </c>
      <c r="AR84" s="14">
        <f t="shared" si="60"/>
        <v>126.58057418416443</v>
      </c>
      <c r="AS84" s="25">
        <v>0.36849740461643371</v>
      </c>
      <c r="AT84" s="22">
        <f t="shared" si="61"/>
        <v>0.41242304730142942</v>
      </c>
      <c r="AU84" s="22">
        <f t="shared" si="62"/>
        <v>4.3925642684995714E-2</v>
      </c>
      <c r="AV84" s="115">
        <f t="shared" si="63"/>
        <v>0.13807171464995285</v>
      </c>
      <c r="AW84" s="163">
        <f t="shared" si="64"/>
        <v>1.9547600671905299E-3</v>
      </c>
      <c r="AX84" s="116">
        <f t="shared" si="65"/>
        <v>439.25642684995717</v>
      </c>
      <c r="AY84" s="115">
        <f t="shared" si="66"/>
        <v>0.14295861481792918</v>
      </c>
      <c r="AZ84" s="157">
        <f t="shared" si="67"/>
        <v>142.95861481792917</v>
      </c>
      <c r="BA84" s="117">
        <f t="shared" si="68"/>
        <v>138.07171464995287</v>
      </c>
      <c r="BB84" s="118">
        <f t="shared" si="69"/>
        <v>9.5806570443295467</v>
      </c>
      <c r="BC84" s="118">
        <f t="shared" si="70"/>
        <v>84.417856205432045</v>
      </c>
      <c r="BD84" s="117">
        <f t="shared" si="71"/>
        <v>4.4501570101289474</v>
      </c>
      <c r="BE84" s="14">
        <f t="shared" si="72"/>
        <v>-21.624075376516434</v>
      </c>
      <c r="BF84" s="25">
        <v>1.0808848989999</v>
      </c>
      <c r="BG84" s="22">
        <f t="shared" si="73"/>
        <v>1.0874456379926938</v>
      </c>
      <c r="BH84" s="38">
        <f t="shared" si="74"/>
        <v>6.5607389927937465E-3</v>
      </c>
      <c r="BI84" s="115">
        <f t="shared" si="75"/>
        <v>0.1697396867144628</v>
      </c>
      <c r="BJ84" s="163">
        <f t="shared" si="76"/>
        <v>4.1824385380263788E-3</v>
      </c>
      <c r="BK84" s="116">
        <f t="shared" si="77"/>
        <v>65.607389927937461</v>
      </c>
      <c r="BL84" s="115">
        <f t="shared" si="78"/>
        <v>0.20141324389883658</v>
      </c>
      <c r="BM84" s="157">
        <f t="shared" si="79"/>
        <v>201.41324389883658</v>
      </c>
      <c r="BN84" s="117">
        <f t="shared" si="80"/>
        <v>169.73968671446281</v>
      </c>
      <c r="BO84" s="161">
        <f t="shared" si="81"/>
        <v>63.749503563856599</v>
      </c>
      <c r="BP84" s="161">
        <f t="shared" si="82"/>
        <v>8.8112804596628376</v>
      </c>
    </row>
    <row r="85" spans="1:68" ht="15.75">
      <c r="A85" s="67">
        <v>131</v>
      </c>
      <c r="B85" s="66">
        <v>5</v>
      </c>
      <c r="C85" s="66" t="s">
        <v>415</v>
      </c>
      <c r="D85" s="66" t="s">
        <v>409</v>
      </c>
      <c r="E85" s="66" t="s">
        <v>437</v>
      </c>
      <c r="F85" s="66" t="s">
        <v>411</v>
      </c>
      <c r="G85" s="66"/>
      <c r="H85" s="66" t="s">
        <v>431</v>
      </c>
      <c r="I85" s="66">
        <v>100</v>
      </c>
      <c r="J85" s="66">
        <v>20</v>
      </c>
      <c r="K85" s="66">
        <v>30</v>
      </c>
      <c r="L85" s="66" t="s">
        <v>473</v>
      </c>
      <c r="M85" s="66">
        <v>1</v>
      </c>
      <c r="N85"/>
      <c r="O85"/>
      <c r="P85"/>
      <c r="Q85" s="66">
        <v>20</v>
      </c>
      <c r="R85">
        <v>5.0971428571428579</v>
      </c>
      <c r="S85" s="55">
        <v>3.8228571428571425</v>
      </c>
      <c r="T85" s="82">
        <v>197</v>
      </c>
      <c r="U85" s="82" t="s">
        <v>277</v>
      </c>
      <c r="V85" s="83">
        <v>1.5198905</v>
      </c>
      <c r="W85" s="83">
        <v>316.57596651156825</v>
      </c>
      <c r="X85" s="83">
        <v>0.96864193750000005</v>
      </c>
      <c r="Y85" s="83">
        <v>-15.271659952923121</v>
      </c>
      <c r="Z85" s="71" t="s">
        <v>106</v>
      </c>
      <c r="AA85" s="73">
        <v>5.5661983611111108</v>
      </c>
      <c r="AB85" s="73">
        <v>3.0248816727959098</v>
      </c>
      <c r="AC85" s="73">
        <v>3.9982883888888887</v>
      </c>
      <c r="AD85" s="73">
        <v>-25.508901929003891</v>
      </c>
      <c r="AE85" s="73">
        <v>2.2461111111111109</v>
      </c>
      <c r="AF85" s="73">
        <v>2.2461111111111109</v>
      </c>
      <c r="AG85" s="32">
        <f t="shared" si="51"/>
        <v>1.1379460310984945E-2</v>
      </c>
      <c r="AH85" s="32">
        <f t="shared" si="52"/>
        <v>0.25846953038557846</v>
      </c>
      <c r="AI85" s="33">
        <f t="shared" si="53"/>
        <v>1.7295533621793063E-2</v>
      </c>
      <c r="AJ85" s="34">
        <f t="shared" si="54"/>
        <v>0.25036442669740183</v>
      </c>
      <c r="AK85" s="16">
        <f t="shared" si="49"/>
        <v>2.6945097036343525E-3</v>
      </c>
      <c r="AL85" s="16">
        <f t="shared" si="50"/>
        <v>3.9004831648036919E-2</v>
      </c>
      <c r="AM85" s="27">
        <f t="shared" si="55"/>
        <v>2.6945097036343526</v>
      </c>
      <c r="AN85" s="27">
        <f t="shared" si="56"/>
        <v>39.004831648036919</v>
      </c>
      <c r="AO85" s="29" t="e">
        <f t="shared" si="57"/>
        <v>#VALUE!</v>
      </c>
      <c r="AP85" s="29" t="e">
        <f t="shared" si="58"/>
        <v>#VALUE!</v>
      </c>
      <c r="AQ85" s="27">
        <f t="shared" si="59"/>
        <v>14.475669393740628</v>
      </c>
      <c r="AR85" s="14">
        <f t="shared" si="60"/>
        <v>315.53108483877236</v>
      </c>
      <c r="AS85" s="25">
        <v>0.36849740461643371</v>
      </c>
      <c r="AT85" s="22">
        <f t="shared" si="61"/>
        <v>0.48126189610454162</v>
      </c>
      <c r="AU85" s="22">
        <f t="shared" si="62"/>
        <v>0.11276449148810791</v>
      </c>
      <c r="AV85" s="115">
        <f t="shared" si="63"/>
        <v>0.18176224658228499</v>
      </c>
      <c r="AW85" s="163">
        <f t="shared" si="64"/>
        <v>3.0384501654010009E-3</v>
      </c>
      <c r="AX85" s="116">
        <f t="shared" si="65"/>
        <v>1127.6449148810789</v>
      </c>
      <c r="AY85" s="115">
        <f t="shared" si="66"/>
        <v>0.18935837199578748</v>
      </c>
      <c r="AZ85" s="157">
        <f t="shared" si="67"/>
        <v>189.35837199578748</v>
      </c>
      <c r="BA85" s="117">
        <f t="shared" si="68"/>
        <v>181.76224658228497</v>
      </c>
      <c r="BB85" s="118">
        <f t="shared" si="69"/>
        <v>13.011254217896617</v>
      </c>
      <c r="BC85" s="118">
        <f t="shared" si="70"/>
        <v>144.48169407563947</v>
      </c>
      <c r="BD85" s="117">
        <f t="shared" si="71"/>
        <v>2.6945097036343526</v>
      </c>
      <c r="BE85" s="14">
        <f t="shared" si="72"/>
        <v>-15.792758023919232</v>
      </c>
      <c r="BF85" s="25">
        <v>1.0808848989999</v>
      </c>
      <c r="BG85" s="22">
        <f t="shared" si="73"/>
        <v>1.0938561356464065</v>
      </c>
      <c r="BH85" s="38">
        <f t="shared" si="74"/>
        <v>1.2971236646506457E-2</v>
      </c>
      <c r="BI85" s="115">
        <f t="shared" si="75"/>
        <v>0.21572169333026733</v>
      </c>
      <c r="BJ85" s="163">
        <f t="shared" si="76"/>
        <v>5.0594090166383139E-3</v>
      </c>
      <c r="BK85" s="116">
        <f t="shared" si="77"/>
        <v>129.71236646506458</v>
      </c>
      <c r="BL85" s="115">
        <f t="shared" si="78"/>
        <v>0.25533542753814653</v>
      </c>
      <c r="BM85" s="157">
        <f t="shared" si="79"/>
        <v>255.33542753814652</v>
      </c>
      <c r="BN85" s="117">
        <f t="shared" si="80"/>
        <v>215.72169333026733</v>
      </c>
      <c r="BO85" s="161">
        <f t="shared" si="81"/>
        <v>39.004831648036919</v>
      </c>
      <c r="BP85" s="161">
        <f t="shared" si="82"/>
        <v>11.104363319326197</v>
      </c>
    </row>
    <row r="86" spans="1:68" ht="15.75">
      <c r="A86" s="67">
        <v>132</v>
      </c>
      <c r="B86" s="66">
        <v>5</v>
      </c>
      <c r="C86" s="66" t="s">
        <v>417</v>
      </c>
      <c r="D86" s="66" t="s">
        <v>426</v>
      </c>
      <c r="E86" s="66" t="s">
        <v>437</v>
      </c>
      <c r="F86" s="66" t="s">
        <v>411</v>
      </c>
      <c r="G86" s="66"/>
      <c r="H86" s="66" t="s">
        <v>431</v>
      </c>
      <c r="I86" s="66">
        <v>100</v>
      </c>
      <c r="J86" s="66">
        <v>20</v>
      </c>
      <c r="K86" s="66">
        <v>30</v>
      </c>
      <c r="L86" s="66" t="s">
        <v>474</v>
      </c>
      <c r="M86" s="66">
        <v>1</v>
      </c>
      <c r="N86"/>
      <c r="O86"/>
      <c r="P86"/>
      <c r="Q86" s="66">
        <v>20</v>
      </c>
      <c r="R86">
        <v>3.6057763975155281</v>
      </c>
      <c r="S86" s="55">
        <v>1.6242236024844723</v>
      </c>
      <c r="T86" s="80">
        <v>198</v>
      </c>
      <c r="U86" s="80" t="s">
        <v>278</v>
      </c>
      <c r="V86" s="81">
        <v>0.57831025000000003</v>
      </c>
      <c r="W86" s="81">
        <v>918.99483200276165</v>
      </c>
      <c r="X86" s="81">
        <v>0.34945674999999998</v>
      </c>
      <c r="Y86" s="81">
        <v>-10.115489720315953</v>
      </c>
      <c r="Z86" s="71" t="s">
        <v>54</v>
      </c>
      <c r="AA86" s="73">
        <v>5.5661983611111108</v>
      </c>
      <c r="AB86" s="73">
        <v>3.0248816727959098</v>
      </c>
      <c r="AC86" s="73">
        <v>3.9982883888888887</v>
      </c>
      <c r="AD86" s="73">
        <v>-25.508901929003891</v>
      </c>
      <c r="AE86" s="73">
        <v>2.2461111111111109</v>
      </c>
      <c r="AF86" s="73">
        <v>2.2461111111111109</v>
      </c>
      <c r="AG86" s="32">
        <f t="shared" si="51"/>
        <v>1.1379460310984945E-2</v>
      </c>
      <c r="AH86" s="32">
        <f t="shared" si="52"/>
        <v>0.25846953038557846</v>
      </c>
      <c r="AI86" s="33">
        <f t="shared" si="53"/>
        <v>6.580858537310782E-3</v>
      </c>
      <c r="AJ86" s="34">
        <f t="shared" si="54"/>
        <v>9.0323922062570491E-2</v>
      </c>
      <c r="AK86" s="16">
        <f t="shared" si="49"/>
        <v>1.31553689431195E-3</v>
      </c>
      <c r="AL86" s="16">
        <f t="shared" si="50"/>
        <v>1.8056071443958634E-2</v>
      </c>
      <c r="AM86" s="27">
        <f t="shared" si="55"/>
        <v>1.3155368943119501</v>
      </c>
      <c r="AN86" s="27">
        <f t="shared" si="56"/>
        <v>18.056071443958633</v>
      </c>
      <c r="AO86" s="29" t="e">
        <f t="shared" si="57"/>
        <v>#VALUE!</v>
      </c>
      <c r="AP86" s="29" t="e">
        <f t="shared" si="58"/>
        <v>#VALUE!</v>
      </c>
      <c r="AQ86" s="27">
        <f t="shared" si="59"/>
        <v>13.725249000638856</v>
      </c>
      <c r="AR86" s="14">
        <f t="shared" si="60"/>
        <v>917.94995032996576</v>
      </c>
      <c r="AS86" s="25">
        <v>0.36849740461643371</v>
      </c>
      <c r="AT86" s="22">
        <f t="shared" si="61"/>
        <v>0.7001024108929832</v>
      </c>
      <c r="AU86" s="22">
        <f t="shared" si="62"/>
        <v>0.33160500627654949</v>
      </c>
      <c r="AV86" s="115">
        <f t="shared" si="63"/>
        <v>0.11342182355429106</v>
      </c>
      <c r="AW86" s="163">
        <f t="shared" si="64"/>
        <v>4.3623862009534659E-3</v>
      </c>
      <c r="AX86" s="116">
        <f t="shared" si="65"/>
        <v>3316.0500627654947</v>
      </c>
      <c r="AY86" s="115">
        <f t="shared" si="66"/>
        <v>0.12432778905667473</v>
      </c>
      <c r="AZ86" s="157">
        <f t="shared" si="67"/>
        <v>124.32778905667473</v>
      </c>
      <c r="BA86" s="117">
        <f t="shared" si="68"/>
        <v>113.42182355429107</v>
      </c>
      <c r="BB86" s="118">
        <f t="shared" si="69"/>
        <v>7.7633570523625188</v>
      </c>
      <c r="BC86" s="118">
        <f t="shared" si="70"/>
        <v>88.489819909557454</v>
      </c>
      <c r="BD86" s="117">
        <f t="shared" si="71"/>
        <v>1.3155368943119501</v>
      </c>
      <c r="BE86" s="14">
        <f t="shared" si="72"/>
        <v>-10.636587791312063</v>
      </c>
      <c r="BF86" s="25">
        <v>1.0808848989999</v>
      </c>
      <c r="BG86" s="22">
        <f t="shared" si="73"/>
        <v>1.0995237368144652</v>
      </c>
      <c r="BH86" s="38">
        <f t="shared" si="74"/>
        <v>1.8638837814565212E-2</v>
      </c>
      <c r="BI86" s="115">
        <f t="shared" si="75"/>
        <v>0.19394670823387919</v>
      </c>
      <c r="BJ86" s="163">
        <f t="shared" si="76"/>
        <v>3.365441872121473E-3</v>
      </c>
      <c r="BK86" s="116">
        <f t="shared" si="77"/>
        <v>186.38837814565215</v>
      </c>
      <c r="BL86" s="115">
        <f t="shared" si="78"/>
        <v>0.22660365144341779</v>
      </c>
      <c r="BM86" s="157">
        <f t="shared" si="79"/>
        <v>226.60365144341779</v>
      </c>
      <c r="BN86" s="117">
        <f t="shared" si="80"/>
        <v>193.94670823387918</v>
      </c>
      <c r="BO86" s="161">
        <f t="shared" si="81"/>
        <v>18.056071443958633</v>
      </c>
      <c r="BP86" s="161">
        <f t="shared" si="82"/>
        <v>11.398396249548838</v>
      </c>
    </row>
    <row r="87" spans="1:68" ht="15.75">
      <c r="A87" s="67">
        <v>133</v>
      </c>
      <c r="B87" s="66">
        <v>5</v>
      </c>
      <c r="C87" s="66" t="s">
        <v>419</v>
      </c>
      <c r="D87" s="66" t="s">
        <v>418</v>
      </c>
      <c r="E87" s="66" t="s">
        <v>437</v>
      </c>
      <c r="F87" s="66" t="s">
        <v>411</v>
      </c>
      <c r="G87" s="66"/>
      <c r="H87" s="66" t="s">
        <v>431</v>
      </c>
      <c r="I87" s="66">
        <v>100</v>
      </c>
      <c r="J87" s="66">
        <v>20</v>
      </c>
      <c r="K87" s="66">
        <v>30</v>
      </c>
      <c r="L87" s="66" t="s">
        <v>475</v>
      </c>
      <c r="M87" s="66">
        <v>1</v>
      </c>
      <c r="N87"/>
      <c r="O87"/>
      <c r="P87"/>
      <c r="Q87" s="66">
        <v>20</v>
      </c>
      <c r="R87">
        <v>2.0789217134416549</v>
      </c>
      <c r="S87" s="55">
        <v>0.81107828655834513</v>
      </c>
      <c r="T87" s="82">
        <v>199</v>
      </c>
      <c r="U87" s="82" t="s">
        <v>279</v>
      </c>
      <c r="V87" s="83">
        <v>0.90880312500000004</v>
      </c>
      <c r="W87" s="83">
        <v>51.07962408050259</v>
      </c>
      <c r="X87" s="83">
        <v>0.51642774999999996</v>
      </c>
      <c r="Y87" s="83">
        <v>-23.027144715921139</v>
      </c>
      <c r="Z87" s="71" t="s">
        <v>54</v>
      </c>
      <c r="AA87" s="73">
        <v>5.5661983611111108</v>
      </c>
      <c r="AB87" s="73">
        <v>3.0248816727959098</v>
      </c>
      <c r="AC87" s="73">
        <v>3.9982883888888887</v>
      </c>
      <c r="AD87" s="73">
        <v>-25.508901929003891</v>
      </c>
      <c r="AE87" s="73">
        <v>2.2461111111111109</v>
      </c>
      <c r="AF87" s="73">
        <v>2.2461111111111109</v>
      </c>
      <c r="AG87" s="32">
        <f t="shared" si="51"/>
        <v>1.1379460310984945E-2</v>
      </c>
      <c r="AH87" s="32">
        <f t="shared" si="52"/>
        <v>0.25846953038557846</v>
      </c>
      <c r="AI87" s="33">
        <f t="shared" si="53"/>
        <v>1.034168909143659E-2</v>
      </c>
      <c r="AJ87" s="34">
        <f t="shared" si="54"/>
        <v>0.13348083802058092</v>
      </c>
      <c r="AK87" s="16">
        <f t="shared" si="49"/>
        <v>3.4508546731313867E-3</v>
      </c>
      <c r="AL87" s="16">
        <f t="shared" si="50"/>
        <v>4.4540400468839565E-2</v>
      </c>
      <c r="AM87" s="27">
        <f t="shared" si="55"/>
        <v>3.4508546731313867</v>
      </c>
      <c r="AN87" s="27">
        <f t="shared" si="56"/>
        <v>44.540400468839564</v>
      </c>
      <c r="AO87" s="29" t="e">
        <f t="shared" si="57"/>
        <v>#VALUE!</v>
      </c>
      <c r="AP87" s="29" t="e">
        <f t="shared" si="58"/>
        <v>#VALUE!</v>
      </c>
      <c r="AQ87" s="27">
        <f t="shared" si="59"/>
        <v>12.907063521287775</v>
      </c>
      <c r="AR87" s="14">
        <f t="shared" si="60"/>
        <v>50.03474240770668</v>
      </c>
      <c r="AS87" s="25">
        <v>0.36849740461643371</v>
      </c>
      <c r="AT87" s="22">
        <f t="shared" si="61"/>
        <v>0.38450859592374537</v>
      </c>
      <c r="AU87" s="22">
        <f t="shared" si="62"/>
        <v>1.6011191307311656E-2</v>
      </c>
      <c r="AV87" s="115">
        <f t="shared" si="63"/>
        <v>6.4027733978967369E-3</v>
      </c>
      <c r="AW87" s="163">
        <f t="shared" si="64"/>
        <v>5.5252294345237065E-4</v>
      </c>
      <c r="AX87" s="116">
        <f t="shared" si="65"/>
        <v>160.11191307311657</v>
      </c>
      <c r="AY87" s="115">
        <f t="shared" si="66"/>
        <v>7.7840807565276631E-3</v>
      </c>
      <c r="AZ87" s="157">
        <f t="shared" si="67"/>
        <v>7.7840807565276631</v>
      </c>
      <c r="BA87" s="117">
        <f t="shared" si="68"/>
        <v>6.4027733978967367</v>
      </c>
      <c r="BB87" s="118">
        <f t="shared" si="69"/>
        <v>6.7615188405664446</v>
      </c>
      <c r="BC87" s="118">
        <f t="shared" si="70"/>
        <v>54.707467500525418</v>
      </c>
      <c r="BD87" s="117">
        <f t="shared" si="71"/>
        <v>3.4508546731313867</v>
      </c>
      <c r="BE87" s="14">
        <f t="shared" si="72"/>
        <v>-23.54824278691725</v>
      </c>
      <c r="BF87" s="25">
        <v>1.0808848989999</v>
      </c>
      <c r="BG87" s="22">
        <f t="shared" si="73"/>
        <v>1.0853301753586209</v>
      </c>
      <c r="BH87" s="38">
        <f t="shared" si="74"/>
        <v>4.4452763587208288E-3</v>
      </c>
      <c r="BI87" s="115">
        <f t="shared" si="75"/>
        <v>5.7814268282346459E-3</v>
      </c>
      <c r="BJ87" s="163">
        <f t="shared" si="76"/>
        <v>1.9799438921209067E-3</v>
      </c>
      <c r="BK87" s="116">
        <f t="shared" si="77"/>
        <v>44.452763587208288</v>
      </c>
      <c r="BL87" s="115">
        <f t="shared" si="78"/>
        <v>1.1453964912066242E-2</v>
      </c>
      <c r="BM87" s="157">
        <f t="shared" si="79"/>
        <v>11.453964912066242</v>
      </c>
      <c r="BN87" s="117">
        <f t="shared" si="80"/>
        <v>5.7814268282346459</v>
      </c>
      <c r="BO87" s="161">
        <f t="shared" si="81"/>
        <v>44.540400468839564</v>
      </c>
      <c r="BP87" s="161">
        <f t="shared" si="82"/>
        <v>8.0910027451675806</v>
      </c>
    </row>
    <row r="88" spans="1:68" ht="15.75">
      <c r="A88" s="67">
        <v>134</v>
      </c>
      <c r="B88" s="66">
        <v>5</v>
      </c>
      <c r="C88" s="66" t="s">
        <v>421</v>
      </c>
      <c r="D88" s="66" t="s">
        <v>416</v>
      </c>
      <c r="E88" s="66" t="s">
        <v>437</v>
      </c>
      <c r="F88" s="66" t="s">
        <v>411</v>
      </c>
      <c r="G88" s="66"/>
      <c r="H88" s="66" t="s">
        <v>431</v>
      </c>
      <c r="I88" s="66">
        <v>100</v>
      </c>
      <c r="J88" s="66">
        <v>20</v>
      </c>
      <c r="K88" s="66">
        <v>30</v>
      </c>
      <c r="L88" s="66" t="s">
        <v>476</v>
      </c>
      <c r="M88" s="66">
        <v>1</v>
      </c>
      <c r="N88"/>
      <c r="O88"/>
      <c r="P88"/>
      <c r="Q88" s="66">
        <v>20</v>
      </c>
      <c r="R88">
        <v>2.6693085106382974</v>
      </c>
      <c r="S88" s="55">
        <v>2.0206914893617025</v>
      </c>
      <c r="T88" s="80">
        <v>200</v>
      </c>
      <c r="U88" s="80" t="s">
        <v>280</v>
      </c>
      <c r="V88" s="81">
        <v>0.74520900000000001</v>
      </c>
      <c r="W88" s="81">
        <v>204.72892060144002</v>
      </c>
      <c r="X88" s="81">
        <v>0.47822825000000002</v>
      </c>
      <c r="Y88" s="81">
        <v>-19.812138448850384</v>
      </c>
      <c r="Z88" s="71" t="s">
        <v>54</v>
      </c>
      <c r="AA88" s="73">
        <v>5.5661983611111108</v>
      </c>
      <c r="AB88" s="73">
        <v>3.0248816727959098</v>
      </c>
      <c r="AC88" s="73">
        <v>3.9982883888888887</v>
      </c>
      <c r="AD88" s="73">
        <v>-25.508901929003891</v>
      </c>
      <c r="AE88" s="73">
        <v>2.2461111111111109</v>
      </c>
      <c r="AF88" s="73">
        <v>2.2461111111111109</v>
      </c>
      <c r="AG88" s="32">
        <f t="shared" si="51"/>
        <v>1.1379460310984945E-2</v>
      </c>
      <c r="AH88" s="32">
        <f t="shared" si="52"/>
        <v>0.25846953038557846</v>
      </c>
      <c r="AI88" s="33">
        <f t="shared" si="53"/>
        <v>8.4800762388887799E-3</v>
      </c>
      <c r="AJ88" s="34">
        <f t="shared" si="54"/>
        <v>0.12360743119461702</v>
      </c>
      <c r="AK88" s="16">
        <f t="shared" si="49"/>
        <v>2.3319040857536933E-3</v>
      </c>
      <c r="AL88" s="16">
        <f t="shared" si="50"/>
        <v>3.3990339911144085E-2</v>
      </c>
      <c r="AM88" s="27">
        <f t="shared" si="55"/>
        <v>2.3319040857536932</v>
      </c>
      <c r="AN88" s="27">
        <f t="shared" si="56"/>
        <v>33.990339911144083</v>
      </c>
      <c r="AO88" s="29" t="e">
        <f t="shared" si="57"/>
        <v>#VALUE!</v>
      </c>
      <c r="AP88" s="29" t="e">
        <f t="shared" si="58"/>
        <v>#VALUE!</v>
      </c>
      <c r="AQ88" s="27">
        <f t="shared" si="59"/>
        <v>14.576216971701944</v>
      </c>
      <c r="AR88" s="14">
        <f t="shared" si="60"/>
        <v>203.6840389286441</v>
      </c>
      <c r="AS88" s="25">
        <v>0.36849740461643371</v>
      </c>
      <c r="AT88" s="22">
        <f t="shared" si="61"/>
        <v>0.44052504281895516</v>
      </c>
      <c r="AU88" s="22">
        <f t="shared" si="62"/>
        <v>7.2027638202521449E-2</v>
      </c>
      <c r="AV88" s="115">
        <f t="shared" si="63"/>
        <v>5.0334453665537231E-2</v>
      </c>
      <c r="AW88" s="163">
        <f t="shared" si="64"/>
        <v>1.6796154381164858E-3</v>
      </c>
      <c r="AX88" s="116">
        <f t="shared" si="65"/>
        <v>720.2763820252145</v>
      </c>
      <c r="AY88" s="115">
        <f t="shared" si="66"/>
        <v>5.4533492260828452E-2</v>
      </c>
      <c r="AZ88" s="157">
        <f t="shared" si="67"/>
        <v>54.533492260828453</v>
      </c>
      <c r="BA88" s="117">
        <f t="shared" si="68"/>
        <v>50.334453665537232</v>
      </c>
      <c r="BB88" s="118">
        <f t="shared" si="69"/>
        <v>6.4718071977780438</v>
      </c>
      <c r="BC88" s="118">
        <f t="shared" si="70"/>
        <v>63.818898498217081</v>
      </c>
      <c r="BD88" s="117">
        <f t="shared" si="71"/>
        <v>2.3319040857536932</v>
      </c>
      <c r="BE88" s="14">
        <f t="shared" si="72"/>
        <v>-20.333236519846494</v>
      </c>
      <c r="BF88" s="25">
        <v>1.0808848989999</v>
      </c>
      <c r="BG88" s="22">
        <f t="shared" si="73"/>
        <v>1.0888647576464674</v>
      </c>
      <c r="BH88" s="38">
        <f t="shared" si="74"/>
        <v>7.9798586465673615E-3</v>
      </c>
      <c r="BI88" s="115">
        <f t="shared" si="75"/>
        <v>7.4317173417601495E-2</v>
      </c>
      <c r="BJ88" s="163">
        <f t="shared" si="76"/>
        <v>2.7123810783970682E-3</v>
      </c>
      <c r="BK88" s="116">
        <f t="shared" si="77"/>
        <v>79.798586465673623</v>
      </c>
      <c r="BL88" s="115">
        <f t="shared" si="78"/>
        <v>9.0387772790794338E-2</v>
      </c>
      <c r="BM88" s="157">
        <f t="shared" si="79"/>
        <v>90.387772790794344</v>
      </c>
      <c r="BN88" s="117">
        <f t="shared" si="80"/>
        <v>74.317173417601495</v>
      </c>
      <c r="BO88" s="161">
        <f t="shared" si="81"/>
        <v>33.990339911144083</v>
      </c>
      <c r="BP88" s="161">
        <f t="shared" si="82"/>
        <v>9.8610629995479364</v>
      </c>
    </row>
    <row r="89" spans="1:68" ht="15.75">
      <c r="A89" s="67">
        <v>135</v>
      </c>
      <c r="B89" s="66">
        <v>5</v>
      </c>
      <c r="C89" s="66" t="s">
        <v>423</v>
      </c>
      <c r="D89" s="66" t="s">
        <v>422</v>
      </c>
      <c r="E89" s="66" t="s">
        <v>437</v>
      </c>
      <c r="F89" s="66" t="s">
        <v>411</v>
      </c>
      <c r="G89" s="66"/>
      <c r="H89" s="66" t="s">
        <v>431</v>
      </c>
      <c r="I89" s="66">
        <v>100</v>
      </c>
      <c r="J89" s="66">
        <v>20</v>
      </c>
      <c r="K89" s="66">
        <v>30</v>
      </c>
      <c r="L89" s="66" t="s">
        <v>477</v>
      </c>
      <c r="M89" s="66">
        <v>1</v>
      </c>
      <c r="N89"/>
      <c r="O89"/>
      <c r="P89"/>
      <c r="Q89" s="66">
        <v>20</v>
      </c>
      <c r="R89">
        <v>3.8675501307759372</v>
      </c>
      <c r="S89" s="55">
        <v>1.8124498692240627</v>
      </c>
      <c r="T89" s="82">
        <v>201</v>
      </c>
      <c r="U89" s="82" t="s">
        <v>281</v>
      </c>
      <c r="V89" s="83">
        <v>3.6602285000000001</v>
      </c>
      <c r="W89" s="83">
        <v>294.77775269170206</v>
      </c>
      <c r="X89" s="83">
        <v>2.0633252500000001</v>
      </c>
      <c r="Y89" s="83">
        <v>-16.567687791503261</v>
      </c>
      <c r="Z89" s="71" t="s">
        <v>54</v>
      </c>
      <c r="AA89" s="73">
        <v>5.5661983611111108</v>
      </c>
      <c r="AB89" s="73">
        <v>3.0248816727959098</v>
      </c>
      <c r="AC89" s="73">
        <v>3.9982883888888887</v>
      </c>
      <c r="AD89" s="73">
        <v>-25.508901929003891</v>
      </c>
      <c r="AE89" s="73">
        <v>2.2461111111111109</v>
      </c>
      <c r="AF89" s="73">
        <v>2.2461111111111109</v>
      </c>
      <c r="AG89" s="32">
        <f t="shared" si="51"/>
        <v>1.1379460310984945E-2</v>
      </c>
      <c r="AH89" s="32">
        <f t="shared" si="52"/>
        <v>0.25846953038557846</v>
      </c>
      <c r="AI89" s="33">
        <f t="shared" si="53"/>
        <v>4.1651424944885961E-2</v>
      </c>
      <c r="AJ89" s="34">
        <f t="shared" si="54"/>
        <v>0.53330670840020633</v>
      </c>
      <c r="AK89" s="16">
        <f t="shared" si="49"/>
        <v>7.8302765994985712E-3</v>
      </c>
      <c r="AL89" s="16">
        <f t="shared" si="50"/>
        <v>0.1002592118917284</v>
      </c>
      <c r="AM89" s="27">
        <f t="shared" si="55"/>
        <v>7.8302765994985712</v>
      </c>
      <c r="AN89" s="27">
        <f t="shared" si="56"/>
        <v>100.2592118917284</v>
      </c>
      <c r="AO89" s="29" t="e">
        <f t="shared" si="57"/>
        <v>#VALUE!</v>
      </c>
      <c r="AP89" s="29" t="e">
        <f t="shared" si="58"/>
        <v>#VALUE!</v>
      </c>
      <c r="AQ89" s="27">
        <f t="shared" si="59"/>
        <v>12.804044738106535</v>
      </c>
      <c r="AR89" s="14">
        <f t="shared" si="60"/>
        <v>293.73287101890617</v>
      </c>
      <c r="AS89" s="25">
        <v>0.36849740461643371</v>
      </c>
      <c r="AT89" s="22">
        <f t="shared" si="61"/>
        <v>0.47332518145889518</v>
      </c>
      <c r="AU89" s="22">
        <f t="shared" si="62"/>
        <v>0.10482777684246147</v>
      </c>
      <c r="AV89" s="115">
        <f t="shared" si="63"/>
        <v>0.73355469681193253</v>
      </c>
      <c r="AW89" s="163">
        <f t="shared" si="64"/>
        <v>8.2083048798698433E-3</v>
      </c>
      <c r="AX89" s="116">
        <f t="shared" si="65"/>
        <v>1048.2777684246148</v>
      </c>
      <c r="AY89" s="115">
        <f t="shared" si="66"/>
        <v>0.75407545901160722</v>
      </c>
      <c r="AZ89" s="157">
        <f t="shared" si="67"/>
        <v>754.07545901160722</v>
      </c>
      <c r="BA89" s="117">
        <f t="shared" si="68"/>
        <v>733.55469681193256</v>
      </c>
      <c r="BB89" s="118">
        <f t="shared" si="69"/>
        <v>15.790995521383536</v>
      </c>
      <c r="BC89" s="118">
        <f t="shared" si="70"/>
        <v>159.34896489383939</v>
      </c>
      <c r="BD89" s="117">
        <f t="shared" si="71"/>
        <v>7.8302765994985712</v>
      </c>
      <c r="BE89" s="14">
        <f t="shared" si="72"/>
        <v>-17.088785862499371</v>
      </c>
      <c r="BF89" s="25">
        <v>1.0808848989999</v>
      </c>
      <c r="BG89" s="22">
        <f t="shared" si="73"/>
        <v>1.0924314550586178</v>
      </c>
      <c r="BH89" s="38">
        <f t="shared" si="74"/>
        <v>1.1546556058717794E-2</v>
      </c>
      <c r="BI89" s="115">
        <f t="shared" si="75"/>
        <v>0.924827514924637</v>
      </c>
      <c r="BJ89" s="163">
        <f t="shared" si="76"/>
        <v>1.1576486105107075E-2</v>
      </c>
      <c r="BK89" s="116">
        <f t="shared" si="77"/>
        <v>115.46556058717795</v>
      </c>
      <c r="BL89" s="115">
        <f t="shared" si="78"/>
        <v>1.0693721695529843</v>
      </c>
      <c r="BM89" s="157">
        <f t="shared" si="79"/>
        <v>1069.3721695529844</v>
      </c>
      <c r="BN89" s="117">
        <f t="shared" si="80"/>
        <v>924.82751492463694</v>
      </c>
      <c r="BO89" s="161">
        <f t="shared" si="81"/>
        <v>100.2592118917284</v>
      </c>
      <c r="BP89" s="161">
        <f t="shared" si="82"/>
        <v>10.091128496493802</v>
      </c>
    </row>
    <row r="90" spans="1:68" ht="15.75">
      <c r="A90" s="67">
        <v>136</v>
      </c>
      <c r="B90" s="66">
        <v>5</v>
      </c>
      <c r="C90" s="66" t="s">
        <v>425</v>
      </c>
      <c r="D90" s="66" t="s">
        <v>414</v>
      </c>
      <c r="E90" s="66" t="s">
        <v>437</v>
      </c>
      <c r="F90" s="66" t="s">
        <v>411</v>
      </c>
      <c r="G90" s="66"/>
      <c r="H90" s="66" t="s">
        <v>431</v>
      </c>
      <c r="I90" s="66">
        <v>100</v>
      </c>
      <c r="J90" s="66">
        <v>20</v>
      </c>
      <c r="K90" s="66">
        <v>30</v>
      </c>
      <c r="L90" s="66" t="s">
        <v>478</v>
      </c>
      <c r="M90" s="66">
        <v>1</v>
      </c>
      <c r="N90"/>
      <c r="O90"/>
      <c r="P90"/>
      <c r="Q90" s="66">
        <v>20</v>
      </c>
      <c r="R90">
        <v>5.8843069873997704</v>
      </c>
      <c r="S90" s="55">
        <v>5.1156930126002287</v>
      </c>
      <c r="T90" s="80">
        <v>202</v>
      </c>
      <c r="U90" s="80" t="s">
        <v>282</v>
      </c>
      <c r="V90" s="81">
        <v>1.8938012500000001</v>
      </c>
      <c r="W90" s="81">
        <v>782.75658044388638</v>
      </c>
      <c r="X90" s="81">
        <v>0.95136162499999999</v>
      </c>
      <c r="Y90" s="81">
        <v>-19.01846302463489</v>
      </c>
      <c r="Z90" s="71" t="s">
        <v>54</v>
      </c>
      <c r="AA90" s="73">
        <v>5.5661983611111108</v>
      </c>
      <c r="AB90" s="73">
        <v>3.0248816727959098</v>
      </c>
      <c r="AC90" s="73">
        <v>3.9982883888888887</v>
      </c>
      <c r="AD90" s="73">
        <v>-25.508901929003891</v>
      </c>
      <c r="AE90" s="73">
        <v>2.2461111111111109</v>
      </c>
      <c r="AF90" s="73">
        <v>2.2461111111111109</v>
      </c>
      <c r="AG90" s="32">
        <f t="shared" si="51"/>
        <v>1.1379460310984945E-2</v>
      </c>
      <c r="AH90" s="32">
        <f t="shared" si="52"/>
        <v>0.25846953038557846</v>
      </c>
      <c r="AI90" s="33">
        <f t="shared" si="53"/>
        <v>2.1550436161268678E-2</v>
      </c>
      <c r="AJ90" s="34">
        <f t="shared" si="54"/>
        <v>0.24589799244061081</v>
      </c>
      <c r="AK90" s="16">
        <f t="shared" si="49"/>
        <v>3.0660882698849978E-3</v>
      </c>
      <c r="AL90" s="16">
        <f t="shared" si="50"/>
        <v>3.4985136475587778E-2</v>
      </c>
      <c r="AM90" s="27">
        <f t="shared" si="55"/>
        <v>3.0660882698849976</v>
      </c>
      <c r="AN90" s="27">
        <f t="shared" si="56"/>
        <v>34.98513647558778</v>
      </c>
      <c r="AO90" s="29" t="e">
        <f t="shared" si="57"/>
        <v>#VALUE!</v>
      </c>
      <c r="AP90" s="29" t="e">
        <f t="shared" si="58"/>
        <v>#VALUE!</v>
      </c>
      <c r="AQ90" s="27">
        <f t="shared" si="59"/>
        <v>11.41034875584322</v>
      </c>
      <c r="AR90" s="14">
        <f t="shared" si="60"/>
        <v>781.71169877109048</v>
      </c>
      <c r="AS90" s="25">
        <v>0.36849740461643371</v>
      </c>
      <c r="AT90" s="22">
        <f t="shared" si="61"/>
        <v>0.65069544367663479</v>
      </c>
      <c r="AU90" s="22">
        <f t="shared" si="62"/>
        <v>0.28219803906020108</v>
      </c>
      <c r="AV90" s="115">
        <f t="shared" si="63"/>
        <v>0.13835690023189129</v>
      </c>
      <c r="AW90" s="163">
        <f t="shared" si="64"/>
        <v>8.6524409734703087E-3</v>
      </c>
      <c r="AX90" s="116">
        <f t="shared" si="65"/>
        <v>2821.9803906020106</v>
      </c>
      <c r="AY90" s="115">
        <f t="shared" si="66"/>
        <v>0.15998800266556706</v>
      </c>
      <c r="AZ90" s="157">
        <f t="shared" si="67"/>
        <v>159.98800266556705</v>
      </c>
      <c r="BA90" s="117">
        <f t="shared" si="68"/>
        <v>138.3569002318913</v>
      </c>
      <c r="BB90" s="118">
        <f t="shared" si="69"/>
        <v>12.719012262701758</v>
      </c>
      <c r="BC90" s="118">
        <f t="shared" si="70"/>
        <v>129.38915616443077</v>
      </c>
      <c r="BD90" s="117">
        <f t="shared" si="71"/>
        <v>3.0660882698849976</v>
      </c>
      <c r="BE90" s="14">
        <f t="shared" si="72"/>
        <v>-19.539561095631001</v>
      </c>
      <c r="BF90" s="25">
        <v>1.0808848989999</v>
      </c>
      <c r="BG90" s="22">
        <f t="shared" si="73"/>
        <v>1.0897372866165445</v>
      </c>
      <c r="BH90" s="38">
        <f t="shared" si="74"/>
        <v>8.8523876166444193E-3</v>
      </c>
      <c r="BI90" s="115">
        <f t="shared" si="75"/>
        <v>0.2099299806935416</v>
      </c>
      <c r="BJ90" s="163">
        <f t="shared" si="76"/>
        <v>3.0970198890310822E-3</v>
      </c>
      <c r="BK90" s="116">
        <f t="shared" si="77"/>
        <v>88.523876166444197</v>
      </c>
      <c r="BL90" s="115">
        <f t="shared" si="78"/>
        <v>0.243913778002812</v>
      </c>
      <c r="BM90" s="157">
        <f t="shared" si="79"/>
        <v>243.91377800281199</v>
      </c>
      <c r="BN90" s="117">
        <f t="shared" si="80"/>
        <v>209.92998069354161</v>
      </c>
      <c r="BO90" s="161">
        <f t="shared" si="81"/>
        <v>34.98513647558778</v>
      </c>
      <c r="BP90" s="161">
        <f t="shared" si="82"/>
        <v>10.172893420651995</v>
      </c>
    </row>
    <row r="91" spans="1:68" ht="15.75">
      <c r="A91" s="67">
        <v>137</v>
      </c>
      <c r="B91" s="66">
        <v>6</v>
      </c>
      <c r="C91" s="66" t="s">
        <v>408</v>
      </c>
      <c r="D91" s="66" t="s">
        <v>422</v>
      </c>
      <c r="E91" s="66" t="s">
        <v>437</v>
      </c>
      <c r="F91" s="66" t="s">
        <v>411</v>
      </c>
      <c r="G91" s="66"/>
      <c r="H91" s="66" t="s">
        <v>432</v>
      </c>
      <c r="I91" s="66">
        <v>100</v>
      </c>
      <c r="J91" s="66">
        <v>20</v>
      </c>
      <c r="K91" s="66">
        <v>30</v>
      </c>
      <c r="L91" s="66" t="s">
        <v>62</v>
      </c>
      <c r="M91" s="66">
        <v>2</v>
      </c>
      <c r="N91"/>
      <c r="O91"/>
      <c r="P91"/>
      <c r="Q91" s="66">
        <v>20</v>
      </c>
      <c r="R91">
        <v>5.3168200836820096</v>
      </c>
      <c r="S91" s="55">
        <v>1.7231799163179911</v>
      </c>
      <c r="T91" s="80">
        <v>204</v>
      </c>
      <c r="U91" s="80" t="s">
        <v>284</v>
      </c>
      <c r="V91" s="81">
        <v>0.71126362499999995</v>
      </c>
      <c r="W91" s="81">
        <v>251.08498373463692</v>
      </c>
      <c r="X91" s="81">
        <v>0.465487875</v>
      </c>
      <c r="Y91" s="81">
        <v>-18.864093238668779</v>
      </c>
      <c r="Z91" s="71" t="s">
        <v>54</v>
      </c>
      <c r="AA91" s="73">
        <v>5.5661983611111108</v>
      </c>
      <c r="AB91" s="73">
        <v>3.0248816727959098</v>
      </c>
      <c r="AC91" s="73">
        <v>3.9982883888888887</v>
      </c>
      <c r="AD91" s="73">
        <v>-25.508901929003891</v>
      </c>
      <c r="AE91" s="73">
        <v>2.2461111111111109</v>
      </c>
      <c r="AF91" s="73">
        <v>2.2461111111111109</v>
      </c>
      <c r="AG91" s="32">
        <f t="shared" si="51"/>
        <v>1.1379460310984945E-2</v>
      </c>
      <c r="AH91" s="32">
        <f t="shared" si="52"/>
        <v>0.25846953038557846</v>
      </c>
      <c r="AI91" s="33">
        <f t="shared" si="53"/>
        <v>8.0937961913347782E-3</v>
      </c>
      <c r="AJ91" s="34">
        <f t="shared" si="54"/>
        <v>0.12031443245143085</v>
      </c>
      <c r="AK91" s="16">
        <f t="shared" si="49"/>
        <v>1.1023066927416359E-3</v>
      </c>
      <c r="AL91" s="16">
        <f t="shared" si="50"/>
        <v>1.6385809697878281E-2</v>
      </c>
      <c r="AM91" s="27">
        <f t="shared" si="55"/>
        <v>1.1023066927416358</v>
      </c>
      <c r="AN91" s="27">
        <f t="shared" si="56"/>
        <v>16.38580969787828</v>
      </c>
      <c r="AO91" s="29" t="e">
        <f t="shared" si="57"/>
        <v>#VALUE!</v>
      </c>
      <c r="AP91" s="29" t="e">
        <f t="shared" si="58"/>
        <v>#VALUE!</v>
      </c>
      <c r="AQ91" s="27">
        <f t="shared" si="59"/>
        <v>14.865018788123123</v>
      </c>
      <c r="AR91" s="14">
        <f t="shared" si="60"/>
        <v>250.04010206184103</v>
      </c>
      <c r="AS91" s="25">
        <v>0.36849740461643371</v>
      </c>
      <c r="AT91" s="22">
        <f t="shared" si="61"/>
        <v>0.45741286198750114</v>
      </c>
      <c r="AU91" s="22">
        <f t="shared" si="62"/>
        <v>8.891545737106743E-2</v>
      </c>
      <c r="AV91" s="115">
        <f t="shared" si="63"/>
        <v>0.29749516566215611</v>
      </c>
      <c r="AW91" s="163">
        <f t="shared" si="64"/>
        <v>9.8012103748311256E-4</v>
      </c>
      <c r="AX91" s="116">
        <f t="shared" si="65"/>
        <v>889.1545737106743</v>
      </c>
      <c r="AY91" s="115">
        <f t="shared" si="66"/>
        <v>0.29994546825586388</v>
      </c>
      <c r="AZ91" s="157">
        <f t="shared" si="67"/>
        <v>299.94546825586389</v>
      </c>
      <c r="BA91" s="117">
        <f t="shared" si="68"/>
        <v>297.49516566215613</v>
      </c>
      <c r="BB91" s="118">
        <f t="shared" si="69"/>
        <v>16.80134251297639</v>
      </c>
      <c r="BC91" s="118">
        <f t="shared" si="70"/>
        <v>188.41639964525038</v>
      </c>
      <c r="BD91" s="117">
        <f t="shared" si="71"/>
        <v>1.1023066927416358</v>
      </c>
      <c r="BE91" s="14">
        <f t="shared" si="72"/>
        <v>-19.38519130966489</v>
      </c>
      <c r="BF91" s="25">
        <v>1.0808848989999</v>
      </c>
      <c r="BG91" s="22">
        <f t="shared" si="73"/>
        <v>1.0899069916206179</v>
      </c>
      <c r="BH91" s="38">
        <f t="shared" si="74"/>
        <v>9.0220926207178476E-3</v>
      </c>
      <c r="BI91" s="115">
        <f t="shared" si="75"/>
        <v>0.40384923903471009</v>
      </c>
      <c r="BJ91" s="163">
        <f t="shared" si="76"/>
        <v>1.4783429275971459E-3</v>
      </c>
      <c r="BK91" s="116">
        <f t="shared" si="77"/>
        <v>90.220926207178479</v>
      </c>
      <c r="BL91" s="115">
        <f t="shared" si="78"/>
        <v>0.45802625123304169</v>
      </c>
      <c r="BM91" s="157">
        <f t="shared" si="79"/>
        <v>458.02625123304171</v>
      </c>
      <c r="BN91" s="117">
        <f t="shared" si="80"/>
        <v>403.84923903471008</v>
      </c>
      <c r="BO91" s="161">
        <f t="shared" si="81"/>
        <v>16.38580969787828</v>
      </c>
      <c r="BP91" s="161">
        <f t="shared" si="82"/>
        <v>11.214365727008326</v>
      </c>
    </row>
    <row r="92" spans="1:68" ht="15.75">
      <c r="A92" s="67">
        <v>138</v>
      </c>
      <c r="B92" s="66">
        <v>6</v>
      </c>
      <c r="C92" s="66" t="s">
        <v>413</v>
      </c>
      <c r="D92" s="66" t="s">
        <v>426</v>
      </c>
      <c r="E92" s="66" t="s">
        <v>437</v>
      </c>
      <c r="F92" s="66" t="s">
        <v>411</v>
      </c>
      <c r="G92" s="66"/>
      <c r="H92" s="66" t="s">
        <v>432</v>
      </c>
      <c r="I92" s="66">
        <v>100</v>
      </c>
      <c r="J92" s="66">
        <v>20</v>
      </c>
      <c r="K92" s="66">
        <v>30</v>
      </c>
      <c r="L92" s="66" t="s">
        <v>63</v>
      </c>
      <c r="M92" s="66">
        <v>2</v>
      </c>
      <c r="N92"/>
      <c r="O92"/>
      <c r="P92"/>
      <c r="Q92" s="66">
        <v>20</v>
      </c>
      <c r="R92">
        <v>3.528965517241379</v>
      </c>
      <c r="S92" s="55">
        <v>2.491034482758621</v>
      </c>
      <c r="T92" s="82">
        <v>205</v>
      </c>
      <c r="U92" s="82" t="s">
        <v>285</v>
      </c>
      <c r="V92" s="83">
        <v>1.4404524999999999</v>
      </c>
      <c r="W92" s="83">
        <v>285.09597528976775</v>
      </c>
      <c r="X92" s="83">
        <v>0.84652125</v>
      </c>
      <c r="Y92" s="83">
        <v>-18.324338910358772</v>
      </c>
      <c r="Z92" s="71" t="s">
        <v>54</v>
      </c>
      <c r="AA92" s="73">
        <v>5.5661983611111108</v>
      </c>
      <c r="AB92" s="73">
        <v>3.0248816727959098</v>
      </c>
      <c r="AC92" s="73">
        <v>3.9982883888888887</v>
      </c>
      <c r="AD92" s="73">
        <v>-25.508901929003891</v>
      </c>
      <c r="AE92" s="73">
        <v>2.2461111111111109</v>
      </c>
      <c r="AF92" s="73">
        <v>2.2461111111111109</v>
      </c>
      <c r="AG92" s="32">
        <f t="shared" si="51"/>
        <v>1.1379460310984945E-2</v>
      </c>
      <c r="AH92" s="32">
        <f t="shared" si="52"/>
        <v>0.25846953038557846</v>
      </c>
      <c r="AI92" s="33">
        <f t="shared" si="53"/>
        <v>1.6391572053609041E-2</v>
      </c>
      <c r="AJ92" s="34">
        <f t="shared" si="54"/>
        <v>0.21879994994891286</v>
      </c>
      <c r="AK92" s="16">
        <f t="shared" si="49"/>
        <v>3.4822614019431835E-3</v>
      </c>
      <c r="AL92" s="16">
        <f t="shared" si="50"/>
        <v>4.6482339702520664E-2</v>
      </c>
      <c r="AM92" s="27">
        <f t="shared" si="55"/>
        <v>3.4822614019431835</v>
      </c>
      <c r="AN92" s="27">
        <f t="shared" si="56"/>
        <v>46.482339702520662</v>
      </c>
      <c r="AO92" s="29" t="e">
        <f t="shared" si="57"/>
        <v>#VALUE!</v>
      </c>
      <c r="AP92" s="29" t="e">
        <f t="shared" si="58"/>
        <v>#VALUE!</v>
      </c>
      <c r="AQ92" s="27">
        <f t="shared" si="59"/>
        <v>13.348320053337302</v>
      </c>
      <c r="AR92" s="14">
        <f t="shared" si="60"/>
        <v>284.05109361697185</v>
      </c>
      <c r="AS92" s="25">
        <v>0.36849740461643371</v>
      </c>
      <c r="AT92" s="22">
        <f t="shared" si="61"/>
        <v>0.46979964695891352</v>
      </c>
      <c r="AU92" s="22">
        <f t="shared" si="62"/>
        <v>0.10130224234247981</v>
      </c>
      <c r="AV92" s="115">
        <f t="shared" si="63"/>
        <v>0.18733755194169704</v>
      </c>
      <c r="AW92" s="163">
        <f t="shared" si="64"/>
        <v>3.527608884395119E-3</v>
      </c>
      <c r="AX92" s="116">
        <f t="shared" si="65"/>
        <v>1013.0224234247981</v>
      </c>
      <c r="AY92" s="115">
        <f t="shared" si="66"/>
        <v>0.19615657415268484</v>
      </c>
      <c r="AZ92" s="157">
        <f t="shared" si="67"/>
        <v>196.15657415268484</v>
      </c>
      <c r="BA92" s="117">
        <f t="shared" si="68"/>
        <v>187.33755194169706</v>
      </c>
      <c r="BB92" s="118">
        <f t="shared" si="69"/>
        <v>16.227868994179087</v>
      </c>
      <c r="BC92" s="118">
        <f t="shared" si="70"/>
        <v>199.3764646867962</v>
      </c>
      <c r="BD92" s="117">
        <f t="shared" si="71"/>
        <v>3.4822614019431835</v>
      </c>
      <c r="BE92" s="14">
        <f t="shared" si="72"/>
        <v>-18.845436981354883</v>
      </c>
      <c r="BF92" s="25">
        <v>1.0808848989999</v>
      </c>
      <c r="BG92" s="22">
        <f t="shared" si="73"/>
        <v>1.0905003609981916</v>
      </c>
      <c r="BH92" s="38">
        <f t="shared" si="74"/>
        <v>9.6154619982915523E-3</v>
      </c>
      <c r="BI92" s="115">
        <f t="shared" si="75"/>
        <v>0.22383421853477467</v>
      </c>
      <c r="BJ92" s="163">
        <f t="shared" si="76"/>
        <v>4.4694917100126614E-3</v>
      </c>
      <c r="BK92" s="116">
        <f t="shared" si="77"/>
        <v>96.154619982915534</v>
      </c>
      <c r="BL92" s="115">
        <f t="shared" si="78"/>
        <v>0.26298722512665312</v>
      </c>
      <c r="BM92" s="157">
        <f t="shared" si="79"/>
        <v>262.98722512665313</v>
      </c>
      <c r="BN92" s="117">
        <f t="shared" si="80"/>
        <v>223.83421853477466</v>
      </c>
      <c r="BO92" s="161">
        <f t="shared" si="81"/>
        <v>46.482339702520662</v>
      </c>
      <c r="BP92" s="161">
        <f t="shared" si="82"/>
        <v>12.286053378808534</v>
      </c>
    </row>
    <row r="93" spans="1:68" ht="15.75">
      <c r="A93" s="67">
        <v>139</v>
      </c>
      <c r="B93" s="66">
        <v>6</v>
      </c>
      <c r="C93" s="66" t="s">
        <v>415</v>
      </c>
      <c r="D93" s="66" t="s">
        <v>424</v>
      </c>
      <c r="E93" s="66" t="s">
        <v>437</v>
      </c>
      <c r="F93" s="66" t="s">
        <v>411</v>
      </c>
      <c r="G93" s="66"/>
      <c r="H93" s="66" t="s">
        <v>432</v>
      </c>
      <c r="I93" s="66">
        <v>100</v>
      </c>
      <c r="J93" s="66">
        <v>20</v>
      </c>
      <c r="K93" s="66">
        <v>30</v>
      </c>
      <c r="L93" s="66" t="s">
        <v>64</v>
      </c>
      <c r="M93" s="66">
        <v>2</v>
      </c>
      <c r="N93"/>
      <c r="O93"/>
      <c r="P93"/>
      <c r="Q93" s="66">
        <v>20</v>
      </c>
      <c r="R93">
        <v>2.488096551724138</v>
      </c>
      <c r="S93" s="55">
        <v>2.1019034482758618</v>
      </c>
      <c r="T93" s="80">
        <v>206</v>
      </c>
      <c r="U93" s="80" t="s">
        <v>286</v>
      </c>
      <c r="V93" s="81">
        <v>2.45942025</v>
      </c>
      <c r="W93" s="81">
        <v>174.70416726341358</v>
      </c>
      <c r="X93" s="81">
        <v>1.558738875</v>
      </c>
      <c r="Y93" s="81">
        <v>-21.499811449681115</v>
      </c>
      <c r="Z93" s="71" t="s">
        <v>54</v>
      </c>
      <c r="AA93" s="73">
        <v>5.5661983611111108</v>
      </c>
      <c r="AB93" s="73">
        <v>3.0248816727959098</v>
      </c>
      <c r="AC93" s="73">
        <v>3.9982883888888887</v>
      </c>
      <c r="AD93" s="73">
        <v>-25.508901929003891</v>
      </c>
      <c r="AE93" s="73">
        <v>2.2461111111111109</v>
      </c>
      <c r="AF93" s="73">
        <v>2.2461111111111109</v>
      </c>
      <c r="AG93" s="32">
        <f t="shared" si="51"/>
        <v>1.1379460310984945E-2</v>
      </c>
      <c r="AH93" s="32">
        <f t="shared" si="52"/>
        <v>0.25846953038557846</v>
      </c>
      <c r="AI93" s="33">
        <f t="shared" si="53"/>
        <v>2.7986875122907671E-2</v>
      </c>
      <c r="AJ93" s="34">
        <f t="shared" si="54"/>
        <v>0.4028865050149949</v>
      </c>
      <c r="AK93" s="16">
        <f t="shared" si="49"/>
        <v>8.2869668831356599E-3</v>
      </c>
      <c r="AL93" s="16">
        <f t="shared" si="50"/>
        <v>0.11929545939156141</v>
      </c>
      <c r="AM93" s="27">
        <f t="shared" si="55"/>
        <v>8.2869668831356602</v>
      </c>
      <c r="AN93" s="27">
        <f t="shared" si="56"/>
        <v>119.29545939156141</v>
      </c>
      <c r="AO93" s="29" t="e">
        <f t="shared" si="57"/>
        <v>#VALUE!</v>
      </c>
      <c r="AP93" s="29" t="e">
        <f t="shared" si="58"/>
        <v>#VALUE!</v>
      </c>
      <c r="AQ93" s="27">
        <f t="shared" si="59"/>
        <v>14.39555160215891</v>
      </c>
      <c r="AR93" s="14">
        <f t="shared" si="60"/>
        <v>173.65928559061769</v>
      </c>
      <c r="AS93" s="25">
        <v>0.36849740461643371</v>
      </c>
      <c r="AT93" s="22">
        <f t="shared" si="61"/>
        <v>0.42958376939702858</v>
      </c>
      <c r="AU93" s="22">
        <f t="shared" si="62"/>
        <v>6.1086364780594871E-2</v>
      </c>
      <c r="AV93" s="115">
        <f t="shared" si="63"/>
        <v>0.17237078507171658</v>
      </c>
      <c r="AW93" s="163">
        <f t="shared" si="64"/>
        <v>5.0622068194793425E-3</v>
      </c>
      <c r="AX93" s="116">
        <f t="shared" si="65"/>
        <v>610.86364780594874</v>
      </c>
      <c r="AY93" s="115">
        <f t="shared" si="66"/>
        <v>0.18502630212041493</v>
      </c>
      <c r="AZ93" s="157">
        <f t="shared" si="67"/>
        <v>185.02630212041493</v>
      </c>
      <c r="BA93" s="117">
        <f t="shared" si="68"/>
        <v>172.37078507171657</v>
      </c>
      <c r="BB93" s="118">
        <f t="shared" si="69"/>
        <v>12.781330643381787</v>
      </c>
      <c r="BC93" s="118">
        <f t="shared" si="70"/>
        <v>109.32997435104335</v>
      </c>
      <c r="BD93" s="117">
        <f t="shared" si="71"/>
        <v>8.2869668831356602</v>
      </c>
      <c r="BE93" s="14">
        <f t="shared" si="72"/>
        <v>-22.020909520677225</v>
      </c>
      <c r="BF93" s="25">
        <v>1.0808848989999</v>
      </c>
      <c r="BG93" s="22">
        <f t="shared" si="73"/>
        <v>1.0870093591387109</v>
      </c>
      <c r="BH93" s="38">
        <f t="shared" si="74"/>
        <v>6.1244601388108499E-3</v>
      </c>
      <c r="BI93" s="115">
        <f t="shared" si="75"/>
        <v>0.13382201896791135</v>
      </c>
      <c r="BJ93" s="163">
        <f t="shared" si="76"/>
        <v>7.3062028578474636E-3</v>
      </c>
      <c r="BK93" s="116">
        <f t="shared" si="77"/>
        <v>61.244601388108499</v>
      </c>
      <c r="BL93" s="115">
        <f t="shared" si="78"/>
        <v>0.1688152784835189</v>
      </c>
      <c r="BM93" s="157">
        <f t="shared" si="79"/>
        <v>168.81527848351891</v>
      </c>
      <c r="BN93" s="117">
        <f t="shared" si="80"/>
        <v>133.82201896791136</v>
      </c>
      <c r="BO93" s="161">
        <f t="shared" si="81"/>
        <v>119.29545939156141</v>
      </c>
      <c r="BP93" s="161">
        <f t="shared" si="82"/>
        <v>8.5538804527879684</v>
      </c>
    </row>
    <row r="94" spans="1:68" ht="15.75">
      <c r="A94" s="67">
        <v>140</v>
      </c>
      <c r="B94" s="66">
        <v>6</v>
      </c>
      <c r="C94" s="66" t="s">
        <v>417</v>
      </c>
      <c r="D94" s="66" t="s">
        <v>409</v>
      </c>
      <c r="E94" s="66" t="s">
        <v>437</v>
      </c>
      <c r="F94" s="66" t="s">
        <v>411</v>
      </c>
      <c r="G94" s="66"/>
      <c r="H94" s="66" t="s">
        <v>432</v>
      </c>
      <c r="I94" s="66">
        <v>100</v>
      </c>
      <c r="J94" s="66">
        <v>20</v>
      </c>
      <c r="K94" s="66">
        <v>30</v>
      </c>
      <c r="L94" s="66" t="s">
        <v>65</v>
      </c>
      <c r="M94" s="66">
        <v>2</v>
      </c>
      <c r="N94"/>
      <c r="O94"/>
      <c r="P94"/>
      <c r="Q94" s="66">
        <v>20</v>
      </c>
      <c r="R94">
        <v>3.8622580645161273</v>
      </c>
      <c r="S94" s="55">
        <v>2.2777419354838719</v>
      </c>
      <c r="T94" s="82">
        <v>207</v>
      </c>
      <c r="U94" s="82" t="s">
        <v>287</v>
      </c>
      <c r="V94" s="83">
        <v>1.4304345000000001</v>
      </c>
      <c r="W94" s="83">
        <v>567.47717248897368</v>
      </c>
      <c r="X94" s="83">
        <v>0.7679828125</v>
      </c>
      <c r="Y94" s="83">
        <v>-10.582755560947286</v>
      </c>
      <c r="Z94" s="71" t="s">
        <v>54</v>
      </c>
      <c r="AA94" s="73">
        <v>5.5661983611111108</v>
      </c>
      <c r="AB94" s="73">
        <v>3.0248816727959098</v>
      </c>
      <c r="AC94" s="73">
        <v>3.9982883888888887</v>
      </c>
      <c r="AD94" s="73">
        <v>-25.508901929003891</v>
      </c>
      <c r="AE94" s="73">
        <v>2.2461111111111109</v>
      </c>
      <c r="AF94" s="73">
        <v>2.2461111111111109</v>
      </c>
      <c r="AG94" s="32">
        <f t="shared" si="51"/>
        <v>1.1379460310984945E-2</v>
      </c>
      <c r="AH94" s="32">
        <f t="shared" si="52"/>
        <v>0.25846953038557846</v>
      </c>
      <c r="AI94" s="33">
        <f t="shared" si="53"/>
        <v>1.6277572620213596E-2</v>
      </c>
      <c r="AJ94" s="34">
        <f t="shared" si="54"/>
        <v>0.19850015689107076</v>
      </c>
      <c r="AK94" s="16">
        <f t="shared" si="49"/>
        <v>3.1296679827516683E-3</v>
      </c>
      <c r="AL94" s="16">
        <f t="shared" si="50"/>
        <v>3.816537023595936E-2</v>
      </c>
      <c r="AM94" s="27">
        <f t="shared" si="55"/>
        <v>3.1296679827516685</v>
      </c>
      <c r="AN94" s="27">
        <f t="shared" si="56"/>
        <v>38.165370235959358</v>
      </c>
      <c r="AO94" s="29" t="e">
        <f t="shared" si="57"/>
        <v>#VALUE!</v>
      </c>
      <c r="AP94" s="29" t="e">
        <f t="shared" si="58"/>
        <v>#VALUE!</v>
      </c>
      <c r="AQ94" s="27">
        <f t="shared" si="59"/>
        <v>12.194702583883544</v>
      </c>
      <c r="AR94" s="14">
        <f t="shared" si="60"/>
        <v>566.43229081617778</v>
      </c>
      <c r="AS94" s="25">
        <v>0.36849740461643371</v>
      </c>
      <c r="AT94" s="22">
        <f t="shared" si="61"/>
        <v>0.57252380063474495</v>
      </c>
      <c r="AU94" s="22">
        <f t="shared" si="62"/>
        <v>0.20402639601831124</v>
      </c>
      <c r="AV94" s="115">
        <f t="shared" si="63"/>
        <v>0.33568008857559323</v>
      </c>
      <c r="AW94" s="163">
        <f t="shared" si="64"/>
        <v>6.3853487925472118E-3</v>
      </c>
      <c r="AX94" s="116">
        <f t="shared" si="65"/>
        <v>2040.2639601831124</v>
      </c>
      <c r="AY94" s="115">
        <f t="shared" si="66"/>
        <v>0.35164346055696127</v>
      </c>
      <c r="AZ94" s="157">
        <f t="shared" si="67"/>
        <v>351.64346055696126</v>
      </c>
      <c r="BA94" s="117">
        <f t="shared" si="68"/>
        <v>335.68008857559323</v>
      </c>
      <c r="BB94" s="118">
        <f t="shared" si="69"/>
        <v>28.970432405829989</v>
      </c>
      <c r="BC94" s="118">
        <f t="shared" si="70"/>
        <v>282.31509776656651</v>
      </c>
      <c r="BD94" s="117">
        <f t="shared" si="71"/>
        <v>3.1296679827516685</v>
      </c>
      <c r="BE94" s="14">
        <f t="shared" si="72"/>
        <v>-11.103853631943396</v>
      </c>
      <c r="BF94" s="25">
        <v>1.0808848989999</v>
      </c>
      <c r="BG94" s="22">
        <f t="shared" si="73"/>
        <v>1.0990101505086245</v>
      </c>
      <c r="BH94" s="38">
        <f t="shared" si="74"/>
        <v>1.812525150872446E-2</v>
      </c>
      <c r="BI94" s="115">
        <f t="shared" si="75"/>
        <v>0.34519703375321459</v>
      </c>
      <c r="BJ94" s="163">
        <f t="shared" si="76"/>
        <v>6.9175693445034997E-3</v>
      </c>
      <c r="BK94" s="116">
        <f t="shared" si="77"/>
        <v>181.2525150872446</v>
      </c>
      <c r="BL94" s="115">
        <f t="shared" si="78"/>
        <v>0.40564058633362521</v>
      </c>
      <c r="BM94" s="157">
        <f t="shared" si="79"/>
        <v>405.64058633362521</v>
      </c>
      <c r="BN94" s="117">
        <f t="shared" si="80"/>
        <v>345.19703375321461</v>
      </c>
      <c r="BO94" s="161">
        <f t="shared" si="81"/>
        <v>38.165370235959358</v>
      </c>
      <c r="BP94" s="161">
        <f t="shared" si="82"/>
        <v>9.7449390403214569</v>
      </c>
    </row>
    <row r="95" spans="1:68" ht="15.75">
      <c r="A95" s="67">
        <v>141</v>
      </c>
      <c r="B95" s="66">
        <v>6</v>
      </c>
      <c r="C95" s="66" t="s">
        <v>419</v>
      </c>
      <c r="D95" s="66" t="s">
        <v>416</v>
      </c>
      <c r="E95" s="66" t="s">
        <v>437</v>
      </c>
      <c r="F95" s="66" t="s">
        <v>411</v>
      </c>
      <c r="G95" s="66"/>
      <c r="H95" s="66" t="s">
        <v>432</v>
      </c>
      <c r="I95" s="66">
        <v>100</v>
      </c>
      <c r="J95" s="66">
        <v>20</v>
      </c>
      <c r="K95" s="66">
        <v>30</v>
      </c>
      <c r="L95" s="66" t="s">
        <v>66</v>
      </c>
      <c r="M95" s="66">
        <v>2</v>
      </c>
      <c r="N95"/>
      <c r="O95"/>
      <c r="P95"/>
      <c r="Q95" s="66">
        <v>20</v>
      </c>
      <c r="R95">
        <v>2.92645438898451</v>
      </c>
      <c r="S95" s="55">
        <v>1.58354561101549</v>
      </c>
      <c r="T95" s="80">
        <v>208</v>
      </c>
      <c r="U95" s="80" t="s">
        <v>288</v>
      </c>
      <c r="V95" s="81">
        <v>0.63183362499999995</v>
      </c>
      <c r="W95" s="81">
        <v>1113.0381588839241</v>
      </c>
      <c r="X95" s="81">
        <v>0.39867009375000001</v>
      </c>
      <c r="Y95" s="81">
        <v>-10.600112800582764</v>
      </c>
      <c r="Z95" s="71" t="s">
        <v>54</v>
      </c>
      <c r="AA95" s="73">
        <v>5.5661983611111108</v>
      </c>
      <c r="AB95" s="73">
        <v>3.0248816727959098</v>
      </c>
      <c r="AC95" s="73">
        <v>3.9982883888888887</v>
      </c>
      <c r="AD95" s="73">
        <v>-25.508901929003891</v>
      </c>
      <c r="AE95" s="73">
        <v>2.2461111111111109</v>
      </c>
      <c r="AF95" s="73">
        <v>2.2461111111111109</v>
      </c>
      <c r="AG95" s="32">
        <f t="shared" si="51"/>
        <v>1.1379460310984945E-2</v>
      </c>
      <c r="AH95" s="32">
        <f t="shared" si="52"/>
        <v>0.25846953038557846</v>
      </c>
      <c r="AI95" s="33">
        <f t="shared" si="53"/>
        <v>7.1899256588332447E-3</v>
      </c>
      <c r="AJ95" s="34">
        <f t="shared" si="54"/>
        <v>0.10304407191033704</v>
      </c>
      <c r="AK95" s="16">
        <f t="shared" si="49"/>
        <v>1.7676007410351538E-3</v>
      </c>
      <c r="AL95" s="16">
        <f t="shared" si="50"/>
        <v>2.5332776235901803E-2</v>
      </c>
      <c r="AM95" s="27">
        <f t="shared" si="55"/>
        <v>1.7676007410351537</v>
      </c>
      <c r="AN95" s="27">
        <f t="shared" si="56"/>
        <v>25.332776235901804</v>
      </c>
      <c r="AO95" s="29" t="e">
        <f t="shared" si="57"/>
        <v>#VALUE!</v>
      </c>
      <c r="AP95" s="29" t="e">
        <f t="shared" si="58"/>
        <v>#VALUE!</v>
      </c>
      <c r="AQ95" s="27">
        <f t="shared" si="59"/>
        <v>14.331729811940596</v>
      </c>
      <c r="AR95" s="14">
        <f t="shared" si="60"/>
        <v>1111.9932772111281</v>
      </c>
      <c r="AS95" s="25">
        <v>0.36849740461643371</v>
      </c>
      <c r="AT95" s="22">
        <f t="shared" si="61"/>
        <v>0.7703876796680883</v>
      </c>
      <c r="AU95" s="22">
        <f t="shared" si="62"/>
        <v>0.40189027505165459</v>
      </c>
      <c r="AV95" s="115">
        <f t="shared" si="63"/>
        <v>0.22995191979268248</v>
      </c>
      <c r="AW95" s="163">
        <f t="shared" si="64"/>
        <v>7.1038154799612655E-3</v>
      </c>
      <c r="AX95" s="116">
        <f t="shared" si="65"/>
        <v>4018.9027505165463</v>
      </c>
      <c r="AY95" s="115">
        <f t="shared" si="66"/>
        <v>0.24771145849258563</v>
      </c>
      <c r="AZ95" s="157">
        <f t="shared" si="67"/>
        <v>247.71145849258562</v>
      </c>
      <c r="BA95" s="117">
        <f t="shared" si="68"/>
        <v>229.95191979268247</v>
      </c>
      <c r="BB95" s="118">
        <f t="shared" si="69"/>
        <v>13.097138669328508</v>
      </c>
      <c r="BC95" s="118">
        <f t="shared" si="70"/>
        <v>141.96602414732212</v>
      </c>
      <c r="BD95" s="117">
        <f t="shared" si="71"/>
        <v>1.7676007410351537</v>
      </c>
      <c r="BE95" s="14">
        <f t="shared" si="72"/>
        <v>-11.121210871578874</v>
      </c>
      <c r="BF95" s="25">
        <v>1.0808848989999</v>
      </c>
      <c r="BG95" s="22">
        <f t="shared" si="73"/>
        <v>1.0989910725281244</v>
      </c>
      <c r="BH95" s="38">
        <f t="shared" si="74"/>
        <v>1.8106173528224412E-2</v>
      </c>
      <c r="BI95" s="115">
        <f t="shared" si="75"/>
        <v>0.35487908427721476</v>
      </c>
      <c r="BJ95" s="163">
        <f t="shared" si="76"/>
        <v>4.5867964247891767E-3</v>
      </c>
      <c r="BK95" s="116">
        <f t="shared" si="77"/>
        <v>181.06173528224411</v>
      </c>
      <c r="BL95" s="115">
        <f t="shared" si="78"/>
        <v>0.41070596087383954</v>
      </c>
      <c r="BM95" s="157">
        <f t="shared" si="79"/>
        <v>410.70596087383956</v>
      </c>
      <c r="BN95" s="117">
        <f t="shared" si="80"/>
        <v>354.87908427721476</v>
      </c>
      <c r="BO95" s="161">
        <f t="shared" si="81"/>
        <v>25.332776235901804</v>
      </c>
      <c r="BP95" s="161">
        <f t="shared" si="82"/>
        <v>10.83946866041701</v>
      </c>
    </row>
    <row r="96" spans="1:68" ht="15.75">
      <c r="A96" s="67">
        <v>142</v>
      </c>
      <c r="B96" s="66">
        <v>6</v>
      </c>
      <c r="C96" s="66" t="s">
        <v>421</v>
      </c>
      <c r="D96" s="66" t="s">
        <v>414</v>
      </c>
      <c r="E96" s="66" t="s">
        <v>437</v>
      </c>
      <c r="F96" s="66" t="s">
        <v>411</v>
      </c>
      <c r="G96" s="66"/>
      <c r="H96" s="66" t="s">
        <v>432</v>
      </c>
      <c r="I96" s="66">
        <v>100</v>
      </c>
      <c r="J96" s="66">
        <v>20</v>
      </c>
      <c r="K96" s="66">
        <v>30</v>
      </c>
      <c r="L96" s="66" t="s">
        <v>67</v>
      </c>
      <c r="M96" s="66">
        <v>2</v>
      </c>
      <c r="N96"/>
      <c r="O96"/>
      <c r="P96"/>
      <c r="Q96" s="66">
        <v>20</v>
      </c>
      <c r="R96">
        <v>2.2864705882352943</v>
      </c>
      <c r="S96" s="55">
        <v>1.0935294117647056</v>
      </c>
      <c r="T96" s="82">
        <v>209</v>
      </c>
      <c r="U96" s="82" t="s">
        <v>289</v>
      </c>
      <c r="V96" s="83">
        <v>0.60733300000000001</v>
      </c>
      <c r="W96" s="83">
        <v>921.21176207329393</v>
      </c>
      <c r="X96" s="83">
        <v>0.327123</v>
      </c>
      <c r="Y96" s="83">
        <v>-5.6251269508420751</v>
      </c>
      <c r="Z96" s="71" t="s">
        <v>54</v>
      </c>
      <c r="AA96" s="73">
        <v>5.5661983611111108</v>
      </c>
      <c r="AB96" s="73">
        <v>3.0248816727959098</v>
      </c>
      <c r="AC96" s="73">
        <v>3.9982883888888887</v>
      </c>
      <c r="AD96" s="73">
        <v>-25.508901929003891</v>
      </c>
      <c r="AE96" s="73">
        <v>2.2461111111111109</v>
      </c>
      <c r="AF96" s="73">
        <v>2.2461111111111109</v>
      </c>
      <c r="AG96" s="32">
        <f t="shared" si="51"/>
        <v>1.1379460310984945E-2</v>
      </c>
      <c r="AH96" s="32">
        <f t="shared" si="52"/>
        <v>0.25846953038557846</v>
      </c>
      <c r="AI96" s="33">
        <f t="shared" si="53"/>
        <v>6.9111217690514199E-3</v>
      </c>
      <c r="AJ96" s="34">
        <f t="shared" si="54"/>
        <v>8.4551328188321576E-2</v>
      </c>
      <c r="AK96" s="16">
        <f t="shared" si="49"/>
        <v>2.1252543994204173E-3</v>
      </c>
      <c r="AL96" s="16">
        <f t="shared" si="50"/>
        <v>2.6000566653846351E-2</v>
      </c>
      <c r="AM96" s="27">
        <f t="shared" si="55"/>
        <v>2.1252543994204172</v>
      </c>
      <c r="AN96" s="27">
        <f t="shared" si="56"/>
        <v>26.000566653846352</v>
      </c>
      <c r="AO96" s="29" t="e">
        <f t="shared" si="57"/>
        <v>#VALUE!</v>
      </c>
      <c r="AP96" s="29" t="e">
        <f t="shared" si="58"/>
        <v>#VALUE!</v>
      </c>
      <c r="AQ96" s="27">
        <f t="shared" si="59"/>
        <v>12.234096144413122</v>
      </c>
      <c r="AR96" s="14">
        <f t="shared" si="60"/>
        <v>920.16688040049803</v>
      </c>
      <c r="AS96" s="25">
        <v>0.36849740461643371</v>
      </c>
      <c r="AT96" s="22">
        <f t="shared" si="61"/>
        <v>0.70090597694996803</v>
      </c>
      <c r="AU96" s="22">
        <f t="shared" si="62"/>
        <v>0.33240857233353432</v>
      </c>
      <c r="AV96" s="115">
        <f t="shared" si="63"/>
        <v>0.15552136111652465</v>
      </c>
      <c r="AW96" s="163">
        <f t="shared" si="64"/>
        <v>7.0645278075690387E-3</v>
      </c>
      <c r="AX96" s="116">
        <f t="shared" si="65"/>
        <v>3324.0857233353431</v>
      </c>
      <c r="AY96" s="115">
        <f t="shared" si="66"/>
        <v>0.17318268063544726</v>
      </c>
      <c r="AZ96" s="157">
        <f t="shared" si="67"/>
        <v>173.18268063544727</v>
      </c>
      <c r="BA96" s="117">
        <f t="shared" si="68"/>
        <v>155.52136111652464</v>
      </c>
      <c r="BB96" s="118">
        <f t="shared" si="69"/>
        <v>8.0562776030020888</v>
      </c>
      <c r="BC96" s="118">
        <f t="shared" si="70"/>
        <v>89.628705680379582</v>
      </c>
      <c r="BD96" s="117">
        <f t="shared" si="71"/>
        <v>2.1252543994204172</v>
      </c>
      <c r="BE96" s="14">
        <f t="shared" si="72"/>
        <v>-6.1462250218381858</v>
      </c>
      <c r="BF96" s="25">
        <v>1.0808848989999</v>
      </c>
      <c r="BG96" s="22">
        <f t="shared" si="73"/>
        <v>1.1044589611983398</v>
      </c>
      <c r="BH96" s="38">
        <f t="shared" si="74"/>
        <v>2.3574062198439716E-2</v>
      </c>
      <c r="BI96" s="115">
        <f t="shared" si="75"/>
        <v>0.25229347885314918</v>
      </c>
      <c r="BJ96" s="163">
        <f t="shared" si="76"/>
        <v>6.1293897549245151E-3</v>
      </c>
      <c r="BK96" s="116">
        <f t="shared" si="77"/>
        <v>235.74062198439717</v>
      </c>
      <c r="BL96" s="115">
        <f t="shared" si="78"/>
        <v>0.2991536380971041</v>
      </c>
      <c r="BM96" s="157">
        <f t="shared" si="79"/>
        <v>299.15363809710408</v>
      </c>
      <c r="BN96" s="117">
        <f t="shared" si="80"/>
        <v>252.29347885314917</v>
      </c>
      <c r="BO96" s="161">
        <f t="shared" si="81"/>
        <v>26.000566653846352</v>
      </c>
      <c r="BP96" s="161">
        <f t="shared" si="82"/>
        <v>11.125324882918678</v>
      </c>
    </row>
    <row r="97" spans="1:74" ht="15.75">
      <c r="A97" s="67">
        <v>143</v>
      </c>
      <c r="B97" s="66">
        <v>6</v>
      </c>
      <c r="C97" s="66" t="s">
        <v>423</v>
      </c>
      <c r="D97" s="66" t="s">
        <v>420</v>
      </c>
      <c r="E97" s="66" t="s">
        <v>437</v>
      </c>
      <c r="F97" s="66" t="s">
        <v>411</v>
      </c>
      <c r="G97" s="66"/>
      <c r="H97" s="66" t="s">
        <v>432</v>
      </c>
      <c r="I97" s="66">
        <v>100</v>
      </c>
      <c r="J97" s="66">
        <v>20</v>
      </c>
      <c r="K97" s="66">
        <v>30</v>
      </c>
      <c r="L97" s="66" t="s">
        <v>68</v>
      </c>
      <c r="M97" s="66">
        <v>2</v>
      </c>
      <c r="N97"/>
      <c r="O97"/>
      <c r="P97"/>
      <c r="Q97" s="66">
        <v>20</v>
      </c>
      <c r="R97">
        <v>5.1124522292993637</v>
      </c>
      <c r="S97" s="55">
        <v>4.8275477707006358</v>
      </c>
      <c r="T97" s="80">
        <v>210</v>
      </c>
      <c r="U97" s="80" t="s">
        <v>290</v>
      </c>
      <c r="V97" s="81">
        <v>1.36788825</v>
      </c>
      <c r="W97" s="81">
        <v>789.80210283619442</v>
      </c>
      <c r="X97" s="81">
        <v>0.75002456250000005</v>
      </c>
      <c r="Y97" s="81">
        <v>-5.5910721918733639</v>
      </c>
      <c r="Z97" s="71" t="s">
        <v>54</v>
      </c>
      <c r="AA97" s="73">
        <v>5.5661983611111108</v>
      </c>
      <c r="AB97" s="73">
        <v>3.0248816727959098</v>
      </c>
      <c r="AC97" s="73">
        <v>3.9982883888888887</v>
      </c>
      <c r="AD97" s="73">
        <v>-25.508901929003891</v>
      </c>
      <c r="AE97" s="73">
        <v>2.2461111111111109</v>
      </c>
      <c r="AF97" s="73">
        <v>2.2461111111111109</v>
      </c>
      <c r="AG97" s="32">
        <f t="shared" si="51"/>
        <v>1.1379460310984945E-2</v>
      </c>
      <c r="AH97" s="32">
        <f t="shared" si="52"/>
        <v>0.25846953038557846</v>
      </c>
      <c r="AI97" s="33">
        <f t="shared" si="53"/>
        <v>1.5565830050737653E-2</v>
      </c>
      <c r="AJ97" s="34">
        <f t="shared" si="54"/>
        <v>0.19385849644702396</v>
      </c>
      <c r="AK97" s="16">
        <f t="shared" si="49"/>
        <v>2.5197392030416373E-3</v>
      </c>
      <c r="AL97" s="16">
        <f t="shared" si="50"/>
        <v>3.1381098967936241E-2</v>
      </c>
      <c r="AM97" s="27">
        <f t="shared" si="55"/>
        <v>2.5197392030416372</v>
      </c>
      <c r="AN97" s="27">
        <f t="shared" si="56"/>
        <v>31.381098967936243</v>
      </c>
      <c r="AO97" s="29" t="e">
        <f t="shared" si="57"/>
        <v>#VALUE!</v>
      </c>
      <c r="AP97" s="29" t="e">
        <f t="shared" si="58"/>
        <v>#VALUE!</v>
      </c>
      <c r="AQ97" s="27">
        <f t="shared" si="59"/>
        <v>12.45410593685861</v>
      </c>
      <c r="AR97" s="14">
        <f t="shared" si="60"/>
        <v>788.75722116339853</v>
      </c>
      <c r="AS97" s="25">
        <v>0.36849740461643371</v>
      </c>
      <c r="AT97" s="22">
        <f t="shared" si="61"/>
        <v>0.65325171642658209</v>
      </c>
      <c r="AU97" s="22">
        <f t="shared" si="62"/>
        <v>0.28475431181014838</v>
      </c>
      <c r="AV97" s="115">
        <f t="shared" si="63"/>
        <v>0.23690537833725367</v>
      </c>
      <c r="AW97" s="163">
        <f t="shared" si="64"/>
        <v>7.1750660270317318E-3</v>
      </c>
      <c r="AX97" s="116">
        <f t="shared" si="65"/>
        <v>2847.5431181014837</v>
      </c>
      <c r="AY97" s="115">
        <f t="shared" si="66"/>
        <v>0.25484304340483294</v>
      </c>
      <c r="AZ97" s="157">
        <f t="shared" si="67"/>
        <v>254.84304340483294</v>
      </c>
      <c r="BA97" s="117">
        <f t="shared" si="68"/>
        <v>236.90537833725367</v>
      </c>
      <c r="BB97" s="118">
        <f t="shared" si="69"/>
        <v>21.666663875165259</v>
      </c>
      <c r="BC97" s="118">
        <f t="shared" si="70"/>
        <v>228.3369165459527</v>
      </c>
      <c r="BD97" s="117">
        <f t="shared" si="71"/>
        <v>2.5197392030416372</v>
      </c>
      <c r="BE97" s="14">
        <f t="shared" si="72"/>
        <v>-6.1121702628694745</v>
      </c>
      <c r="BF97" s="25">
        <v>1.0808848989999</v>
      </c>
      <c r="BG97" s="22">
        <f t="shared" si="73"/>
        <v>1.1044963878908218</v>
      </c>
      <c r="BH97" s="38">
        <f t="shared" si="74"/>
        <v>2.3611488890921795E-2</v>
      </c>
      <c r="BI97" s="115">
        <f t="shared" si="75"/>
        <v>0.26841459624335468</v>
      </c>
      <c r="BJ97" s="163">
        <f t="shared" si="76"/>
        <v>7.4095446966634393E-3</v>
      </c>
      <c r="BK97" s="116">
        <f t="shared" si="77"/>
        <v>236.11488890921794</v>
      </c>
      <c r="BL97" s="115">
        <f t="shared" si="78"/>
        <v>0.32049028251543255</v>
      </c>
      <c r="BM97" s="157">
        <f t="shared" si="79"/>
        <v>320.49028251543257</v>
      </c>
      <c r="BN97" s="117">
        <f t="shared" si="80"/>
        <v>268.41459624335465</v>
      </c>
      <c r="BO97" s="161">
        <f t="shared" si="81"/>
        <v>31.381098967936243</v>
      </c>
      <c r="BP97" s="161">
        <f t="shared" si="82"/>
        <v>10.538628275286849</v>
      </c>
    </row>
    <row r="98" spans="1:74" ht="15.75">
      <c r="A98" s="67">
        <v>144</v>
      </c>
      <c r="B98" s="66">
        <v>6</v>
      </c>
      <c r="C98" s="66" t="s">
        <v>425</v>
      </c>
      <c r="D98" s="66" t="s">
        <v>418</v>
      </c>
      <c r="E98" s="66" t="s">
        <v>437</v>
      </c>
      <c r="F98" s="66" t="s">
        <v>411</v>
      </c>
      <c r="G98" s="66"/>
      <c r="H98" s="66" t="s">
        <v>432</v>
      </c>
      <c r="I98" s="66">
        <v>100</v>
      </c>
      <c r="J98" s="66">
        <v>20</v>
      </c>
      <c r="K98" s="66">
        <v>30</v>
      </c>
      <c r="L98" s="66" t="s">
        <v>69</v>
      </c>
      <c r="M98" s="66">
        <v>2</v>
      </c>
      <c r="N98"/>
      <c r="O98"/>
      <c r="P98"/>
      <c r="Q98" s="66">
        <v>20</v>
      </c>
      <c r="R98">
        <v>1.8617266187050363</v>
      </c>
      <c r="S98" s="55">
        <v>0.40827338129496399</v>
      </c>
      <c r="T98" s="82">
        <v>211</v>
      </c>
      <c r="U98" s="82" t="s">
        <v>291</v>
      </c>
      <c r="V98" s="83">
        <v>0.91440149999999998</v>
      </c>
      <c r="W98" s="83">
        <v>429.5229853380788</v>
      </c>
      <c r="X98" s="83">
        <v>0.49634875000000001</v>
      </c>
      <c r="Y98" s="83">
        <v>-13.680886383449927</v>
      </c>
      <c r="Z98" s="71" t="s">
        <v>54</v>
      </c>
      <c r="AA98" s="73">
        <v>5.5661983611111108</v>
      </c>
      <c r="AB98" s="73">
        <v>3.0248816727959098</v>
      </c>
      <c r="AC98" s="73">
        <v>3.9982883888888887</v>
      </c>
      <c r="AD98" s="73">
        <v>-25.508901929003891</v>
      </c>
      <c r="AE98" s="73">
        <v>2.2461111111111109</v>
      </c>
      <c r="AF98" s="73">
        <v>2.2461111111111109</v>
      </c>
      <c r="AG98" s="32">
        <f t="shared" si="51"/>
        <v>1.1379460310984945E-2</v>
      </c>
      <c r="AH98" s="32">
        <f t="shared" si="52"/>
        <v>0.25846953038557846</v>
      </c>
      <c r="AI98" s="33">
        <f t="shared" si="53"/>
        <v>1.0405395577555101E-2</v>
      </c>
      <c r="AJ98" s="34">
        <f t="shared" si="54"/>
        <v>0.12829102831996889</v>
      </c>
      <c r="AK98" s="16">
        <f t="shared" si="49"/>
        <v>3.8021364227824699E-3</v>
      </c>
      <c r="AL98" s="16">
        <f t="shared" si="50"/>
        <v>4.6877601899512032E-2</v>
      </c>
      <c r="AM98" s="27">
        <f t="shared" si="55"/>
        <v>3.8021364227824699</v>
      </c>
      <c r="AN98" s="27">
        <f t="shared" si="56"/>
        <v>46.87760189951203</v>
      </c>
      <c r="AO98" s="29" t="e">
        <f t="shared" si="57"/>
        <v>#VALUE!</v>
      </c>
      <c r="AP98" s="29" t="e">
        <f t="shared" si="58"/>
        <v>#VALUE!</v>
      </c>
      <c r="AQ98" s="27">
        <f t="shared" si="59"/>
        <v>12.329279301663295</v>
      </c>
      <c r="AR98" s="14">
        <f t="shared" si="60"/>
        <v>428.4781036652829</v>
      </c>
      <c r="AS98" s="25">
        <v>0.36849740461643371</v>
      </c>
      <c r="AT98" s="22">
        <f t="shared" si="61"/>
        <v>0.52236556466033113</v>
      </c>
      <c r="AU98" s="22">
        <f t="shared" si="62"/>
        <v>0.15386816004389742</v>
      </c>
      <c r="AV98" s="115">
        <f t="shared" si="63"/>
        <v>0.11589817686459007</v>
      </c>
      <c r="AW98" s="163">
        <f t="shared" si="64"/>
        <v>5.8502773560942471E-3</v>
      </c>
      <c r="AX98" s="116">
        <f t="shared" si="65"/>
        <v>1538.6816004389743</v>
      </c>
      <c r="AY98" s="115">
        <f t="shared" si="66"/>
        <v>0.13052387025482567</v>
      </c>
      <c r="AZ98" s="157">
        <f t="shared" si="67"/>
        <v>130.52387025482568</v>
      </c>
      <c r="BA98" s="117">
        <f t="shared" si="68"/>
        <v>115.89817686459007</v>
      </c>
      <c r="BB98" s="118">
        <f t="shared" si="69"/>
        <v>15.139983862621255</v>
      </c>
      <c r="BC98" s="118">
        <f t="shared" si="70"/>
        <v>135.75965254016211</v>
      </c>
      <c r="BD98" s="117">
        <f t="shared" si="71"/>
        <v>3.8021364227824699</v>
      </c>
      <c r="BE98" s="14">
        <f t="shared" si="72"/>
        <v>-14.201984454446038</v>
      </c>
      <c r="BF98" s="25">
        <v>1.0808848989999</v>
      </c>
      <c r="BG98" s="22">
        <f t="shared" si="73"/>
        <v>1.0956047643749622</v>
      </c>
      <c r="BH98" s="38">
        <f t="shared" si="74"/>
        <v>1.4719865375062202E-2</v>
      </c>
      <c r="BI98" s="115">
        <f t="shared" si="75"/>
        <v>0.16926740242246413</v>
      </c>
      <c r="BJ98" s="163">
        <f t="shared" si="76"/>
        <v>6.9003198906657731E-3</v>
      </c>
      <c r="BK98" s="116">
        <f t="shared" si="77"/>
        <v>147.19865375062201</v>
      </c>
      <c r="BL98" s="115">
        <f t="shared" si="78"/>
        <v>0.20767662745193657</v>
      </c>
      <c r="BM98" s="157">
        <f t="shared" si="79"/>
        <v>207.67662745193658</v>
      </c>
      <c r="BN98" s="117">
        <f t="shared" si="80"/>
        <v>169.26740242246413</v>
      </c>
      <c r="BO98" s="161">
        <f t="shared" si="81"/>
        <v>46.87760189951203</v>
      </c>
      <c r="BP98" s="161">
        <f t="shared" si="82"/>
        <v>8.9669615088121635</v>
      </c>
    </row>
    <row r="99" spans="1:74" ht="15.75">
      <c r="A99" s="138">
        <v>49</v>
      </c>
      <c r="B99" s="139">
        <v>1</v>
      </c>
      <c r="C99" s="140" t="s">
        <v>408</v>
      </c>
      <c r="D99" s="140" t="s">
        <v>409</v>
      </c>
      <c r="E99" s="140" t="s">
        <v>410</v>
      </c>
      <c r="F99" s="140" t="s">
        <v>480</v>
      </c>
      <c r="G99" s="140"/>
      <c r="H99" s="140" t="s">
        <v>481</v>
      </c>
      <c r="I99" s="140">
        <v>50</v>
      </c>
      <c r="J99" s="141">
        <v>12.84</v>
      </c>
      <c r="K99" s="140">
        <v>15</v>
      </c>
      <c r="L99" s="140" t="s">
        <v>62</v>
      </c>
      <c r="M99" s="140">
        <v>3</v>
      </c>
      <c r="N99"/>
      <c r="O99"/>
      <c r="P99"/>
      <c r="Q99" s="141">
        <v>12.84</v>
      </c>
      <c r="R99">
        <v>12.93687707641196</v>
      </c>
      <c r="S99" s="55">
        <v>7.0631229235880397</v>
      </c>
      <c r="T99" s="86">
        <v>24</v>
      </c>
      <c r="U99" s="80" t="s">
        <v>293</v>
      </c>
      <c r="V99" s="81">
        <v>19.570816000000001</v>
      </c>
      <c r="W99" s="81">
        <v>19.501352582418452</v>
      </c>
      <c r="X99" s="81">
        <v>12.407161</v>
      </c>
      <c r="Y99" s="81">
        <v>-27.011410747955903</v>
      </c>
      <c r="Z99" s="71" t="s">
        <v>54</v>
      </c>
      <c r="AA99" s="73">
        <v>5.5661983611111108</v>
      </c>
      <c r="AB99" s="73">
        <v>3.0248816727959098</v>
      </c>
      <c r="AC99" s="73">
        <v>3.9982883888888887</v>
      </c>
      <c r="AD99" s="73">
        <v>-25.508901929003891</v>
      </c>
      <c r="AE99" s="73">
        <v>2.2461111111111109</v>
      </c>
      <c r="AF99" s="73">
        <v>2.2461111111111109</v>
      </c>
      <c r="AG99" s="32">
        <f t="shared" si="51"/>
        <v>1.1379460310984945E-2</v>
      </c>
      <c r="AH99" s="32">
        <f t="shared" si="52"/>
        <v>0.25846953038557846</v>
      </c>
      <c r="AI99" s="33">
        <f t="shared" si="53"/>
        <v>0.22270532392558914</v>
      </c>
      <c r="AJ99" s="34">
        <f t="shared" si="54"/>
        <v>3.2068730770882641</v>
      </c>
      <c r="AK99" s="16">
        <f t="shared" si="49"/>
        <v>2.284184151320624E-2</v>
      </c>
      <c r="AL99" s="16">
        <f t="shared" ref="AL99:AL130" si="83">((AJ99/K99)*(J99+S99))/(R99)</f>
        <v>0.32891394461810403</v>
      </c>
      <c r="AM99" s="27">
        <f t="shared" si="55"/>
        <v>22.841841513206241</v>
      </c>
      <c r="AN99" s="27">
        <f t="shared" si="56"/>
        <v>328.91394461810404</v>
      </c>
      <c r="AO99" s="29" t="e">
        <f t="shared" si="57"/>
        <v>#VALUE!</v>
      </c>
      <c r="AP99" s="29" t="e">
        <f t="shared" si="58"/>
        <v>#VALUE!</v>
      </c>
      <c r="AQ99" s="27">
        <f t="shared" si="59"/>
        <v>14.399624672465183</v>
      </c>
      <c r="AR99" s="14">
        <f t="shared" si="60"/>
        <v>18.456470909622542</v>
      </c>
      <c r="AS99" s="25">
        <f>AVERAGE(AT101, AT105:AT106, AT147:AT154)</f>
        <v>0.3678691314984826</v>
      </c>
      <c r="AT99" s="22">
        <f t="shared" si="61"/>
        <v>0.37298818837411057</v>
      </c>
      <c r="AU99" s="22">
        <f t="shared" si="62"/>
        <v>5.1190568756279697E-3</v>
      </c>
      <c r="AV99" s="64"/>
      <c r="AW99" s="64"/>
      <c r="AX99" s="116">
        <f t="shared" si="65"/>
        <v>51.190568756279696</v>
      </c>
      <c r="AY99" s="64"/>
      <c r="AZ99" s="64"/>
      <c r="BA99" s="64"/>
      <c r="BB99" s="64"/>
      <c r="BC99" s="64"/>
      <c r="BD99" s="64"/>
      <c r="BE99" s="14">
        <f t="shared" si="72"/>
        <v>-27.532508818952014</v>
      </c>
      <c r="BF99" s="25">
        <f>AVERAGE(BG99:BG106,BG147:BG154)</f>
        <v>1.0824781751878776</v>
      </c>
      <c r="BG99" s="22">
        <f t="shared" ref="BG99:BG162" si="84">100*0.011237*(BE99/1000+1)/(1+0.011237*(BE99/1000+1))</f>
        <v>1.0809495173042463</v>
      </c>
      <c r="BH99" s="38">
        <f t="shared" si="74"/>
        <v>-1.5286578836313236E-3</v>
      </c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</row>
    <row r="100" spans="1:74" ht="15.75">
      <c r="A100" s="138">
        <v>50</v>
      </c>
      <c r="B100" s="139">
        <v>1</v>
      </c>
      <c r="C100" s="140" t="s">
        <v>413</v>
      </c>
      <c r="D100" s="140" t="s">
        <v>414</v>
      </c>
      <c r="E100" s="140" t="s">
        <v>410</v>
      </c>
      <c r="F100" s="140" t="s">
        <v>480</v>
      </c>
      <c r="G100" s="140"/>
      <c r="H100" s="140" t="s">
        <v>481</v>
      </c>
      <c r="I100" s="140">
        <v>50</v>
      </c>
      <c r="J100" s="141">
        <v>13.2</v>
      </c>
      <c r="K100" s="140">
        <v>15</v>
      </c>
      <c r="L100" s="140" t="s">
        <v>63</v>
      </c>
      <c r="M100" s="140">
        <v>3</v>
      </c>
      <c r="N100"/>
      <c r="O100"/>
      <c r="P100"/>
      <c r="Q100" s="141">
        <v>13.2</v>
      </c>
      <c r="R100">
        <v>12.827172827172825</v>
      </c>
      <c r="S100" s="55">
        <v>7.1728271728271729</v>
      </c>
      <c r="T100" s="82">
        <v>25</v>
      </c>
      <c r="U100" s="82" t="s">
        <v>294</v>
      </c>
      <c r="V100" s="83">
        <v>19.546423999999998</v>
      </c>
      <c r="W100" s="83">
        <v>35.236685476389582</v>
      </c>
      <c r="X100" s="83">
        <v>6.7627560000000004</v>
      </c>
      <c r="Y100" s="83">
        <v>-26.306356111078092</v>
      </c>
      <c r="Z100" s="71" t="s">
        <v>54</v>
      </c>
      <c r="AA100" s="73">
        <v>5.5661983611111108</v>
      </c>
      <c r="AB100" s="73">
        <v>3.0248816727959098</v>
      </c>
      <c r="AC100" s="73">
        <v>3.9982883888888887</v>
      </c>
      <c r="AD100" s="73">
        <v>-25.508901929003891</v>
      </c>
      <c r="AE100" s="73">
        <v>2.2461111111111109</v>
      </c>
      <c r="AF100" s="73">
        <v>2.2461111111111109</v>
      </c>
      <c r="AG100" s="32">
        <f t="shared" si="51"/>
        <v>1.1379460310984945E-2</v>
      </c>
      <c r="AH100" s="32">
        <f t="shared" si="52"/>
        <v>0.25846953038557846</v>
      </c>
      <c r="AI100" s="33">
        <f t="shared" si="53"/>
        <v>0.22242775612968357</v>
      </c>
      <c r="AJ100" s="34">
        <f t="shared" si="54"/>
        <v>1.7479663674322532</v>
      </c>
      <c r="AK100" s="16">
        <f t="shared" si="49"/>
        <v>2.3551473085689844E-2</v>
      </c>
      <c r="AL100" s="16">
        <f t="shared" si="83"/>
        <v>0.1850811408323958</v>
      </c>
      <c r="AM100" s="27">
        <f t="shared" si="55"/>
        <v>23.551473085689842</v>
      </c>
      <c r="AN100" s="27">
        <f t="shared" si="56"/>
        <v>185.08114083239579</v>
      </c>
      <c r="AO100" s="29" t="e">
        <f t="shared" si="57"/>
        <v>#VALUE!</v>
      </c>
      <c r="AP100" s="29" t="e">
        <f t="shared" si="58"/>
        <v>#VALUE!</v>
      </c>
      <c r="AQ100" s="27">
        <f t="shared" si="59"/>
        <v>7.8585802322850586</v>
      </c>
      <c r="AR100" s="14">
        <f t="shared" si="60"/>
        <v>34.191803803593672</v>
      </c>
      <c r="AS100" s="25">
        <v>0.3678691314984826</v>
      </c>
      <c r="AT100" s="22">
        <f t="shared" si="61"/>
        <v>0.37872909681007111</v>
      </c>
      <c r="AU100" s="22">
        <f t="shared" si="62"/>
        <v>1.0859965311588504E-2</v>
      </c>
      <c r="AV100" s="64"/>
      <c r="AW100" s="64"/>
      <c r="AX100" s="116">
        <f t="shared" si="65"/>
        <v>108.59965311588503</v>
      </c>
      <c r="AY100" s="64"/>
      <c r="AZ100" s="64"/>
      <c r="BA100" s="64"/>
      <c r="BB100" s="64"/>
      <c r="BC100" s="64"/>
      <c r="BD100" s="64"/>
      <c r="BE100" s="14">
        <f t="shared" si="72"/>
        <v>-26.827454182074202</v>
      </c>
      <c r="BF100" s="25">
        <v>1.0824781751878776</v>
      </c>
      <c r="BG100" s="22">
        <f t="shared" si="84"/>
        <v>1.0817247456218977</v>
      </c>
      <c r="BH100" s="38">
        <f t="shared" si="74"/>
        <v>-7.5342956597990174E-4</v>
      </c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</row>
    <row r="101" spans="1:74" ht="15.75">
      <c r="A101" s="138">
        <v>51</v>
      </c>
      <c r="B101" s="139">
        <v>1</v>
      </c>
      <c r="C101" s="140" t="s">
        <v>415</v>
      </c>
      <c r="D101" s="140" t="s">
        <v>416</v>
      </c>
      <c r="E101" s="140" t="s">
        <v>410</v>
      </c>
      <c r="F101" s="140" t="s">
        <v>480</v>
      </c>
      <c r="G101" s="140"/>
      <c r="H101" s="140" t="s">
        <v>481</v>
      </c>
      <c r="I101" s="140">
        <v>50</v>
      </c>
      <c r="J101" s="141">
        <v>11.51</v>
      </c>
      <c r="K101" s="140">
        <v>15</v>
      </c>
      <c r="L101" s="140" t="s">
        <v>64</v>
      </c>
      <c r="M101" s="140">
        <v>3</v>
      </c>
      <c r="N101"/>
      <c r="O101"/>
      <c r="P101"/>
      <c r="Q101" s="141">
        <v>11.51</v>
      </c>
      <c r="R101">
        <v>13.397670549084859</v>
      </c>
      <c r="S101" s="55">
        <v>6.6023294509151427</v>
      </c>
      <c r="T101" s="80">
        <v>26</v>
      </c>
      <c r="U101" s="80" t="s">
        <v>295</v>
      </c>
      <c r="V101" s="81">
        <v>18.748107999999998</v>
      </c>
      <c r="W101" s="81">
        <v>1.6041661561239957</v>
      </c>
      <c r="X101" s="81">
        <v>6.3599290000000002</v>
      </c>
      <c r="Y101" s="81">
        <v>-26.842544559511619</v>
      </c>
      <c r="Z101" s="71" t="s">
        <v>54</v>
      </c>
      <c r="AA101" s="73">
        <v>5.5661983611111108</v>
      </c>
      <c r="AB101" s="73">
        <v>3.0248816727959098</v>
      </c>
      <c r="AC101" s="73">
        <v>3.9982883888888887</v>
      </c>
      <c r="AD101" s="73">
        <v>-25.508901929003891</v>
      </c>
      <c r="AE101" s="73">
        <v>2.2461111111111109</v>
      </c>
      <c r="AF101" s="73">
        <v>2.2461111111111109</v>
      </c>
      <c r="AG101" s="32">
        <f t="shared" si="51"/>
        <v>1.1379460310984945E-2</v>
      </c>
      <c r="AH101" s="32">
        <f t="shared" si="52"/>
        <v>0.25846953038557846</v>
      </c>
      <c r="AI101" s="33">
        <f t="shared" si="53"/>
        <v>0.21334335089205933</v>
      </c>
      <c r="AJ101" s="34">
        <f t="shared" si="54"/>
        <v>1.6438478619156216</v>
      </c>
      <c r="AK101" s="16">
        <f t="shared" si="49"/>
        <v>1.9227944854851964E-2</v>
      </c>
      <c r="AL101" s="16">
        <f t="shared" si="83"/>
        <v>0.14815468073655502</v>
      </c>
      <c r="AM101" s="27">
        <f t="shared" si="55"/>
        <v>19.227944854851962</v>
      </c>
      <c r="AN101" s="27">
        <f t="shared" si="56"/>
        <v>148.15468073655501</v>
      </c>
      <c r="AO101" s="29" t="e">
        <f t="shared" si="57"/>
        <v>#VALUE!</v>
      </c>
      <c r="AP101" s="29" t="e">
        <f t="shared" si="58"/>
        <v>#VALUE!</v>
      </c>
      <c r="AQ101" s="27">
        <f t="shared" si="59"/>
        <v>7.7051750384633424</v>
      </c>
      <c r="AR101" s="14">
        <f t="shared" si="60"/>
        <v>0.55928448332808589</v>
      </c>
      <c r="AS101" s="25">
        <v>0.3678691314984826</v>
      </c>
      <c r="AT101" s="22">
        <f t="shared" si="61"/>
        <v>0.36645774090911387</v>
      </c>
      <c r="AU101" s="22">
        <f t="shared" si="62"/>
        <v>-1.4113905893687329E-3</v>
      </c>
      <c r="AV101" s="64"/>
      <c r="AW101" s="64"/>
      <c r="AX101" s="116">
        <f t="shared" si="65"/>
        <v>-14.113905893687328</v>
      </c>
      <c r="AY101" s="64"/>
      <c r="AZ101" s="64"/>
      <c r="BA101" s="64"/>
      <c r="BB101" s="64"/>
      <c r="BC101" s="64"/>
      <c r="BD101" s="64"/>
      <c r="BE101" s="14">
        <f t="shared" si="72"/>
        <v>-27.36364263050773</v>
      </c>
      <c r="BF101" s="25">
        <v>1.0824781751878776</v>
      </c>
      <c r="BG101" s="22">
        <f t="shared" si="84"/>
        <v>1.0811351917535053</v>
      </c>
      <c r="BH101" s="38">
        <f t="shared" si="74"/>
        <v>-1.3429834343723357E-3</v>
      </c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</row>
    <row r="102" spans="1:74" ht="15.75">
      <c r="A102" s="138">
        <v>52</v>
      </c>
      <c r="B102" s="139">
        <v>1</v>
      </c>
      <c r="C102" s="140" t="s">
        <v>417</v>
      </c>
      <c r="D102" s="140" t="s">
        <v>418</v>
      </c>
      <c r="E102" s="140" t="s">
        <v>410</v>
      </c>
      <c r="F102" s="140" t="s">
        <v>480</v>
      </c>
      <c r="G102" s="140"/>
      <c r="H102" s="140" t="s">
        <v>481</v>
      </c>
      <c r="I102" s="140">
        <v>50</v>
      </c>
      <c r="J102" s="141">
        <v>7.13</v>
      </c>
      <c r="K102" s="140">
        <v>15</v>
      </c>
      <c r="L102" s="140" t="s">
        <v>65</v>
      </c>
      <c r="M102" s="140">
        <v>3</v>
      </c>
      <c r="N102"/>
      <c r="O102"/>
      <c r="P102"/>
      <c r="Q102" s="141">
        <v>7.13</v>
      </c>
      <c r="R102">
        <v>13.140193140193137</v>
      </c>
      <c r="S102" s="55">
        <v>6.8598068598068638</v>
      </c>
      <c r="T102" s="82">
        <v>27</v>
      </c>
      <c r="U102" s="82" t="s">
        <v>296</v>
      </c>
      <c r="V102" s="83">
        <v>19.541751999999999</v>
      </c>
      <c r="W102" s="83">
        <v>100.33495128450063</v>
      </c>
      <c r="X102" s="83">
        <v>6.8660880000000004</v>
      </c>
      <c r="Y102" s="83">
        <v>-28.47623439581043</v>
      </c>
      <c r="Z102" s="71" t="s">
        <v>54</v>
      </c>
      <c r="AA102" s="73">
        <v>5.5661983611111108</v>
      </c>
      <c r="AB102" s="73">
        <v>3.0248816727959098</v>
      </c>
      <c r="AC102" s="73">
        <v>3.9982883888888887</v>
      </c>
      <c r="AD102" s="73">
        <v>-25.508901929003891</v>
      </c>
      <c r="AE102" s="73">
        <v>2.2461111111111109</v>
      </c>
      <c r="AF102" s="73">
        <v>2.2461111111111109</v>
      </c>
      <c r="AG102" s="32">
        <f t="shared" si="51"/>
        <v>1.1379460310984945E-2</v>
      </c>
      <c r="AH102" s="32">
        <f t="shared" si="52"/>
        <v>0.25846953038557846</v>
      </c>
      <c r="AI102" s="33">
        <f t="shared" si="53"/>
        <v>0.22237459129111067</v>
      </c>
      <c r="AJ102" s="34">
        <f t="shared" si="54"/>
        <v>1.7746745409460558</v>
      </c>
      <c r="AK102" s="16">
        <f t="shared" si="49"/>
        <v>1.5783520325766954E-2</v>
      </c>
      <c r="AL102" s="16">
        <f t="shared" si="83"/>
        <v>0.12596138581306937</v>
      </c>
      <c r="AM102" s="27">
        <f t="shared" si="55"/>
        <v>15.783520325766954</v>
      </c>
      <c r="AN102" s="27">
        <f t="shared" si="56"/>
        <v>125.96138581306937</v>
      </c>
      <c r="AO102" s="29" t="e">
        <f t="shared" si="57"/>
        <v>#VALUE!</v>
      </c>
      <c r="AP102" s="29" t="e">
        <f t="shared" si="58"/>
        <v>#VALUE!</v>
      </c>
      <c r="AQ102" s="27">
        <f t="shared" si="59"/>
        <v>7.9805634746409879</v>
      </c>
      <c r="AR102" s="14">
        <f t="shared" si="60"/>
        <v>99.290069611704723</v>
      </c>
      <c r="AS102" s="25">
        <v>0.3678691314984826</v>
      </c>
      <c r="AT102" s="22">
        <f t="shared" si="61"/>
        <v>0.40247264155039519</v>
      </c>
      <c r="AU102" s="22">
        <f t="shared" si="62"/>
        <v>3.4603510051912589E-2</v>
      </c>
      <c r="AV102" s="167"/>
      <c r="AW102" s="64"/>
      <c r="AX102" s="116">
        <f t="shared" si="65"/>
        <v>346.03510051912588</v>
      </c>
      <c r="AY102" s="64"/>
      <c r="AZ102" s="64"/>
      <c r="BA102" s="64"/>
      <c r="BB102" s="64"/>
      <c r="BC102" s="64"/>
      <c r="BD102" s="64"/>
      <c r="BE102" s="14">
        <f t="shared" si="72"/>
        <v>-28.99733246680654</v>
      </c>
      <c r="BF102" s="25">
        <v>1.0824781751878776</v>
      </c>
      <c r="BG102" s="22">
        <f t="shared" si="84"/>
        <v>1.0793388617571238</v>
      </c>
      <c r="BH102" s="38">
        <f t="shared" si="74"/>
        <v>-3.1393134307537984E-3</v>
      </c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</row>
    <row r="103" spans="1:74" ht="15.75">
      <c r="A103" s="138">
        <v>53</v>
      </c>
      <c r="B103" s="139">
        <v>1</v>
      </c>
      <c r="C103" s="140" t="s">
        <v>419</v>
      </c>
      <c r="D103" s="140" t="s">
        <v>420</v>
      </c>
      <c r="E103" s="140" t="s">
        <v>410</v>
      </c>
      <c r="F103" s="140" t="s">
        <v>480</v>
      </c>
      <c r="G103" s="140"/>
      <c r="H103" s="140" t="s">
        <v>481</v>
      </c>
      <c r="I103" s="140">
        <v>50</v>
      </c>
      <c r="J103" s="141">
        <v>9.82</v>
      </c>
      <c r="K103" s="140">
        <v>15</v>
      </c>
      <c r="L103" s="140" t="s">
        <v>66</v>
      </c>
      <c r="M103" s="140">
        <v>3</v>
      </c>
      <c r="N103"/>
      <c r="O103"/>
      <c r="P103"/>
      <c r="Q103" s="141">
        <v>9.82</v>
      </c>
      <c r="R103">
        <v>12.289316522893166</v>
      </c>
      <c r="S103" s="55">
        <v>7.7106834771068344</v>
      </c>
      <c r="T103" s="80">
        <v>28</v>
      </c>
      <c r="U103" s="80" t="s">
        <v>297</v>
      </c>
      <c r="V103" s="81">
        <v>19.56232</v>
      </c>
      <c r="W103" s="81">
        <v>39.827807779090733</v>
      </c>
      <c r="X103" s="81">
        <v>10.708584999999999</v>
      </c>
      <c r="Y103" s="81">
        <v>-27.859655024579542</v>
      </c>
      <c r="Z103" s="71" t="s">
        <v>54</v>
      </c>
      <c r="AA103" s="73">
        <v>5.5661983611111108</v>
      </c>
      <c r="AB103" s="73">
        <v>3.0248816727959098</v>
      </c>
      <c r="AC103" s="73">
        <v>3.9982883888888887</v>
      </c>
      <c r="AD103" s="73">
        <v>-25.508901929003891</v>
      </c>
      <c r="AE103" s="73">
        <v>2.2461111111111109</v>
      </c>
      <c r="AF103" s="73">
        <v>2.2461111111111109</v>
      </c>
      <c r="AG103" s="32">
        <f t="shared" si="51"/>
        <v>1.1379460310984945E-2</v>
      </c>
      <c r="AH103" s="32">
        <f t="shared" si="52"/>
        <v>0.25846953038557846</v>
      </c>
      <c r="AI103" s="33">
        <f t="shared" si="53"/>
        <v>0.22260864403078701</v>
      </c>
      <c r="AJ103" s="34">
        <f t="shared" si="54"/>
        <v>2.7678429360440497</v>
      </c>
      <c r="AK103" s="16">
        <f t="shared" si="49"/>
        <v>2.1170049994247347E-2</v>
      </c>
      <c r="AL103" s="16">
        <f t="shared" si="83"/>
        <v>0.26322146468028929</v>
      </c>
      <c r="AM103" s="27">
        <f t="shared" si="55"/>
        <v>21.170049994247346</v>
      </c>
      <c r="AN103" s="27">
        <f t="shared" si="56"/>
        <v>263.22146468028927</v>
      </c>
      <c r="AO103" s="29" t="e">
        <f t="shared" si="57"/>
        <v>#VALUE!</v>
      </c>
      <c r="AP103" s="29" t="e">
        <f t="shared" si="58"/>
        <v>#VALUE!</v>
      </c>
      <c r="AQ103" s="27">
        <f t="shared" si="59"/>
        <v>12.433672322541321</v>
      </c>
      <c r="AR103" s="14">
        <f t="shared" si="60"/>
        <v>38.782926106294823</v>
      </c>
      <c r="AS103" s="25">
        <v>0.3678691314984826</v>
      </c>
      <c r="AT103" s="22">
        <f t="shared" si="61"/>
        <v>0.38040400581995204</v>
      </c>
      <c r="AU103" s="22">
        <f t="shared" si="62"/>
        <v>1.2534874321469436E-2</v>
      </c>
      <c r="AV103" s="64"/>
      <c r="AW103" s="64"/>
      <c r="AX103" s="116">
        <f t="shared" si="65"/>
        <v>125.34874321469435</v>
      </c>
      <c r="AY103" s="64"/>
      <c r="AZ103" s="64"/>
      <c r="BA103" s="64"/>
      <c r="BB103" s="64"/>
      <c r="BC103" s="64"/>
      <c r="BD103" s="64"/>
      <c r="BE103" s="14">
        <f t="shared" si="72"/>
        <v>-28.380753095575653</v>
      </c>
      <c r="BF103" s="25">
        <v>1.0824781751878776</v>
      </c>
      <c r="BG103" s="22">
        <f t="shared" si="84"/>
        <v>1.0800168316613226</v>
      </c>
      <c r="BH103" s="38">
        <f t="shared" si="74"/>
        <v>-2.4613435265550265E-3</v>
      </c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</row>
    <row r="104" spans="1:74" ht="15.75">
      <c r="A104" s="138">
        <v>54</v>
      </c>
      <c r="B104" s="139">
        <v>1</v>
      </c>
      <c r="C104" s="140" t="s">
        <v>421</v>
      </c>
      <c r="D104" s="140" t="s">
        <v>422</v>
      </c>
      <c r="E104" s="140" t="s">
        <v>410</v>
      </c>
      <c r="F104" s="140" t="s">
        <v>480</v>
      </c>
      <c r="G104" s="140"/>
      <c r="H104" s="140" t="s">
        <v>481</v>
      </c>
      <c r="I104" s="140">
        <v>50</v>
      </c>
      <c r="J104" s="141">
        <v>12.9</v>
      </c>
      <c r="K104" s="140">
        <v>15</v>
      </c>
      <c r="L104" s="140" t="s">
        <v>67</v>
      </c>
      <c r="M104" s="140">
        <v>3</v>
      </c>
      <c r="N104" s="155" t="s">
        <v>490</v>
      </c>
      <c r="O104" s="156"/>
      <c r="P104" s="156"/>
      <c r="Q104" s="141">
        <v>12.9</v>
      </c>
      <c r="R104">
        <v>12.593574031136136</v>
      </c>
      <c r="S104" s="55">
        <v>7.4064259688638634</v>
      </c>
      <c r="T104" s="82">
        <v>29</v>
      </c>
      <c r="U104" s="82" t="s">
        <v>298</v>
      </c>
      <c r="V104" s="156"/>
      <c r="W104" s="156"/>
      <c r="X104" s="83">
        <v>16.137260999999999</v>
      </c>
      <c r="Y104" s="83">
        <v>-27.377530309472728</v>
      </c>
      <c r="Z104" s="71" t="s">
        <v>54</v>
      </c>
      <c r="AA104" s="75">
        <v>2.9111787500000004</v>
      </c>
      <c r="AB104" s="75">
        <v>7.1289713486518078</v>
      </c>
      <c r="AC104" s="75">
        <v>2.0592423593750002</v>
      </c>
      <c r="AD104" s="75">
        <v>-26.716135928040213</v>
      </c>
      <c r="AE104" s="75">
        <v>2.375375</v>
      </c>
      <c r="AF104" s="75">
        <v>2.375375</v>
      </c>
      <c r="AG104" s="32">
        <f t="shared" si="51"/>
        <v>2.3009777396870598E-2</v>
      </c>
      <c r="AH104" s="32">
        <f t="shared" si="52"/>
        <v>0.53073405008612418</v>
      </c>
      <c r="AI104" s="33">
        <f t="shared" si="53"/>
        <v>0</v>
      </c>
      <c r="AJ104" s="34">
        <f t="shared" si="54"/>
        <v>8.5645938878268577</v>
      </c>
      <c r="AK104" s="16"/>
      <c r="AL104" s="16">
        <f t="shared" si="83"/>
        <v>0.92066155488797896</v>
      </c>
      <c r="AM104" s="27"/>
      <c r="AN104" s="27">
        <f t="shared" si="56"/>
        <v>920.66155488797892</v>
      </c>
      <c r="AO104" s="29" t="e">
        <f t="shared" si="57"/>
        <v>#VALUE!</v>
      </c>
      <c r="AP104" s="29" t="e">
        <f t="shared" si="58"/>
        <v>#VALUE!</v>
      </c>
      <c r="AQ104" s="27"/>
      <c r="AR104" s="14">
        <f t="shared" si="60"/>
        <v>-5.1489713486518074</v>
      </c>
      <c r="AS104" s="25">
        <v>0.3678691314984826</v>
      </c>
      <c r="AT104" s="22"/>
      <c r="AU104" s="22"/>
      <c r="AV104" s="167"/>
      <c r="AW104" s="64"/>
      <c r="AX104" s="116"/>
      <c r="AY104" s="64"/>
      <c r="AZ104" s="64"/>
      <c r="BA104" s="64"/>
      <c r="BB104" s="64"/>
      <c r="BC104" s="64"/>
      <c r="BD104" s="64"/>
      <c r="BE104" s="14">
        <f t="shared" si="72"/>
        <v>-26.691394381432517</v>
      </c>
      <c r="BF104" s="25">
        <v>1.0824781751878776</v>
      </c>
      <c r="BG104" s="22">
        <f t="shared" si="84"/>
        <v>1.0818743459772311</v>
      </c>
      <c r="BH104" s="38">
        <f t="shared" si="74"/>
        <v>-6.0382921064650041E-4</v>
      </c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</row>
    <row r="105" spans="1:74" ht="15.75">
      <c r="A105" s="142">
        <v>55</v>
      </c>
      <c r="B105" s="143">
        <v>1</v>
      </c>
      <c r="C105" s="144" t="s">
        <v>423</v>
      </c>
      <c r="D105" s="144" t="s">
        <v>424</v>
      </c>
      <c r="E105" s="144" t="s">
        <v>410</v>
      </c>
      <c r="F105" s="144" t="s">
        <v>480</v>
      </c>
      <c r="G105" s="144"/>
      <c r="H105" s="144" t="s">
        <v>481</v>
      </c>
      <c r="I105" s="144">
        <v>50</v>
      </c>
      <c r="J105" s="145">
        <v>9.3800000000000008</v>
      </c>
      <c r="K105" s="140">
        <v>15</v>
      </c>
      <c r="L105" s="140" t="s">
        <v>68</v>
      </c>
      <c r="M105" s="140">
        <v>3</v>
      </c>
      <c r="N105"/>
      <c r="O105"/>
      <c r="P105"/>
      <c r="Q105" s="145">
        <v>9.3800000000000008</v>
      </c>
      <c r="R105">
        <v>12.696404793608522</v>
      </c>
      <c r="S105" s="55">
        <v>7.3035952063914777</v>
      </c>
      <c r="T105" s="82">
        <v>30</v>
      </c>
      <c r="U105" s="82" t="s">
        <v>299</v>
      </c>
      <c r="V105" s="83">
        <v>17.731746000000001</v>
      </c>
      <c r="W105" s="83">
        <v>6.1476819397404681E-2</v>
      </c>
      <c r="X105" s="81">
        <v>12.153039</v>
      </c>
      <c r="Y105" s="81">
        <v>-28.502103151026496</v>
      </c>
      <c r="Z105" s="71" t="s">
        <v>54</v>
      </c>
      <c r="AA105" s="75">
        <v>2.9111787500000004</v>
      </c>
      <c r="AB105" s="75">
        <v>7.1289713486518078</v>
      </c>
      <c r="AC105" s="75">
        <v>2.0592423593750002</v>
      </c>
      <c r="AD105" s="75">
        <v>-26.716135928040213</v>
      </c>
      <c r="AE105" s="75">
        <v>2.375375</v>
      </c>
      <c r="AF105" s="75">
        <v>2.375375</v>
      </c>
      <c r="AG105" s="32">
        <f t="shared" si="51"/>
        <v>2.3009777396870598E-2</v>
      </c>
      <c r="AH105" s="32">
        <f t="shared" si="52"/>
        <v>0.53073405008612418</v>
      </c>
      <c r="AI105" s="33">
        <f t="shared" si="53"/>
        <v>0.40800352831785064</v>
      </c>
      <c r="AJ105" s="34">
        <f t="shared" si="54"/>
        <v>6.4500316093246202</v>
      </c>
      <c r="AK105" s="16">
        <f t="shared" ref="AK105:AK130" si="85">((AI105/K105)*(J105+S105))/(R105)</f>
        <v>3.5742221623038715E-2</v>
      </c>
      <c r="AL105" s="16">
        <f t="shared" si="83"/>
        <v>0.56504035689732368</v>
      </c>
      <c r="AM105" s="27">
        <f t="shared" si="55"/>
        <v>35.742221623038716</v>
      </c>
      <c r="AN105" s="27">
        <f t="shared" si="56"/>
        <v>565.0403568973237</v>
      </c>
      <c r="AO105" s="29" t="e">
        <f t="shared" si="57"/>
        <v>#VALUE!</v>
      </c>
      <c r="AP105" s="29" t="e">
        <f t="shared" si="58"/>
        <v>#VALUE!</v>
      </c>
      <c r="AQ105" s="27">
        <f t="shared" si="59"/>
        <v>15.808764291616111</v>
      </c>
      <c r="AR105" s="14">
        <f t="shared" si="60"/>
        <v>-5.0874945292544025</v>
      </c>
      <c r="AS105" s="25">
        <v>0.3678691314984826</v>
      </c>
      <c r="AT105" s="22">
        <f t="shared" si="61"/>
        <v>0.36439712798877977</v>
      </c>
      <c r="AU105" s="22">
        <f t="shared" si="62"/>
        <v>-3.4720035097028368E-3</v>
      </c>
      <c r="AV105" s="64"/>
      <c r="AW105" s="64"/>
      <c r="AX105" s="116">
        <f t="shared" si="65"/>
        <v>-34.720035097028365</v>
      </c>
      <c r="AY105" s="64"/>
      <c r="AZ105" s="64"/>
      <c r="BA105" s="64"/>
      <c r="BB105" s="64"/>
      <c r="BC105" s="64"/>
      <c r="BD105" s="64"/>
      <c r="BE105" s="14">
        <f t="shared" si="72"/>
        <v>-27.815967222986284</v>
      </c>
      <c r="BF105" s="25">
        <v>1.0824781751878776</v>
      </c>
      <c r="BG105" s="22">
        <f t="shared" si="84"/>
        <v>1.0806378430243786</v>
      </c>
      <c r="BH105" s="38">
        <f t="shared" si="74"/>
        <v>-1.8403321634989922E-3</v>
      </c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</row>
    <row r="106" spans="1:74" ht="15.75">
      <c r="A106" s="138">
        <v>56</v>
      </c>
      <c r="B106" s="139">
        <v>1</v>
      </c>
      <c r="C106" s="140" t="s">
        <v>425</v>
      </c>
      <c r="D106" s="140" t="s">
        <v>426</v>
      </c>
      <c r="E106" s="140" t="s">
        <v>410</v>
      </c>
      <c r="F106" s="140" t="s">
        <v>480</v>
      </c>
      <c r="G106" s="140"/>
      <c r="H106" s="140" t="s">
        <v>481</v>
      </c>
      <c r="I106" s="140">
        <v>50</v>
      </c>
      <c r="J106" s="141">
        <v>10.96</v>
      </c>
      <c r="K106" s="140">
        <v>15</v>
      </c>
      <c r="L106" s="140" t="s">
        <v>69</v>
      </c>
      <c r="M106" s="140">
        <v>3</v>
      </c>
      <c r="N106"/>
      <c r="O106"/>
      <c r="P106"/>
      <c r="Q106" s="141">
        <v>10.96</v>
      </c>
      <c r="R106">
        <v>13.357640039774608</v>
      </c>
      <c r="S106" s="55">
        <v>6.6423599602253915</v>
      </c>
      <c r="T106" s="80">
        <v>31</v>
      </c>
      <c r="U106" s="80" t="s">
        <v>300</v>
      </c>
      <c r="V106" s="81">
        <v>10.868035000000001</v>
      </c>
      <c r="W106" s="81">
        <v>1.7274451765269094</v>
      </c>
      <c r="X106" s="83">
        <v>3.3938617500000001</v>
      </c>
      <c r="Y106" s="83">
        <v>-27.06741622493546</v>
      </c>
      <c r="Z106" s="71" t="s">
        <v>54</v>
      </c>
      <c r="AA106" s="75">
        <v>2.9111787500000004</v>
      </c>
      <c r="AB106" s="75">
        <v>7.1289713486518078</v>
      </c>
      <c r="AC106" s="75">
        <v>2.0592423593750002</v>
      </c>
      <c r="AD106" s="75">
        <v>-26.716135928040213</v>
      </c>
      <c r="AE106" s="75">
        <v>2.375375</v>
      </c>
      <c r="AF106" s="75">
        <v>2.375375</v>
      </c>
      <c r="AG106" s="32">
        <f t="shared" si="51"/>
        <v>2.3009777396870598E-2</v>
      </c>
      <c r="AH106" s="32">
        <f t="shared" si="52"/>
        <v>0.53073405008612418</v>
      </c>
      <c r="AI106" s="33">
        <f t="shared" si="53"/>
        <v>0.25007106609139856</v>
      </c>
      <c r="AJ106" s="34">
        <f t="shared" si="54"/>
        <v>1.8012379920098811</v>
      </c>
      <c r="AK106" s="16">
        <f t="shared" si="85"/>
        <v>2.1969154770208377E-2</v>
      </c>
      <c r="AL106" s="16">
        <f t="shared" si="83"/>
        <v>0.15824172241494494</v>
      </c>
      <c r="AM106" s="27">
        <f t="shared" si="55"/>
        <v>21.969154770208377</v>
      </c>
      <c r="AN106" s="27">
        <f t="shared" si="56"/>
        <v>158.24172241494495</v>
      </c>
      <c r="AO106" s="29" t="e">
        <f t="shared" si="57"/>
        <v>#VALUE!</v>
      </c>
      <c r="AP106" s="29" t="e">
        <f t="shared" si="58"/>
        <v>#VALUE!</v>
      </c>
      <c r="AQ106" s="27">
        <f t="shared" si="59"/>
        <v>7.2029044389787424</v>
      </c>
      <c r="AR106" s="14">
        <f t="shared" si="60"/>
        <v>-3.421526172124898</v>
      </c>
      <c r="AS106" s="25">
        <v>0.3678691314984826</v>
      </c>
      <c r="AT106" s="22">
        <f t="shared" si="61"/>
        <v>0.36500507917050568</v>
      </c>
      <c r="AU106" s="22">
        <f t="shared" si="62"/>
        <v>-2.8640523279769292E-3</v>
      </c>
      <c r="AV106" s="64"/>
      <c r="AW106" s="64"/>
      <c r="AX106" s="116">
        <f t="shared" si="65"/>
        <v>-28.64052327976929</v>
      </c>
      <c r="AY106" s="64"/>
      <c r="AZ106" s="64"/>
      <c r="BA106" s="64"/>
      <c r="BB106" s="64"/>
      <c r="BC106" s="64"/>
      <c r="BD106" s="64"/>
      <c r="BE106" s="14">
        <f t="shared" si="72"/>
        <v>-26.381280296895248</v>
      </c>
      <c r="BF106" s="25">
        <v>1.0824781751878776</v>
      </c>
      <c r="BG106" s="22">
        <f t="shared" si="84"/>
        <v>1.0822153206585086</v>
      </c>
      <c r="BH106" s="38">
        <f t="shared" si="74"/>
        <v>-2.6285452936902765E-4</v>
      </c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</row>
    <row r="107" spans="1:74" ht="15.75">
      <c r="A107" s="138">
        <v>57</v>
      </c>
      <c r="B107" s="139">
        <v>2</v>
      </c>
      <c r="C107" s="140" t="s">
        <v>408</v>
      </c>
      <c r="D107" s="140" t="s">
        <v>426</v>
      </c>
      <c r="E107" s="140" t="s">
        <v>410</v>
      </c>
      <c r="F107" s="140" t="s">
        <v>480</v>
      </c>
      <c r="G107" s="140"/>
      <c r="H107" s="140" t="s">
        <v>482</v>
      </c>
      <c r="I107" s="140">
        <v>100</v>
      </c>
      <c r="J107" s="141">
        <v>14.28</v>
      </c>
      <c r="K107" s="140">
        <v>15</v>
      </c>
      <c r="L107" s="140" t="s">
        <v>70</v>
      </c>
      <c r="M107" s="140">
        <v>3</v>
      </c>
      <c r="N107"/>
      <c r="O107"/>
      <c r="P107"/>
      <c r="Q107" s="141">
        <v>14.28</v>
      </c>
      <c r="R107">
        <v>14.453669877117239</v>
      </c>
      <c r="S107" s="55">
        <v>5.5463301228827619</v>
      </c>
      <c r="T107" s="82">
        <v>32</v>
      </c>
      <c r="U107" s="82" t="s">
        <v>301</v>
      </c>
      <c r="V107" s="83">
        <v>10.561384</v>
      </c>
      <c r="W107" s="83">
        <v>2152.4395299013845</v>
      </c>
      <c r="X107" s="81">
        <v>4.1541465000000004</v>
      </c>
      <c r="Y107" s="81">
        <v>42.91873923067137</v>
      </c>
      <c r="Z107" s="71" t="s">
        <v>54</v>
      </c>
      <c r="AA107" s="75">
        <v>2.9111787500000004</v>
      </c>
      <c r="AB107" s="75">
        <v>7.1289713486518078</v>
      </c>
      <c r="AC107" s="75">
        <v>2.0592423593750002</v>
      </c>
      <c r="AD107" s="75">
        <v>-26.716135928040213</v>
      </c>
      <c r="AE107" s="75">
        <v>2.375375</v>
      </c>
      <c r="AF107" s="75">
        <v>2.375375</v>
      </c>
      <c r="AG107" s="32">
        <f t="shared" si="51"/>
        <v>2.3009777396870598E-2</v>
      </c>
      <c r="AH107" s="32">
        <f t="shared" si="52"/>
        <v>0.53073405008612418</v>
      </c>
      <c r="AI107" s="33">
        <f t="shared" si="53"/>
        <v>0.24301509484287079</v>
      </c>
      <c r="AJ107" s="34">
        <f t="shared" si="54"/>
        <v>2.2047469965960977</v>
      </c>
      <c r="AK107" s="16">
        <f t="shared" si="85"/>
        <v>2.2223179470040509E-2</v>
      </c>
      <c r="AL107" s="16">
        <f t="shared" si="83"/>
        <v>0.20161911433142915</v>
      </c>
      <c r="AM107" s="27">
        <f t="shared" si="55"/>
        <v>22.22317947004051</v>
      </c>
      <c r="AN107" s="27">
        <f t="shared" si="56"/>
        <v>201.61911433142916</v>
      </c>
      <c r="AO107" s="29" t="e">
        <f t="shared" si="57"/>
        <v>#VALUE!</v>
      </c>
      <c r="AP107" s="29" t="e">
        <f t="shared" si="58"/>
        <v>#VALUE!</v>
      </c>
      <c r="AQ107" s="27">
        <f t="shared" si="59"/>
        <v>9.072469337847707</v>
      </c>
      <c r="AR107" s="14">
        <f t="shared" si="60"/>
        <v>2147.2905585527328</v>
      </c>
      <c r="AS107" s="25">
        <v>0.3678691314984826</v>
      </c>
      <c r="AT107" s="22">
        <f t="shared" si="61"/>
        <v>1.1437119029785487</v>
      </c>
      <c r="AU107" s="22">
        <f t="shared" si="62"/>
        <v>0.7758427714800662</v>
      </c>
      <c r="AV107" s="64"/>
      <c r="AW107" s="64"/>
      <c r="AX107" s="116">
        <f t="shared" si="65"/>
        <v>7758.4277148006622</v>
      </c>
      <c r="AY107" s="64"/>
      <c r="AZ107" s="64"/>
      <c r="BA107" s="64"/>
      <c r="BB107" s="64"/>
      <c r="BC107" s="64"/>
      <c r="BD107" s="64"/>
      <c r="BE107" s="14">
        <f t="shared" si="72"/>
        <v>43.604875158711579</v>
      </c>
      <c r="BF107" s="25">
        <v>1.0824781751878776</v>
      </c>
      <c r="BG107" s="22">
        <f t="shared" si="84"/>
        <v>1.1591059763610108</v>
      </c>
      <c r="BH107" s="38">
        <f t="shared" si="74"/>
        <v>7.662780117313317E-2</v>
      </c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</row>
    <row r="108" spans="1:74" ht="15.75">
      <c r="A108" s="138">
        <v>58</v>
      </c>
      <c r="B108" s="139">
        <v>2</v>
      </c>
      <c r="C108" s="140" t="s">
        <v>413</v>
      </c>
      <c r="D108" s="140" t="s">
        <v>418</v>
      </c>
      <c r="E108" s="140" t="s">
        <v>410</v>
      </c>
      <c r="F108" s="140" t="s">
        <v>480</v>
      </c>
      <c r="G108" s="140"/>
      <c r="H108" s="140" t="s">
        <v>482</v>
      </c>
      <c r="I108" s="140">
        <v>100</v>
      </c>
      <c r="J108" s="141">
        <v>2.4300000000000002</v>
      </c>
      <c r="K108" s="140">
        <v>15</v>
      </c>
      <c r="L108" s="140" t="s">
        <v>71</v>
      </c>
      <c r="M108" s="140">
        <v>3</v>
      </c>
      <c r="N108"/>
      <c r="O108"/>
      <c r="P108"/>
      <c r="Q108" s="141">
        <v>2.4300000000000002</v>
      </c>
      <c r="R108">
        <v>13.421926910299005</v>
      </c>
      <c r="S108" s="55">
        <v>6.5780730897009967</v>
      </c>
      <c r="T108" s="80">
        <v>33</v>
      </c>
      <c r="U108" s="80" t="s">
        <v>302</v>
      </c>
      <c r="V108" s="81">
        <v>8.3416944999999991</v>
      </c>
      <c r="W108" s="81">
        <v>993.75496273177328</v>
      </c>
      <c r="X108" s="83">
        <v>3.3997535000000001</v>
      </c>
      <c r="Y108" s="83">
        <v>8.1031969587223607</v>
      </c>
      <c r="Z108" s="71" t="s">
        <v>54</v>
      </c>
      <c r="AA108" s="75">
        <v>2.9111787500000004</v>
      </c>
      <c r="AB108" s="75">
        <v>7.1289713486518078</v>
      </c>
      <c r="AC108" s="75">
        <v>2.0592423593750002</v>
      </c>
      <c r="AD108" s="75">
        <v>-26.716135928040213</v>
      </c>
      <c r="AE108" s="75">
        <v>2.375375</v>
      </c>
      <c r="AF108" s="75">
        <v>2.375375</v>
      </c>
      <c r="AG108" s="32">
        <f t="shared" si="51"/>
        <v>2.3009777396870598E-2</v>
      </c>
      <c r="AH108" s="32">
        <f t="shared" si="52"/>
        <v>0.53073405008612418</v>
      </c>
      <c r="AI108" s="33">
        <f t="shared" si="53"/>
        <v>0.19194053355769977</v>
      </c>
      <c r="AJ108" s="34">
        <f t="shared" si="54"/>
        <v>1.804364944349476</v>
      </c>
      <c r="AK108" s="16">
        <f t="shared" si="85"/>
        <v>8.5880085957814149E-3</v>
      </c>
      <c r="AL108" s="16">
        <f t="shared" si="83"/>
        <v>8.0732825760024732E-2</v>
      </c>
      <c r="AM108" s="27">
        <f t="shared" si="55"/>
        <v>8.5880085957814156</v>
      </c>
      <c r="AN108" s="27">
        <f t="shared" si="56"/>
        <v>80.732825760024738</v>
      </c>
      <c r="AO108" s="29" t="e">
        <f t="shared" si="57"/>
        <v>#VALUE!</v>
      </c>
      <c r="AP108" s="29" t="e">
        <f t="shared" si="58"/>
        <v>#VALUE!</v>
      </c>
      <c r="AQ108" s="27">
        <f t="shared" si="59"/>
        <v>9.400645663033238</v>
      </c>
      <c r="AR108" s="14">
        <f t="shared" si="60"/>
        <v>988.60599138312148</v>
      </c>
      <c r="AS108" s="25">
        <v>0.3678691314984826</v>
      </c>
      <c r="AT108" s="22">
        <f t="shared" si="61"/>
        <v>0.72570656354360075</v>
      </c>
      <c r="AU108" s="22">
        <f t="shared" si="62"/>
        <v>0.35783743204511814</v>
      </c>
      <c r="AV108" s="64"/>
      <c r="AW108" s="64"/>
      <c r="AX108" s="116">
        <f t="shared" si="65"/>
        <v>3578.3743204511811</v>
      </c>
      <c r="AY108" s="64"/>
      <c r="AZ108" s="64"/>
      <c r="BA108" s="64"/>
      <c r="BB108" s="64"/>
      <c r="BC108" s="64"/>
      <c r="BD108" s="64"/>
      <c r="BE108" s="14">
        <f t="shared" si="72"/>
        <v>8.7893328867625726</v>
      </c>
      <c r="BF108" s="25">
        <v>1.0824781751878776</v>
      </c>
      <c r="BG108" s="22">
        <f t="shared" si="84"/>
        <v>1.1208706463006677</v>
      </c>
      <c r="BH108" s="38">
        <f t="shared" si="74"/>
        <v>3.8392471112790094E-2</v>
      </c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</row>
    <row r="109" spans="1:74" ht="15.75">
      <c r="A109" s="138">
        <v>59</v>
      </c>
      <c r="B109" s="139">
        <v>2</v>
      </c>
      <c r="C109" s="140" t="s">
        <v>415</v>
      </c>
      <c r="D109" s="140" t="s">
        <v>416</v>
      </c>
      <c r="E109" s="140" t="s">
        <v>410</v>
      </c>
      <c r="F109" s="140" t="s">
        <v>480</v>
      </c>
      <c r="G109" s="140"/>
      <c r="H109" s="140" t="s">
        <v>482</v>
      </c>
      <c r="I109" s="140">
        <v>100</v>
      </c>
      <c r="J109" s="141">
        <v>11.44</v>
      </c>
      <c r="K109" s="140">
        <v>15</v>
      </c>
      <c r="L109" s="140" t="s">
        <v>72</v>
      </c>
      <c r="M109" s="140">
        <v>3</v>
      </c>
      <c r="N109"/>
      <c r="O109"/>
      <c r="P109"/>
      <c r="Q109" s="141">
        <v>11.44</v>
      </c>
      <c r="R109">
        <v>12.575406032482597</v>
      </c>
      <c r="S109" s="55">
        <v>7.4245939675174029</v>
      </c>
      <c r="T109" s="82">
        <v>34</v>
      </c>
      <c r="U109" s="82" t="s">
        <v>303</v>
      </c>
      <c r="V109" s="83">
        <v>11.175364999999999</v>
      </c>
      <c r="W109" s="83">
        <v>1859.0964390034992</v>
      </c>
      <c r="X109" s="81">
        <v>3.5222424999999999</v>
      </c>
      <c r="Y109" s="81">
        <v>27.405819464407855</v>
      </c>
      <c r="Z109" s="71" t="s">
        <v>54</v>
      </c>
      <c r="AA109" s="75">
        <v>2.9111787500000004</v>
      </c>
      <c r="AB109" s="75">
        <v>7.1289713486518078</v>
      </c>
      <c r="AC109" s="75">
        <v>2.0592423593750002</v>
      </c>
      <c r="AD109" s="75">
        <v>-26.716135928040213</v>
      </c>
      <c r="AE109" s="75">
        <v>2.375375</v>
      </c>
      <c r="AF109" s="75">
        <v>2.375375</v>
      </c>
      <c r="AG109" s="32">
        <f t="shared" si="51"/>
        <v>2.3009777396870598E-2</v>
      </c>
      <c r="AH109" s="32">
        <f t="shared" si="52"/>
        <v>0.53073405008612418</v>
      </c>
      <c r="AI109" s="33">
        <f t="shared" si="53"/>
        <v>0.25714266097877875</v>
      </c>
      <c r="AJ109" s="34">
        <f t="shared" si="54"/>
        <v>1.8693740274104753</v>
      </c>
      <c r="AK109" s="16">
        <f t="shared" si="85"/>
        <v>2.5716290345147573E-2</v>
      </c>
      <c r="AL109" s="16">
        <f t="shared" si="83"/>
        <v>0.18695211860054992</v>
      </c>
      <c r="AM109" s="27">
        <f t="shared" si="55"/>
        <v>25.716290345147574</v>
      </c>
      <c r="AN109" s="27">
        <f t="shared" si="56"/>
        <v>186.95211860054991</v>
      </c>
      <c r="AO109" s="29" t="e">
        <f t="shared" si="57"/>
        <v>#VALUE!</v>
      </c>
      <c r="AP109" s="29" t="e">
        <f t="shared" si="58"/>
        <v>#VALUE!</v>
      </c>
      <c r="AQ109" s="27">
        <f t="shared" si="59"/>
        <v>7.2697934302109033</v>
      </c>
      <c r="AR109" s="14">
        <f t="shared" si="60"/>
        <v>1853.9474676548473</v>
      </c>
      <c r="AS109" s="25">
        <v>0.3678691314984826</v>
      </c>
      <c r="AT109" s="22">
        <f t="shared" si="61"/>
        <v>1.0382190182601068</v>
      </c>
      <c r="AU109" s="22">
        <f t="shared" si="62"/>
        <v>0.67034988676162421</v>
      </c>
      <c r="AV109" s="64"/>
      <c r="AW109" s="64"/>
      <c r="AX109" s="116">
        <f t="shared" si="65"/>
        <v>6703.4988676162429</v>
      </c>
      <c r="AY109" s="64"/>
      <c r="AZ109" s="64"/>
      <c r="BA109" s="64"/>
      <c r="BB109" s="64"/>
      <c r="BC109" s="64"/>
      <c r="BD109" s="64"/>
      <c r="BE109" s="14">
        <f t="shared" si="72"/>
        <v>28.091955392448067</v>
      </c>
      <c r="BF109" s="25">
        <v>1.0824781751878776</v>
      </c>
      <c r="BG109" s="22">
        <f t="shared" si="84"/>
        <v>1.1420729392872939</v>
      </c>
      <c r="BH109" s="38">
        <f t="shared" si="74"/>
        <v>5.9594764099416331E-2</v>
      </c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</row>
    <row r="110" spans="1:74" ht="15.75">
      <c r="A110" s="138">
        <v>60</v>
      </c>
      <c r="B110" s="139">
        <v>2</v>
      </c>
      <c r="C110" s="140" t="s">
        <v>417</v>
      </c>
      <c r="D110" s="140" t="s">
        <v>422</v>
      </c>
      <c r="E110" s="140" t="s">
        <v>410</v>
      </c>
      <c r="F110" s="140" t="s">
        <v>480</v>
      </c>
      <c r="G110" s="140"/>
      <c r="H110" s="140" t="s">
        <v>482</v>
      </c>
      <c r="I110" s="140">
        <v>100</v>
      </c>
      <c r="J110" s="141">
        <v>7.33</v>
      </c>
      <c r="K110" s="140">
        <v>15</v>
      </c>
      <c r="L110" s="140" t="s">
        <v>73</v>
      </c>
      <c r="M110" s="140">
        <v>3</v>
      </c>
      <c r="N110"/>
      <c r="O110"/>
      <c r="P110"/>
      <c r="Q110" s="141">
        <v>7.33</v>
      </c>
      <c r="R110">
        <v>13.838484546360917</v>
      </c>
      <c r="S110" s="55">
        <v>6.1615154536390833</v>
      </c>
      <c r="T110" s="82">
        <v>36</v>
      </c>
      <c r="U110" s="82" t="s">
        <v>305</v>
      </c>
      <c r="V110" s="83">
        <v>6.4803850000000001</v>
      </c>
      <c r="W110" s="83">
        <v>1944.8267265768291</v>
      </c>
      <c r="X110" s="81">
        <v>5.0502849999999997</v>
      </c>
      <c r="Y110" s="81">
        <v>-6.6013105702577421</v>
      </c>
      <c r="Z110" s="71" t="s">
        <v>54</v>
      </c>
      <c r="AA110" s="75">
        <v>2.9111787500000004</v>
      </c>
      <c r="AB110" s="75">
        <v>7.1289713486518078</v>
      </c>
      <c r="AC110" s="75">
        <v>2.0592423593750002</v>
      </c>
      <c r="AD110" s="75">
        <v>-26.716135928040213</v>
      </c>
      <c r="AE110" s="75">
        <v>2.375375</v>
      </c>
      <c r="AF110" s="75">
        <v>2.375375</v>
      </c>
      <c r="AG110" s="32">
        <f t="shared" si="51"/>
        <v>2.3009777396870598E-2</v>
      </c>
      <c r="AH110" s="32">
        <f t="shared" si="52"/>
        <v>0.53073405008612418</v>
      </c>
      <c r="AI110" s="33">
        <f t="shared" si="53"/>
        <v>0.14911221629601926</v>
      </c>
      <c r="AJ110" s="34">
        <f t="shared" si="54"/>
        <v>2.6803582121392013</v>
      </c>
      <c r="AK110" s="16">
        <f t="shared" si="85"/>
        <v>9.6915707002669053E-3</v>
      </c>
      <c r="AL110" s="16">
        <f t="shared" si="83"/>
        <v>0.17421028109070871</v>
      </c>
      <c r="AM110" s="27">
        <f t="shared" si="55"/>
        <v>9.6915707002669045</v>
      </c>
      <c r="AN110" s="27">
        <f t="shared" si="56"/>
        <v>174.21028109070872</v>
      </c>
      <c r="AO110" s="29" t="e">
        <f t="shared" si="57"/>
        <v>#VALUE!</v>
      </c>
      <c r="AP110" s="29" t="e">
        <f t="shared" si="58"/>
        <v>#VALUE!</v>
      </c>
      <c r="AQ110" s="27">
        <f t="shared" si="59"/>
        <v>17.97544345272237</v>
      </c>
      <c r="AR110" s="14">
        <f t="shared" si="60"/>
        <v>1939.6777552281771</v>
      </c>
      <c r="AS110" s="25">
        <v>0.3678691314984826</v>
      </c>
      <c r="AT110" s="22">
        <f t="shared" si="61"/>
        <v>1.0690728683352688</v>
      </c>
      <c r="AU110" s="22">
        <f t="shared" si="62"/>
        <v>0.70120373683678627</v>
      </c>
      <c r="AV110" s="64"/>
      <c r="AW110" s="64"/>
      <c r="AX110" s="116">
        <f t="shared" si="65"/>
        <v>7012.0373683678627</v>
      </c>
      <c r="AY110" s="64"/>
      <c r="AZ110" s="64"/>
      <c r="BA110" s="64"/>
      <c r="BB110" s="64"/>
      <c r="BC110" s="64"/>
      <c r="BD110" s="64"/>
      <c r="BE110" s="14">
        <f t="shared" si="72"/>
        <v>-5.9151746422175302</v>
      </c>
      <c r="BF110" s="25">
        <v>1.0824781751878776</v>
      </c>
      <c r="BG110" s="22">
        <f t="shared" si="84"/>
        <v>1.1047128884859481</v>
      </c>
      <c r="BH110" s="38">
        <f t="shared" si="74"/>
        <v>2.2234713298070474E-2</v>
      </c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</row>
    <row r="111" spans="1:74" ht="15.75">
      <c r="A111" s="138">
        <v>61</v>
      </c>
      <c r="B111" s="139">
        <v>2</v>
      </c>
      <c r="C111" s="140" t="s">
        <v>419</v>
      </c>
      <c r="D111" s="140" t="s">
        <v>409</v>
      </c>
      <c r="E111" s="140" t="s">
        <v>410</v>
      </c>
      <c r="F111" s="140" t="s">
        <v>480</v>
      </c>
      <c r="G111" s="140"/>
      <c r="H111" s="140" t="s">
        <v>482</v>
      </c>
      <c r="I111" s="140">
        <v>100</v>
      </c>
      <c r="J111" s="141">
        <v>6.91</v>
      </c>
      <c r="K111" s="140">
        <v>15</v>
      </c>
      <c r="L111" s="140" t="s">
        <v>74</v>
      </c>
      <c r="M111" s="140">
        <v>3</v>
      </c>
      <c r="N111"/>
      <c r="O111"/>
      <c r="P111"/>
      <c r="Q111" s="141">
        <v>6.91</v>
      </c>
      <c r="R111">
        <v>13.215946843853823</v>
      </c>
      <c r="S111" s="55">
        <v>6.7840531561461788</v>
      </c>
      <c r="T111" s="80">
        <v>37</v>
      </c>
      <c r="U111" s="80" t="s">
        <v>306</v>
      </c>
      <c r="V111" s="81">
        <v>11.284039</v>
      </c>
      <c r="W111" s="81">
        <v>1524.5620078448335</v>
      </c>
      <c r="X111" s="83">
        <v>6.3096635000000001</v>
      </c>
      <c r="Y111" s="83">
        <v>-8.4440523778402827</v>
      </c>
      <c r="Z111" s="71" t="s">
        <v>54</v>
      </c>
      <c r="AA111" s="75">
        <v>2.9111787500000004</v>
      </c>
      <c r="AB111" s="75">
        <v>7.1289713486518078</v>
      </c>
      <c r="AC111" s="75">
        <v>2.0592423593750002</v>
      </c>
      <c r="AD111" s="75">
        <v>-26.716135928040213</v>
      </c>
      <c r="AE111" s="75">
        <v>2.375375</v>
      </c>
      <c r="AF111" s="75">
        <v>2.375375</v>
      </c>
      <c r="AG111" s="32">
        <f t="shared" si="51"/>
        <v>2.3009777396870598E-2</v>
      </c>
      <c r="AH111" s="32">
        <f t="shared" si="52"/>
        <v>0.53073405008612418</v>
      </c>
      <c r="AI111" s="33">
        <f t="shared" si="53"/>
        <v>0.25964322552760633</v>
      </c>
      <c r="AJ111" s="34">
        <f t="shared" si="54"/>
        <v>3.3487532640355897</v>
      </c>
      <c r="AK111" s="16">
        <f t="shared" si="85"/>
        <v>1.7935746735956014E-2</v>
      </c>
      <c r="AL111" s="16">
        <f t="shared" si="83"/>
        <v>0.23132662253328196</v>
      </c>
      <c r="AM111" s="27">
        <f t="shared" si="55"/>
        <v>17.935746735956013</v>
      </c>
      <c r="AN111" s="27">
        <f t="shared" si="56"/>
        <v>231.32662253328195</v>
      </c>
      <c r="AO111" s="29" t="e">
        <f t="shared" si="57"/>
        <v>#VALUE!</v>
      </c>
      <c r="AP111" s="29" t="e">
        <f t="shared" si="58"/>
        <v>#VALUE!</v>
      </c>
      <c r="AQ111" s="27">
        <f t="shared" si="59"/>
        <v>12.897518343606992</v>
      </c>
      <c r="AR111" s="14">
        <f t="shared" si="60"/>
        <v>1519.4130364961816</v>
      </c>
      <c r="AS111" s="25">
        <v>0.3678691314984826</v>
      </c>
      <c r="AT111" s="22">
        <f t="shared" si="61"/>
        <v>0.91763765739044512</v>
      </c>
      <c r="AU111" s="22">
        <f t="shared" si="62"/>
        <v>0.54976852589196246</v>
      </c>
      <c r="AV111" s="64"/>
      <c r="AW111" s="64"/>
      <c r="AX111" s="116">
        <f t="shared" si="65"/>
        <v>5497.6852589196251</v>
      </c>
      <c r="AY111" s="64"/>
      <c r="AZ111" s="64"/>
      <c r="BA111" s="64"/>
      <c r="BB111" s="64"/>
      <c r="BC111" s="64"/>
      <c r="BD111" s="64"/>
      <c r="BE111" s="14">
        <f t="shared" si="72"/>
        <v>-7.7579164498000708</v>
      </c>
      <c r="BF111" s="25">
        <v>1.0824781751878776</v>
      </c>
      <c r="BG111" s="22">
        <f t="shared" si="84"/>
        <v>1.1026876556746885</v>
      </c>
      <c r="BH111" s="38">
        <f t="shared" si="74"/>
        <v>2.0209480486810927E-2</v>
      </c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</row>
    <row r="112" spans="1:74" ht="15.75">
      <c r="A112" s="138">
        <v>62</v>
      </c>
      <c r="B112" s="139">
        <v>2</v>
      </c>
      <c r="C112" s="140" t="s">
        <v>421</v>
      </c>
      <c r="D112" s="140" t="s">
        <v>424</v>
      </c>
      <c r="E112" s="140" t="s">
        <v>410</v>
      </c>
      <c r="F112" s="140" t="s">
        <v>480</v>
      </c>
      <c r="G112" s="140"/>
      <c r="H112" s="140" t="s">
        <v>482</v>
      </c>
      <c r="I112" s="140">
        <v>100</v>
      </c>
      <c r="J112" s="141">
        <v>16.53</v>
      </c>
      <c r="K112" s="140">
        <v>15</v>
      </c>
      <c r="L112" s="140" t="s">
        <v>75</v>
      </c>
      <c r="M112" s="140">
        <v>3</v>
      </c>
      <c r="N112"/>
      <c r="O112"/>
      <c r="P112"/>
      <c r="Q112" s="141">
        <v>16.53</v>
      </c>
      <c r="R112">
        <v>13.747921516461588</v>
      </c>
      <c r="S112" s="55">
        <v>6.2520784835384111</v>
      </c>
      <c r="T112" s="82">
        <v>38</v>
      </c>
      <c r="U112" s="82" t="s">
        <v>307</v>
      </c>
      <c r="V112" s="83">
        <v>14.049754999999999</v>
      </c>
      <c r="W112" s="83">
        <v>2122.9476927734181</v>
      </c>
      <c r="X112" s="81">
        <v>6.8700925000000002</v>
      </c>
      <c r="Y112" s="81">
        <v>52.579116957342897</v>
      </c>
      <c r="Z112" s="71" t="s">
        <v>54</v>
      </c>
      <c r="AA112" s="75">
        <v>2.9111787500000004</v>
      </c>
      <c r="AB112" s="75">
        <v>7.1289713486518078</v>
      </c>
      <c r="AC112" s="75">
        <v>2.0592423593750002</v>
      </c>
      <c r="AD112" s="75">
        <v>-26.716135928040213</v>
      </c>
      <c r="AE112" s="75">
        <v>2.375375</v>
      </c>
      <c r="AF112" s="75">
        <v>2.375375</v>
      </c>
      <c r="AG112" s="32">
        <f t="shared" si="51"/>
        <v>2.3009777396870598E-2</v>
      </c>
      <c r="AH112" s="32">
        <f t="shared" si="52"/>
        <v>0.53073405008612418</v>
      </c>
      <c r="AI112" s="33">
        <f t="shared" si="53"/>
        <v>0.32328173503056967</v>
      </c>
      <c r="AJ112" s="34">
        <f t="shared" si="54"/>
        <v>3.6461920169913062</v>
      </c>
      <c r="AK112" s="16">
        <f t="shared" si="85"/>
        <v>3.5714634394938001E-2</v>
      </c>
      <c r="AL112" s="16">
        <f t="shared" si="83"/>
        <v>0.40281401857816734</v>
      </c>
      <c r="AM112" s="27">
        <f t="shared" si="55"/>
        <v>35.714634394938003</v>
      </c>
      <c r="AN112" s="27">
        <f t="shared" si="56"/>
        <v>402.81401857816735</v>
      </c>
      <c r="AO112" s="29" t="e">
        <f t="shared" si="57"/>
        <v>#VALUE!</v>
      </c>
      <c r="AP112" s="29" t="e">
        <f t="shared" si="58"/>
        <v>#VALUE!</v>
      </c>
      <c r="AQ112" s="27">
        <f t="shared" si="59"/>
        <v>11.278682405755218</v>
      </c>
      <c r="AR112" s="14">
        <f t="shared" si="60"/>
        <v>2117.7987214247664</v>
      </c>
      <c r="AS112" s="25">
        <v>0.3678691314984826</v>
      </c>
      <c r="AT112" s="22">
        <f t="shared" si="61"/>
        <v>1.1331161341418294</v>
      </c>
      <c r="AU112" s="22">
        <f t="shared" si="62"/>
        <v>0.76524700264334689</v>
      </c>
      <c r="AV112" s="64"/>
      <c r="AW112" s="64"/>
      <c r="AX112" s="116">
        <f t="shared" si="65"/>
        <v>7652.4700264334688</v>
      </c>
      <c r="AY112" s="64"/>
      <c r="AZ112" s="64"/>
      <c r="BA112" s="64"/>
      <c r="BB112" s="64"/>
      <c r="BC112" s="64"/>
      <c r="BD112" s="64"/>
      <c r="BE112" s="14">
        <f t="shared" si="72"/>
        <v>53.265252885383106</v>
      </c>
      <c r="BF112" s="25">
        <v>1.0824781751878776</v>
      </c>
      <c r="BG112" s="22">
        <f t="shared" si="84"/>
        <v>1.1697100130928149</v>
      </c>
      <c r="BH112" s="38">
        <f t="shared" si="74"/>
        <v>8.7231837904937271E-2</v>
      </c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</row>
    <row r="113" spans="1:74" ht="15.75">
      <c r="A113" s="138">
        <v>63</v>
      </c>
      <c r="B113" s="139">
        <v>2</v>
      </c>
      <c r="C113" s="140" t="s">
        <v>423</v>
      </c>
      <c r="D113" s="140" t="s">
        <v>414</v>
      </c>
      <c r="E113" s="140" t="s">
        <v>410</v>
      </c>
      <c r="F113" s="140" t="s">
        <v>480</v>
      </c>
      <c r="G113" s="140"/>
      <c r="H113" s="140" t="s">
        <v>482</v>
      </c>
      <c r="I113" s="140">
        <v>100</v>
      </c>
      <c r="J113" s="141">
        <v>11.79</v>
      </c>
      <c r="K113" s="140">
        <v>15</v>
      </c>
      <c r="L113" s="140" t="s">
        <v>76</v>
      </c>
      <c r="M113" s="140">
        <v>3</v>
      </c>
      <c r="N113"/>
      <c r="O113"/>
      <c r="P113"/>
      <c r="Q113" s="141">
        <v>11.79</v>
      </c>
      <c r="R113">
        <v>13.895715709066756</v>
      </c>
      <c r="S113" s="55">
        <v>6.1042842909332453</v>
      </c>
      <c r="T113" s="80">
        <v>39</v>
      </c>
      <c r="U113" s="80" t="s">
        <v>308</v>
      </c>
      <c r="V113" s="81">
        <v>11.87978</v>
      </c>
      <c r="W113" s="81">
        <v>1457.311483835095</v>
      </c>
      <c r="X113" s="83">
        <v>3.2228759999999999</v>
      </c>
      <c r="Y113" s="83">
        <v>18.777355677723996</v>
      </c>
      <c r="Z113" s="71" t="s">
        <v>54</v>
      </c>
      <c r="AA113" s="75">
        <v>2.9111787500000004</v>
      </c>
      <c r="AB113" s="75">
        <v>7.1289713486518078</v>
      </c>
      <c r="AC113" s="75">
        <v>2.0592423593750002</v>
      </c>
      <c r="AD113" s="75">
        <v>-26.716135928040213</v>
      </c>
      <c r="AE113" s="75">
        <v>2.375375</v>
      </c>
      <c r="AF113" s="75">
        <v>2.375375</v>
      </c>
      <c r="AG113" s="32">
        <f t="shared" si="51"/>
        <v>2.3009777396870598E-2</v>
      </c>
      <c r="AH113" s="32">
        <f t="shared" si="52"/>
        <v>0.53073405008612418</v>
      </c>
      <c r="AI113" s="33">
        <f t="shared" si="53"/>
        <v>0.27335109332379537</v>
      </c>
      <c r="AJ113" s="34">
        <f t="shared" si="54"/>
        <v>1.7104900324053676</v>
      </c>
      <c r="AK113" s="16">
        <f t="shared" si="85"/>
        <v>2.3467291538316063E-2</v>
      </c>
      <c r="AL113" s="16">
        <f t="shared" si="83"/>
        <v>0.14684619613462579</v>
      </c>
      <c r="AM113" s="27">
        <f t="shared" si="55"/>
        <v>23.467291538316061</v>
      </c>
      <c r="AN113" s="27">
        <f t="shared" si="56"/>
        <v>146.84619613462579</v>
      </c>
      <c r="AO113" s="29" t="e">
        <f t="shared" si="57"/>
        <v>#VALUE!</v>
      </c>
      <c r="AP113" s="29" t="e">
        <f t="shared" si="58"/>
        <v>#VALUE!</v>
      </c>
      <c r="AQ113" s="27">
        <f t="shared" si="59"/>
        <v>6.2574837788529472</v>
      </c>
      <c r="AR113" s="14">
        <f t="shared" si="60"/>
        <v>1452.1625124864431</v>
      </c>
      <c r="AS113" s="25">
        <v>0.3678691314984826</v>
      </c>
      <c r="AT113" s="22">
        <f t="shared" si="61"/>
        <v>0.89336204069060499</v>
      </c>
      <c r="AU113" s="22">
        <f t="shared" si="62"/>
        <v>0.52549290919212233</v>
      </c>
      <c r="AV113" s="64"/>
      <c r="AW113" s="64"/>
      <c r="AX113" s="116">
        <f t="shared" si="65"/>
        <v>5254.9290919212235</v>
      </c>
      <c r="AY113" s="64"/>
      <c r="AZ113" s="64"/>
      <c r="BA113" s="64"/>
      <c r="BB113" s="64"/>
      <c r="BC113" s="64"/>
      <c r="BD113" s="64"/>
      <c r="BE113" s="14">
        <f t="shared" si="72"/>
        <v>19.463491605764208</v>
      </c>
      <c r="BF113" s="25">
        <v>1.0824781751878776</v>
      </c>
      <c r="BG113" s="22">
        <f t="shared" si="84"/>
        <v>1.132596427871065</v>
      </c>
      <c r="BH113" s="38">
        <f t="shared" si="74"/>
        <v>5.011825268318737E-2</v>
      </c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</row>
    <row r="114" spans="1:74" ht="15.75">
      <c r="A114" s="138">
        <v>64</v>
      </c>
      <c r="B114" s="139">
        <v>2</v>
      </c>
      <c r="C114" s="140" t="s">
        <v>425</v>
      </c>
      <c r="D114" s="140" t="s">
        <v>420</v>
      </c>
      <c r="E114" s="140" t="s">
        <v>410</v>
      </c>
      <c r="F114" s="140" t="s">
        <v>480</v>
      </c>
      <c r="G114" s="140"/>
      <c r="H114" s="140" t="s">
        <v>482</v>
      </c>
      <c r="I114" s="140">
        <v>100</v>
      </c>
      <c r="J114" s="141">
        <v>10.14</v>
      </c>
      <c r="K114" s="140">
        <v>15</v>
      </c>
      <c r="L114" s="140" t="s">
        <v>77</v>
      </c>
      <c r="M114" s="140">
        <v>3</v>
      </c>
      <c r="N114"/>
      <c r="O114"/>
      <c r="P114"/>
      <c r="Q114" s="141">
        <v>10.14</v>
      </c>
      <c r="R114">
        <v>13.163129973474803</v>
      </c>
      <c r="S114" s="55">
        <v>6.8368700265251974</v>
      </c>
      <c r="T114" s="82">
        <v>40</v>
      </c>
      <c r="U114" s="82" t="s">
        <v>309</v>
      </c>
      <c r="V114" s="83">
        <v>19.738157999999999</v>
      </c>
      <c r="W114" s="83">
        <v>1274.7858424874198</v>
      </c>
      <c r="X114" s="81">
        <v>7.4771890000000001</v>
      </c>
      <c r="Y114" s="81">
        <v>30.742017585905174</v>
      </c>
      <c r="Z114" s="71" t="s">
        <v>54</v>
      </c>
      <c r="AA114" s="75">
        <v>2.9111787500000004</v>
      </c>
      <c r="AB114" s="75">
        <v>7.1289713486518078</v>
      </c>
      <c r="AC114" s="75">
        <v>2.0592423593750002</v>
      </c>
      <c r="AD114" s="75">
        <v>-26.716135928040213</v>
      </c>
      <c r="AE114" s="75">
        <v>2.375375</v>
      </c>
      <c r="AF114" s="75">
        <v>2.375375</v>
      </c>
      <c r="AG114" s="32">
        <f t="shared" si="51"/>
        <v>2.3009777396870598E-2</v>
      </c>
      <c r="AH114" s="32">
        <f t="shared" si="52"/>
        <v>0.53073405008612418</v>
      </c>
      <c r="AI114" s="33">
        <f t="shared" si="53"/>
        <v>0.45417062180426054</v>
      </c>
      <c r="AJ114" s="34">
        <f t="shared" si="54"/>
        <v>3.9683988012294167</v>
      </c>
      <c r="AK114" s="16">
        <f t="shared" si="85"/>
        <v>3.9050467134460073E-2</v>
      </c>
      <c r="AL114" s="16">
        <f t="shared" si="83"/>
        <v>0.34121059250421643</v>
      </c>
      <c r="AM114" s="27">
        <f t="shared" si="55"/>
        <v>39.050467134460071</v>
      </c>
      <c r="AN114" s="27">
        <f t="shared" si="56"/>
        <v>341.21059250421644</v>
      </c>
      <c r="AO114" s="29" t="e">
        <f t="shared" si="57"/>
        <v>#VALUE!</v>
      </c>
      <c r="AP114" s="29" t="e">
        <f t="shared" si="58"/>
        <v>#VALUE!</v>
      </c>
      <c r="AQ114" s="27">
        <f t="shared" si="59"/>
        <v>8.7376827357620801</v>
      </c>
      <c r="AR114" s="14">
        <f t="shared" si="60"/>
        <v>1269.6368711387679</v>
      </c>
      <c r="AS114" s="25">
        <v>0.3678691314984826</v>
      </c>
      <c r="AT114" s="22">
        <f t="shared" si="61"/>
        <v>0.82741523533594818</v>
      </c>
      <c r="AU114" s="22">
        <f t="shared" si="62"/>
        <v>0.45954610383746558</v>
      </c>
      <c r="AV114" s="64"/>
      <c r="AW114" s="64"/>
      <c r="AX114" s="116">
        <f t="shared" si="65"/>
        <v>4595.4610383746567</v>
      </c>
      <c r="AY114" s="64"/>
      <c r="AZ114" s="64"/>
      <c r="BA114" s="64"/>
      <c r="BB114" s="64"/>
      <c r="BC114" s="64"/>
      <c r="BD114" s="64"/>
      <c r="BE114" s="14">
        <f t="shared" si="72"/>
        <v>31.428153513945386</v>
      </c>
      <c r="BF114" s="25">
        <v>1.0824781751878776</v>
      </c>
      <c r="BG114" s="22">
        <f t="shared" si="84"/>
        <v>1.1457365482979673</v>
      </c>
      <c r="BH114" s="38">
        <f t="shared" si="74"/>
        <v>6.325837311008975E-2</v>
      </c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</row>
    <row r="115" spans="1:74" ht="15.75">
      <c r="A115" s="138">
        <v>65</v>
      </c>
      <c r="B115" s="139">
        <v>3</v>
      </c>
      <c r="C115" s="140" t="s">
        <v>408</v>
      </c>
      <c r="D115" s="140" t="s">
        <v>418</v>
      </c>
      <c r="E115" s="140" t="s">
        <v>410</v>
      </c>
      <c r="F115" s="140" t="s">
        <v>480</v>
      </c>
      <c r="G115" s="140"/>
      <c r="H115" s="140" t="s">
        <v>483</v>
      </c>
      <c r="I115" s="140">
        <v>100</v>
      </c>
      <c r="J115" s="141">
        <v>16.96</v>
      </c>
      <c r="K115" s="140">
        <v>15</v>
      </c>
      <c r="L115" s="140" t="s">
        <v>78</v>
      </c>
      <c r="M115" s="140">
        <v>3</v>
      </c>
      <c r="N115"/>
      <c r="O115"/>
      <c r="P115"/>
      <c r="Q115" s="141">
        <v>16.96</v>
      </c>
      <c r="R115">
        <v>12.560000000000002</v>
      </c>
      <c r="S115" s="55">
        <v>7.4399999999999977</v>
      </c>
      <c r="T115" s="80">
        <v>41</v>
      </c>
      <c r="U115" s="80" t="s">
        <v>310</v>
      </c>
      <c r="V115" s="81">
        <v>9.3864280000000004</v>
      </c>
      <c r="W115" s="81">
        <v>2303.0287758012437</v>
      </c>
      <c r="X115" s="83">
        <v>3.8332655</v>
      </c>
      <c r="Y115" s="83">
        <v>34.826762292629027</v>
      </c>
      <c r="Z115" s="71" t="s">
        <v>54</v>
      </c>
      <c r="AA115" s="75">
        <v>2.9111787500000004</v>
      </c>
      <c r="AB115" s="75">
        <v>7.1289713486518078</v>
      </c>
      <c r="AC115" s="75">
        <v>2.0592423593750002</v>
      </c>
      <c r="AD115" s="75">
        <v>-26.716135928040213</v>
      </c>
      <c r="AE115" s="75">
        <v>2.375375</v>
      </c>
      <c r="AF115" s="75">
        <v>2.375375</v>
      </c>
      <c r="AG115" s="32">
        <f t="shared" si="51"/>
        <v>2.3009777396870598E-2</v>
      </c>
      <c r="AH115" s="32">
        <f t="shared" si="52"/>
        <v>0.53073405008612418</v>
      </c>
      <c r="AI115" s="33">
        <f t="shared" si="53"/>
        <v>0.21597961883175329</v>
      </c>
      <c r="AJ115" s="34">
        <f t="shared" si="54"/>
        <v>2.0344445238704116</v>
      </c>
      <c r="AK115" s="16">
        <f t="shared" si="85"/>
        <v>2.7971882693709017E-2</v>
      </c>
      <c r="AL115" s="16">
        <f t="shared" si="83"/>
        <v>0.26348432262440563</v>
      </c>
      <c r="AM115" s="27">
        <f t="shared" si="55"/>
        <v>27.971882693709016</v>
      </c>
      <c r="AN115" s="27">
        <f t="shared" si="56"/>
        <v>263.48432262440565</v>
      </c>
      <c r="AO115" s="29" t="e">
        <f t="shared" si="57"/>
        <v>#VALUE!</v>
      </c>
      <c r="AP115" s="29" t="e">
        <f t="shared" si="58"/>
        <v>#VALUE!</v>
      </c>
      <c r="AQ115" s="27">
        <f t="shared" si="59"/>
        <v>9.4196134564679941</v>
      </c>
      <c r="AR115" s="14">
        <f t="shared" si="60"/>
        <v>2297.879804452592</v>
      </c>
      <c r="AS115" s="25">
        <v>0.3678691314984826</v>
      </c>
      <c r="AT115" s="22">
        <f t="shared" si="61"/>
        <v>1.1977799227337487</v>
      </c>
      <c r="AU115" s="22">
        <f t="shared" si="62"/>
        <v>0.82991079123526612</v>
      </c>
      <c r="AV115" s="64"/>
      <c r="AW115" s="64"/>
      <c r="AX115" s="116">
        <f t="shared" si="65"/>
        <v>8299.1079123526597</v>
      </c>
      <c r="AY115" s="64"/>
      <c r="AZ115" s="64"/>
      <c r="BA115" s="64"/>
      <c r="BB115" s="64"/>
      <c r="BC115" s="64"/>
      <c r="BD115" s="64"/>
      <c r="BE115" s="14">
        <f t="shared" si="72"/>
        <v>35.512898220669243</v>
      </c>
      <c r="BF115" s="25">
        <v>1.0824781751878776</v>
      </c>
      <c r="BG115" s="22">
        <f t="shared" si="84"/>
        <v>1.150221795699939</v>
      </c>
      <c r="BH115" s="38">
        <f t="shared" si="74"/>
        <v>6.7743620512061398E-2</v>
      </c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</row>
    <row r="116" spans="1:74" ht="15.75">
      <c r="A116" s="138">
        <v>66</v>
      </c>
      <c r="B116" s="139">
        <v>3</v>
      </c>
      <c r="C116" s="140" t="s">
        <v>413</v>
      </c>
      <c r="D116" s="140" t="s">
        <v>416</v>
      </c>
      <c r="E116" s="140" t="s">
        <v>410</v>
      </c>
      <c r="F116" s="140" t="s">
        <v>480</v>
      </c>
      <c r="G116" s="140"/>
      <c r="H116" s="140" t="s">
        <v>483</v>
      </c>
      <c r="I116" s="140">
        <v>100</v>
      </c>
      <c r="J116" s="141">
        <v>10.96</v>
      </c>
      <c r="K116" s="140">
        <v>15</v>
      </c>
      <c r="L116" s="140" t="s">
        <v>79</v>
      </c>
      <c r="M116" s="140">
        <v>3</v>
      </c>
      <c r="N116"/>
      <c r="O116"/>
      <c r="P116"/>
      <c r="Q116" s="141">
        <v>10.96</v>
      </c>
      <c r="R116">
        <v>13.410672853828306</v>
      </c>
      <c r="S116" s="55">
        <v>6.5893271461716942</v>
      </c>
      <c r="T116" s="82">
        <v>42</v>
      </c>
      <c r="U116" s="82" t="s">
        <v>311</v>
      </c>
      <c r="V116" s="83">
        <v>12.711357</v>
      </c>
      <c r="W116" s="83">
        <v>1743.5570342655069</v>
      </c>
      <c r="X116" s="81">
        <v>3.9130807500000002</v>
      </c>
      <c r="Y116" s="81">
        <v>50.872136934620222</v>
      </c>
      <c r="Z116" s="71" t="s">
        <v>54</v>
      </c>
      <c r="AA116" s="75">
        <v>2.9111787500000004</v>
      </c>
      <c r="AB116" s="75">
        <v>7.1289713486518078</v>
      </c>
      <c r="AC116" s="75">
        <v>2.0592423593750002</v>
      </c>
      <c r="AD116" s="75">
        <v>-26.716135928040213</v>
      </c>
      <c r="AE116" s="75">
        <v>2.375375</v>
      </c>
      <c r="AF116" s="75">
        <v>2.375375</v>
      </c>
      <c r="AG116" s="32">
        <f t="shared" si="51"/>
        <v>2.3009777396870598E-2</v>
      </c>
      <c r="AH116" s="32">
        <f t="shared" si="52"/>
        <v>0.53073405008612418</v>
      </c>
      <c r="AI116" s="33">
        <f t="shared" si="53"/>
        <v>0.29248549498215282</v>
      </c>
      <c r="AJ116" s="34">
        <f t="shared" si="54"/>
        <v>2.0768051947615485</v>
      </c>
      <c r="AK116" s="16">
        <f t="shared" si="85"/>
        <v>2.55166100060693E-2</v>
      </c>
      <c r="AL116" s="16">
        <f t="shared" si="83"/>
        <v>0.18118173079503591</v>
      </c>
      <c r="AM116" s="27">
        <f t="shared" si="55"/>
        <v>25.5166100060693</v>
      </c>
      <c r="AN116" s="27">
        <f t="shared" si="56"/>
        <v>181.18173079503592</v>
      </c>
      <c r="AO116" s="29" t="e">
        <f t="shared" si="57"/>
        <v>#VALUE!</v>
      </c>
      <c r="AP116" s="29" t="e">
        <f t="shared" si="58"/>
        <v>#VALUE!</v>
      </c>
      <c r="AQ116" s="27">
        <f t="shared" si="59"/>
        <v>7.1005408144710671</v>
      </c>
      <c r="AR116" s="14">
        <f t="shared" si="60"/>
        <v>1738.408062916855</v>
      </c>
      <c r="AS116" s="25">
        <v>0.3678691314984826</v>
      </c>
      <c r="AT116" s="22">
        <f t="shared" si="61"/>
        <v>0.99660657541758213</v>
      </c>
      <c r="AU116" s="22">
        <f t="shared" si="62"/>
        <v>0.62873744391909958</v>
      </c>
      <c r="AV116" s="64"/>
      <c r="AW116" s="64"/>
      <c r="AX116" s="116">
        <f t="shared" si="65"/>
        <v>6287.3744391909959</v>
      </c>
      <c r="AY116" s="64"/>
      <c r="AZ116" s="64"/>
      <c r="BA116" s="64"/>
      <c r="BB116" s="64"/>
      <c r="BC116" s="64"/>
      <c r="BD116" s="64"/>
      <c r="BE116" s="14">
        <f t="shared" si="72"/>
        <v>51.558272862660431</v>
      </c>
      <c r="BF116" s="25">
        <v>1.0824781751878776</v>
      </c>
      <c r="BG116" s="22">
        <f t="shared" si="84"/>
        <v>1.1678364548792455</v>
      </c>
      <c r="BH116" s="38">
        <f t="shared" si="74"/>
        <v>8.5358279691367889E-2</v>
      </c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</row>
    <row r="117" spans="1:74" ht="15.75">
      <c r="A117" s="138">
        <v>67</v>
      </c>
      <c r="B117" s="139">
        <v>3</v>
      </c>
      <c r="C117" s="140" t="s">
        <v>415</v>
      </c>
      <c r="D117" s="140" t="s">
        <v>426</v>
      </c>
      <c r="E117" s="140" t="s">
        <v>410</v>
      </c>
      <c r="F117" s="140" t="s">
        <v>480</v>
      </c>
      <c r="G117" s="140"/>
      <c r="H117" s="140" t="s">
        <v>483</v>
      </c>
      <c r="I117" s="140">
        <v>100</v>
      </c>
      <c r="J117" s="141">
        <v>12.73</v>
      </c>
      <c r="K117" s="140">
        <v>15</v>
      </c>
      <c r="L117" s="140" t="s">
        <v>80</v>
      </c>
      <c r="M117" s="140">
        <v>3</v>
      </c>
      <c r="N117"/>
      <c r="O117"/>
      <c r="P117"/>
      <c r="Q117" s="141">
        <v>12.73</v>
      </c>
      <c r="R117">
        <v>13.777925975325108</v>
      </c>
      <c r="S117" s="55">
        <v>6.2220740246748925</v>
      </c>
      <c r="T117" s="80">
        <v>43</v>
      </c>
      <c r="U117" s="80" t="s">
        <v>312</v>
      </c>
      <c r="V117" s="81">
        <v>15.473865999999999</v>
      </c>
      <c r="W117" s="81">
        <v>1432.8610986827366</v>
      </c>
      <c r="X117" s="83">
        <v>6.0472324999999998</v>
      </c>
      <c r="Y117" s="83">
        <v>10.865630337718757</v>
      </c>
      <c r="Z117" s="71" t="s">
        <v>54</v>
      </c>
      <c r="AA117" s="75">
        <v>2.9111787500000004</v>
      </c>
      <c r="AB117" s="75">
        <v>7.1289713486518078</v>
      </c>
      <c r="AC117" s="75">
        <v>2.0592423593750002</v>
      </c>
      <c r="AD117" s="75">
        <v>-26.716135928040213</v>
      </c>
      <c r="AE117" s="75">
        <v>2.375375</v>
      </c>
      <c r="AF117" s="75">
        <v>2.375375</v>
      </c>
      <c r="AG117" s="32">
        <f t="shared" si="51"/>
        <v>2.3009777396870598E-2</v>
      </c>
      <c r="AH117" s="32">
        <f t="shared" si="52"/>
        <v>0.53073405008612418</v>
      </c>
      <c r="AI117" s="33">
        <f t="shared" si="53"/>
        <v>0.35605021212900445</v>
      </c>
      <c r="AJ117" s="34">
        <f t="shared" si="54"/>
        <v>3.2094721965374378</v>
      </c>
      <c r="AK117" s="16">
        <f t="shared" si="85"/>
        <v>3.2650729332580682E-2</v>
      </c>
      <c r="AL117" s="16">
        <f t="shared" si="83"/>
        <v>0.29431693738640119</v>
      </c>
      <c r="AM117" s="27">
        <f t="shared" si="55"/>
        <v>32.650729332580681</v>
      </c>
      <c r="AN117" s="27">
        <f t="shared" si="56"/>
        <v>294.31693738640121</v>
      </c>
      <c r="AO117" s="29" t="e">
        <f t="shared" si="57"/>
        <v>#VALUE!</v>
      </c>
      <c r="AP117" s="29" t="e">
        <f t="shared" si="58"/>
        <v>#VALUE!</v>
      </c>
      <c r="AQ117" s="27">
        <f t="shared" si="59"/>
        <v>9.014099942101927</v>
      </c>
      <c r="AR117" s="14">
        <f t="shared" si="60"/>
        <v>1427.7121273340847</v>
      </c>
      <c r="AS117" s="25">
        <v>0.3678691314984826</v>
      </c>
      <c r="AT117" s="22">
        <f t="shared" si="61"/>
        <v>0.88453316541045846</v>
      </c>
      <c r="AU117" s="22">
        <f t="shared" si="62"/>
        <v>0.51666403391197591</v>
      </c>
      <c r="AV117" s="64"/>
      <c r="AW117" s="64"/>
      <c r="AX117" s="116">
        <f t="shared" si="65"/>
        <v>5166.6403391197591</v>
      </c>
      <c r="AY117" s="64"/>
      <c r="AZ117" s="64"/>
      <c r="BA117" s="64"/>
      <c r="BB117" s="64"/>
      <c r="BC117" s="64"/>
      <c r="BD117" s="64"/>
      <c r="BE117" s="14">
        <f t="shared" si="72"/>
        <v>11.551766265758969</v>
      </c>
      <c r="BF117" s="25">
        <v>1.0824781751878776</v>
      </c>
      <c r="BG117" s="22">
        <f t="shared" si="84"/>
        <v>1.123905502596577</v>
      </c>
      <c r="BH117" s="38">
        <f t="shared" si="74"/>
        <v>4.1427327408699366E-2</v>
      </c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</row>
    <row r="118" spans="1:74" ht="15.75">
      <c r="A118" s="138">
        <v>68</v>
      </c>
      <c r="B118" s="139">
        <v>3</v>
      </c>
      <c r="C118" s="140" t="s">
        <v>417</v>
      </c>
      <c r="D118" s="140" t="s">
        <v>420</v>
      </c>
      <c r="E118" s="140" t="s">
        <v>410</v>
      </c>
      <c r="F118" s="140" t="s">
        <v>480</v>
      </c>
      <c r="G118" s="140"/>
      <c r="H118" s="140" t="s">
        <v>483</v>
      </c>
      <c r="I118" s="140">
        <v>100</v>
      </c>
      <c r="J118" s="141">
        <v>7.98</v>
      </c>
      <c r="K118" s="140">
        <v>15</v>
      </c>
      <c r="L118" s="140" t="s">
        <v>81</v>
      </c>
      <c r="M118" s="140">
        <v>3</v>
      </c>
      <c r="N118"/>
      <c r="O118"/>
      <c r="P118"/>
      <c r="Q118" s="141">
        <v>7.98</v>
      </c>
      <c r="R118">
        <v>11.354236157438294</v>
      </c>
      <c r="S118" s="55">
        <v>8.6457638425617063</v>
      </c>
      <c r="T118" s="82">
        <v>44</v>
      </c>
      <c r="U118" s="82" t="s">
        <v>313</v>
      </c>
      <c r="V118" s="83">
        <v>19.690272</v>
      </c>
      <c r="W118" s="83">
        <v>1071.4092817702669</v>
      </c>
      <c r="X118" s="130">
        <v>8.0345134999999992</v>
      </c>
      <c r="Y118" s="130">
        <v>125.71148348394676</v>
      </c>
      <c r="Z118" s="71" t="s">
        <v>54</v>
      </c>
      <c r="AA118" s="75">
        <v>2.9111787500000004</v>
      </c>
      <c r="AB118" s="75">
        <v>7.1289713486518078</v>
      </c>
      <c r="AC118" s="75">
        <v>2.0592423593750002</v>
      </c>
      <c r="AD118" s="75">
        <v>-26.716135928040213</v>
      </c>
      <c r="AE118" s="75">
        <v>2.375375</v>
      </c>
      <c r="AF118" s="75">
        <v>2.375375</v>
      </c>
      <c r="AG118" s="32">
        <f t="shared" si="51"/>
        <v>2.3009777396870598E-2</v>
      </c>
      <c r="AH118" s="32">
        <f t="shared" si="52"/>
        <v>0.53073405008612418</v>
      </c>
      <c r="AI118" s="33">
        <f t="shared" si="53"/>
        <v>0.45306877560383402</v>
      </c>
      <c r="AJ118" s="34">
        <f t="shared" si="54"/>
        <v>4.2641898903266409</v>
      </c>
      <c r="AK118" s="16">
        <f t="shared" si="85"/>
        <v>4.4227924351642224E-2</v>
      </c>
      <c r="AL118" s="16">
        <f t="shared" si="83"/>
        <v>0.41626410391899071</v>
      </c>
      <c r="AM118" s="27">
        <f t="shared" si="55"/>
        <v>44.227924351642223</v>
      </c>
      <c r="AN118" s="27">
        <f t="shared" si="56"/>
        <v>416.26410391899071</v>
      </c>
      <c r="AO118" s="29" t="e">
        <f t="shared" si="57"/>
        <v>#VALUE!</v>
      </c>
      <c r="AP118" s="29" t="e">
        <f t="shared" si="58"/>
        <v>#VALUE!</v>
      </c>
      <c r="AQ118" s="27">
        <f t="shared" si="59"/>
        <v>9.4117937936541303</v>
      </c>
      <c r="AR118" s="14">
        <f t="shared" si="60"/>
        <v>1066.260310421615</v>
      </c>
      <c r="AS118" s="25">
        <v>0.3678691314984826</v>
      </c>
      <c r="AT118" s="22">
        <f t="shared" si="61"/>
        <v>0.75383150793729437</v>
      </c>
      <c r="AU118" s="22">
        <f t="shared" si="62"/>
        <v>0.38596237643881176</v>
      </c>
      <c r="AV118" s="64"/>
      <c r="AW118" s="64"/>
      <c r="AX118" s="116">
        <f t="shared" si="65"/>
        <v>3859.6237643881173</v>
      </c>
      <c r="AY118" s="64"/>
      <c r="AZ118" s="64"/>
      <c r="BA118" s="64"/>
      <c r="BB118" s="64"/>
      <c r="BC118" s="64"/>
      <c r="BD118" s="64"/>
      <c r="BE118" s="14">
        <f t="shared" si="72"/>
        <v>126.39761941198698</v>
      </c>
      <c r="BF118" s="25">
        <v>1.0824781751878776</v>
      </c>
      <c r="BG118" s="22">
        <f t="shared" si="84"/>
        <v>1.2499124505143202</v>
      </c>
      <c r="BH118" s="38">
        <f t="shared" si="74"/>
        <v>0.16743427532644262</v>
      </c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</row>
    <row r="119" spans="1:74" ht="15.75">
      <c r="A119" s="138">
        <v>69</v>
      </c>
      <c r="B119" s="139">
        <v>3</v>
      </c>
      <c r="C119" s="140" t="s">
        <v>419</v>
      </c>
      <c r="D119" s="140" t="s">
        <v>422</v>
      </c>
      <c r="E119" s="140" t="s">
        <v>410</v>
      </c>
      <c r="F119" s="140" t="s">
        <v>480</v>
      </c>
      <c r="G119" s="140"/>
      <c r="H119" s="140" t="s">
        <v>483</v>
      </c>
      <c r="I119" s="140">
        <v>100</v>
      </c>
      <c r="J119" s="141">
        <v>4.74</v>
      </c>
      <c r="K119" s="140">
        <v>15</v>
      </c>
      <c r="L119" s="140" t="s">
        <v>82</v>
      </c>
      <c r="M119" s="140">
        <v>3</v>
      </c>
      <c r="N119"/>
      <c r="O119"/>
      <c r="P119"/>
      <c r="Q119" s="141">
        <v>4.74</v>
      </c>
      <c r="R119">
        <v>13.610648918469217</v>
      </c>
      <c r="S119" s="55">
        <v>6.3893510815307808</v>
      </c>
      <c r="T119" s="80">
        <v>45</v>
      </c>
      <c r="U119" s="80" t="s">
        <v>314</v>
      </c>
      <c r="V119" s="81">
        <v>9.517944</v>
      </c>
      <c r="W119" s="81">
        <v>3278.0857599163505</v>
      </c>
      <c r="X119" s="83">
        <v>5.2402815</v>
      </c>
      <c r="Y119" s="83">
        <v>72.853779024653832</v>
      </c>
      <c r="Z119" s="71" t="s">
        <v>54</v>
      </c>
      <c r="AA119" s="75">
        <v>2.9111787500000004</v>
      </c>
      <c r="AB119" s="75">
        <v>7.1289713486518078</v>
      </c>
      <c r="AC119" s="75">
        <v>2.0592423593750002</v>
      </c>
      <c r="AD119" s="75">
        <v>-26.716135928040213</v>
      </c>
      <c r="AE119" s="75">
        <v>2.375375</v>
      </c>
      <c r="AF119" s="75">
        <v>2.375375</v>
      </c>
      <c r="AG119" s="32">
        <f t="shared" si="51"/>
        <v>2.3009777396870598E-2</v>
      </c>
      <c r="AH119" s="32">
        <f t="shared" si="52"/>
        <v>0.53073405008612418</v>
      </c>
      <c r="AI119" s="33">
        <f t="shared" si="53"/>
        <v>0.21900577271588012</v>
      </c>
      <c r="AJ119" s="34">
        <f t="shared" si="54"/>
        <v>2.7811958240863901</v>
      </c>
      <c r="AK119" s="16">
        <f t="shared" si="85"/>
        <v>1.1938652585131344E-2</v>
      </c>
      <c r="AL119" s="16">
        <f t="shared" si="83"/>
        <v>0.15161121235859498</v>
      </c>
      <c r="AM119" s="27">
        <f t="shared" si="55"/>
        <v>11.938652585131344</v>
      </c>
      <c r="AN119" s="27">
        <f t="shared" si="56"/>
        <v>151.61121235859497</v>
      </c>
      <c r="AO119" s="29" t="e">
        <f t="shared" si="57"/>
        <v>#VALUE!</v>
      </c>
      <c r="AP119" s="29" t="e">
        <f t="shared" si="58"/>
        <v>#VALUE!</v>
      </c>
      <c r="AQ119" s="27">
        <f t="shared" si="59"/>
        <v>12.69918956745712</v>
      </c>
      <c r="AR119" s="14">
        <f t="shared" si="60"/>
        <v>3272.9367885676988</v>
      </c>
      <c r="AS119" s="25">
        <v>0.3678691314984826</v>
      </c>
      <c r="AT119" s="22">
        <f t="shared" si="61"/>
        <v>1.546441124622445</v>
      </c>
      <c r="AU119" s="22">
        <f t="shared" si="62"/>
        <v>1.1785719931239624</v>
      </c>
      <c r="AV119" s="64"/>
      <c r="AW119" s="64"/>
      <c r="AX119" s="116">
        <f t="shared" si="65"/>
        <v>11785.719931239624</v>
      </c>
      <c r="AY119" s="64"/>
      <c r="AZ119" s="64"/>
      <c r="BA119" s="64"/>
      <c r="BB119" s="64"/>
      <c r="BC119" s="64"/>
      <c r="BD119" s="64"/>
      <c r="BE119" s="14">
        <f t="shared" si="72"/>
        <v>73.539914952694048</v>
      </c>
      <c r="BF119" s="25">
        <v>1.0824781751878776</v>
      </c>
      <c r="BG119" s="22">
        <f t="shared" si="84"/>
        <v>1.1919577770977576</v>
      </c>
      <c r="BH119" s="38">
        <f t="shared" si="74"/>
        <v>0.10947960190988004</v>
      </c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</row>
    <row r="120" spans="1:74" ht="15.75">
      <c r="A120" s="138">
        <v>70</v>
      </c>
      <c r="B120" s="139">
        <v>3</v>
      </c>
      <c r="C120" s="140" t="s">
        <v>421</v>
      </c>
      <c r="D120" s="140" t="s">
        <v>424</v>
      </c>
      <c r="E120" s="140" t="s">
        <v>410</v>
      </c>
      <c r="F120" s="140" t="s">
        <v>480</v>
      </c>
      <c r="G120" s="140"/>
      <c r="H120" s="140" t="s">
        <v>483</v>
      </c>
      <c r="I120" s="140">
        <v>100</v>
      </c>
      <c r="J120" s="141">
        <v>5.69</v>
      </c>
      <c r="K120" s="140">
        <v>15</v>
      </c>
      <c r="L120" s="140" t="s">
        <v>83</v>
      </c>
      <c r="M120" s="140">
        <v>3</v>
      </c>
      <c r="N120"/>
      <c r="O120"/>
      <c r="P120"/>
      <c r="Q120" s="141">
        <v>5.69</v>
      </c>
      <c r="R120">
        <v>13.239999999999998</v>
      </c>
      <c r="S120" s="55">
        <v>6.7600000000000007</v>
      </c>
      <c r="T120" s="82">
        <v>46</v>
      </c>
      <c r="U120" s="82" t="s">
        <v>315</v>
      </c>
      <c r="V120" s="83">
        <v>5.3466639999999996</v>
      </c>
      <c r="W120" s="83">
        <v>2410.5302753931905</v>
      </c>
      <c r="X120" s="81">
        <v>4.2009005000000004</v>
      </c>
      <c r="Y120" s="81">
        <v>1.1727573295017126</v>
      </c>
      <c r="Z120" s="71" t="s">
        <v>54</v>
      </c>
      <c r="AA120" s="75">
        <v>2.9111787500000004</v>
      </c>
      <c r="AB120" s="75">
        <v>7.1289713486518078</v>
      </c>
      <c r="AC120" s="75">
        <v>2.0592423593750002</v>
      </c>
      <c r="AD120" s="75">
        <v>-26.716135928040213</v>
      </c>
      <c r="AE120" s="75">
        <v>2.375375</v>
      </c>
      <c r="AF120" s="75">
        <v>2.375375</v>
      </c>
      <c r="AG120" s="32">
        <f t="shared" si="51"/>
        <v>2.3009777396870598E-2</v>
      </c>
      <c r="AH120" s="32">
        <f t="shared" si="52"/>
        <v>0.53073405008612418</v>
      </c>
      <c r="AI120" s="33">
        <f t="shared" si="53"/>
        <v>0.12302554845586172</v>
      </c>
      <c r="AJ120" s="34">
        <f t="shared" si="54"/>
        <v>2.2295609363738245</v>
      </c>
      <c r="AK120" s="16">
        <f t="shared" si="85"/>
        <v>7.7123266781242645E-3</v>
      </c>
      <c r="AL120" s="16">
        <f t="shared" si="83"/>
        <v>0.13976854812615369</v>
      </c>
      <c r="AM120" s="27">
        <f t="shared" si="55"/>
        <v>7.7123266781242643</v>
      </c>
      <c r="AN120" s="27">
        <f t="shared" si="56"/>
        <v>139.76854812615369</v>
      </c>
      <c r="AO120" s="29" t="e">
        <f t="shared" si="57"/>
        <v>#VALUE!</v>
      </c>
      <c r="AP120" s="29" t="e">
        <f t="shared" si="58"/>
        <v>#VALUE!</v>
      </c>
      <c r="AQ120" s="27">
        <f t="shared" si="59"/>
        <v>18.122747383432568</v>
      </c>
      <c r="AR120" s="14">
        <f t="shared" si="60"/>
        <v>2405.3813040445389</v>
      </c>
      <c r="AS120" s="25">
        <v>0.3678691314984826</v>
      </c>
      <c r="AT120" s="22">
        <f t="shared" si="61"/>
        <v>1.2363414208498928</v>
      </c>
      <c r="AU120" s="22">
        <f t="shared" si="62"/>
        <v>0.8684722893514103</v>
      </c>
      <c r="AV120" s="64"/>
      <c r="AW120" s="64"/>
      <c r="AX120" s="116">
        <f t="shared" si="65"/>
        <v>8684.7228935141047</v>
      </c>
      <c r="AY120" s="64"/>
      <c r="AZ120" s="64"/>
      <c r="BA120" s="64"/>
      <c r="BB120" s="64"/>
      <c r="BC120" s="64"/>
      <c r="BD120" s="64"/>
      <c r="BE120" s="14">
        <f t="shared" si="72"/>
        <v>1.8588932575419246</v>
      </c>
      <c r="BF120" s="25">
        <v>1.0824781751878776</v>
      </c>
      <c r="BG120" s="22">
        <f t="shared" si="84"/>
        <v>1.1132559273807388</v>
      </c>
      <c r="BH120" s="38">
        <f t="shared" si="74"/>
        <v>3.0777752192861163E-2</v>
      </c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</row>
    <row r="121" spans="1:74" ht="15.75">
      <c r="A121" s="138">
        <v>71</v>
      </c>
      <c r="B121" s="139">
        <v>3</v>
      </c>
      <c r="C121" s="140" t="s">
        <v>423</v>
      </c>
      <c r="D121" s="140" t="s">
        <v>414</v>
      </c>
      <c r="E121" s="140" t="s">
        <v>410</v>
      </c>
      <c r="F121" s="140" t="s">
        <v>480</v>
      </c>
      <c r="G121" s="140"/>
      <c r="H121" s="140" t="s">
        <v>483</v>
      </c>
      <c r="I121" s="140">
        <v>100</v>
      </c>
      <c r="J121" s="141">
        <v>11.82</v>
      </c>
      <c r="K121" s="140">
        <v>15</v>
      </c>
      <c r="L121" s="140" t="s">
        <v>84</v>
      </c>
      <c r="M121" s="140">
        <v>3</v>
      </c>
      <c r="N121"/>
      <c r="O121"/>
      <c r="P121"/>
      <c r="Q121" s="141">
        <v>11.82</v>
      </c>
      <c r="R121">
        <v>13.015343562374916</v>
      </c>
      <c r="S121" s="55">
        <v>6.984656437625083</v>
      </c>
      <c r="T121" s="82">
        <v>48</v>
      </c>
      <c r="U121" s="82" t="s">
        <v>317</v>
      </c>
      <c r="V121" s="83">
        <v>15.075529</v>
      </c>
      <c r="W121" s="83">
        <v>1091.9791013905324</v>
      </c>
      <c r="X121" s="81">
        <v>4.4561760000000001</v>
      </c>
      <c r="Y121" s="81">
        <v>7.4982455973012563</v>
      </c>
      <c r="Z121" s="71" t="s">
        <v>54</v>
      </c>
      <c r="AA121" s="75">
        <v>2.9111787500000004</v>
      </c>
      <c r="AB121" s="75">
        <v>7.1289713486518078</v>
      </c>
      <c r="AC121" s="75">
        <v>2.0592423593750002</v>
      </c>
      <c r="AD121" s="75">
        <v>-26.716135928040213</v>
      </c>
      <c r="AE121" s="75">
        <v>2.375375</v>
      </c>
      <c r="AF121" s="75">
        <v>2.375375</v>
      </c>
      <c r="AG121" s="32">
        <f t="shared" si="51"/>
        <v>2.3009777396870598E-2</v>
      </c>
      <c r="AH121" s="32">
        <f t="shared" si="52"/>
        <v>0.53073405008612418</v>
      </c>
      <c r="AI121" s="33">
        <f t="shared" si="53"/>
        <v>0.34688456643006721</v>
      </c>
      <c r="AJ121" s="34">
        <f t="shared" si="54"/>
        <v>2.3650443363765845</v>
      </c>
      <c r="AK121" s="16">
        <f t="shared" si="85"/>
        <v>3.3412077901085573E-2</v>
      </c>
      <c r="AL121" s="16">
        <f t="shared" si="83"/>
        <v>0.22780213723479828</v>
      </c>
      <c r="AM121" s="27">
        <f t="shared" si="55"/>
        <v>33.412077901085574</v>
      </c>
      <c r="AN121" s="27">
        <f t="shared" si="56"/>
        <v>227.80213723479827</v>
      </c>
      <c r="AO121" s="29" t="e">
        <f t="shared" si="57"/>
        <v>#VALUE!</v>
      </c>
      <c r="AP121" s="29" t="e">
        <f t="shared" si="58"/>
        <v>#VALUE!</v>
      </c>
      <c r="AQ121" s="27">
        <f t="shared" si="59"/>
        <v>6.8179578028398193</v>
      </c>
      <c r="AR121" s="14">
        <f t="shared" si="60"/>
        <v>1086.8301300418805</v>
      </c>
      <c r="AS121" s="25">
        <v>0.3678691314984826</v>
      </c>
      <c r="AT121" s="22">
        <f t="shared" si="61"/>
        <v>0.76127884301466653</v>
      </c>
      <c r="AU121" s="22">
        <f t="shared" si="62"/>
        <v>0.39340971151618392</v>
      </c>
      <c r="AV121" s="64"/>
      <c r="AW121" s="64"/>
      <c r="AX121" s="116">
        <f t="shared" si="65"/>
        <v>3934.0971151618396</v>
      </c>
      <c r="AY121" s="64"/>
      <c r="AZ121" s="64"/>
      <c r="BA121" s="64"/>
      <c r="BB121" s="64"/>
      <c r="BC121" s="64"/>
      <c r="BD121" s="64"/>
      <c r="BE121" s="14">
        <f t="shared" si="72"/>
        <v>8.1843815253414682</v>
      </c>
      <c r="BF121" s="25">
        <v>1.0824781751878776</v>
      </c>
      <c r="BG121" s="22">
        <f t="shared" si="84"/>
        <v>1.1202060115788395</v>
      </c>
      <c r="BH121" s="38">
        <f t="shared" si="74"/>
        <v>3.7727836390961889E-2</v>
      </c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</row>
    <row r="122" spans="1:74" ht="15.75">
      <c r="A122" s="138">
        <v>72</v>
      </c>
      <c r="B122" s="139">
        <v>3</v>
      </c>
      <c r="C122" s="140" t="s">
        <v>425</v>
      </c>
      <c r="D122" s="140" t="s">
        <v>409</v>
      </c>
      <c r="E122" s="140" t="s">
        <v>410</v>
      </c>
      <c r="F122" s="140" t="s">
        <v>480</v>
      </c>
      <c r="G122" s="140"/>
      <c r="H122" s="140" t="s">
        <v>483</v>
      </c>
      <c r="I122" s="140">
        <v>100</v>
      </c>
      <c r="J122" s="141">
        <v>8.3800000000000008</v>
      </c>
      <c r="K122" s="140">
        <v>15</v>
      </c>
      <c r="L122" s="140" t="s">
        <v>85</v>
      </c>
      <c r="M122" s="140">
        <v>3</v>
      </c>
      <c r="N122"/>
      <c r="O122"/>
      <c r="P122"/>
      <c r="Q122" s="141">
        <v>8.3800000000000008</v>
      </c>
      <c r="R122">
        <v>13.619427811044581</v>
      </c>
      <c r="S122" s="55">
        <v>6.3805721889554201</v>
      </c>
      <c r="T122" s="80">
        <v>49</v>
      </c>
      <c r="U122" s="80" t="s">
        <v>318</v>
      </c>
      <c r="V122" s="81">
        <v>8.9974450000000008</v>
      </c>
      <c r="W122" s="81">
        <v>1414.5839607638891</v>
      </c>
      <c r="X122" s="83">
        <v>4.6198594999999996</v>
      </c>
      <c r="Y122" s="83">
        <v>-2.5895597228440437</v>
      </c>
      <c r="Z122" s="71" t="s">
        <v>54</v>
      </c>
      <c r="AA122" s="75">
        <v>2.9111787500000004</v>
      </c>
      <c r="AB122" s="75">
        <v>7.1289713486518078</v>
      </c>
      <c r="AC122" s="75">
        <v>2.0592423593750002</v>
      </c>
      <c r="AD122" s="75">
        <v>-26.716135928040213</v>
      </c>
      <c r="AE122" s="75">
        <v>2.375375</v>
      </c>
      <c r="AF122" s="75">
        <v>2.375375</v>
      </c>
      <c r="AG122" s="32">
        <f t="shared" si="51"/>
        <v>2.3009777396870598E-2</v>
      </c>
      <c r="AH122" s="32">
        <f t="shared" si="52"/>
        <v>0.53073405008612418</v>
      </c>
      <c r="AI122" s="33">
        <f t="shared" si="53"/>
        <v>0.20702920659058638</v>
      </c>
      <c r="AJ122" s="34">
        <f t="shared" si="54"/>
        <v>2.4519167432638564</v>
      </c>
      <c r="AK122" s="16">
        <f t="shared" si="85"/>
        <v>1.4958384407429019E-2</v>
      </c>
      <c r="AL122" s="16">
        <f t="shared" si="83"/>
        <v>0.17715719334848623</v>
      </c>
      <c r="AM122" s="27">
        <f t="shared" si="55"/>
        <v>14.958384407429019</v>
      </c>
      <c r="AN122" s="27">
        <f t="shared" si="56"/>
        <v>177.15719334848623</v>
      </c>
      <c r="AO122" s="29" t="e">
        <f t="shared" si="57"/>
        <v>#VALUE!</v>
      </c>
      <c r="AP122" s="29" t="e">
        <f t="shared" si="58"/>
        <v>#VALUE!</v>
      </c>
      <c r="AQ122" s="27">
        <f t="shared" si="59"/>
        <v>11.843337390132978</v>
      </c>
      <c r="AR122" s="14">
        <f t="shared" si="60"/>
        <v>1409.4349894152372</v>
      </c>
      <c r="AS122" s="25">
        <v>0.3678691314984826</v>
      </c>
      <c r="AT122" s="22">
        <f t="shared" si="61"/>
        <v>0.8779323821137559</v>
      </c>
      <c r="AU122" s="22">
        <f t="shared" si="62"/>
        <v>0.51006325061527336</v>
      </c>
      <c r="AV122" s="64"/>
      <c r="AW122" s="64"/>
      <c r="AX122" s="116">
        <f t="shared" si="65"/>
        <v>5100.6325061527332</v>
      </c>
      <c r="AY122" s="64"/>
      <c r="AZ122" s="64"/>
      <c r="BA122" s="64"/>
      <c r="BB122" s="64"/>
      <c r="BC122" s="64"/>
      <c r="BD122" s="64"/>
      <c r="BE122" s="14">
        <f t="shared" si="72"/>
        <v>-1.9034237948038317</v>
      </c>
      <c r="BF122" s="25">
        <v>1.0824781751878776</v>
      </c>
      <c r="BG122" s="22">
        <f t="shared" si="84"/>
        <v>1.1091216455025739</v>
      </c>
      <c r="BH122" s="38">
        <f t="shared" si="74"/>
        <v>2.6643470314696271E-2</v>
      </c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</row>
    <row r="123" spans="1:74" ht="15.75">
      <c r="A123" s="138">
        <v>73</v>
      </c>
      <c r="B123" s="139">
        <v>4</v>
      </c>
      <c r="C123" s="140" t="s">
        <v>408</v>
      </c>
      <c r="D123" s="140" t="s">
        <v>416</v>
      </c>
      <c r="E123" s="140" t="s">
        <v>410</v>
      </c>
      <c r="F123" s="140" t="s">
        <v>480</v>
      </c>
      <c r="G123" s="140"/>
      <c r="H123" s="140" t="s">
        <v>484</v>
      </c>
      <c r="I123" s="140">
        <v>100</v>
      </c>
      <c r="J123" s="141">
        <v>8.2200000000000006</v>
      </c>
      <c r="K123" s="140">
        <v>15</v>
      </c>
      <c r="L123" s="140" t="s">
        <v>86</v>
      </c>
      <c r="M123" s="140">
        <v>3</v>
      </c>
      <c r="N123"/>
      <c r="O123"/>
      <c r="P123"/>
      <c r="Q123" s="141">
        <v>8.2200000000000006</v>
      </c>
      <c r="R123">
        <v>11.924101198402131</v>
      </c>
      <c r="S123" s="55">
        <v>8.0758988015978712</v>
      </c>
      <c r="T123" s="82">
        <v>50</v>
      </c>
      <c r="U123" s="82" t="s">
        <v>319</v>
      </c>
      <c r="V123" s="83">
        <v>4.6619675000000003</v>
      </c>
      <c r="W123" s="83">
        <v>1303.348876383104</v>
      </c>
      <c r="X123" s="81">
        <v>2.0741143750000002</v>
      </c>
      <c r="Y123" s="81">
        <v>11.019549195145757</v>
      </c>
      <c r="Z123" s="71" t="s">
        <v>54</v>
      </c>
      <c r="AA123" s="75">
        <v>2.9111787500000004</v>
      </c>
      <c r="AB123" s="75">
        <v>7.1289713486518078</v>
      </c>
      <c r="AC123" s="75">
        <v>2.0592423593750002</v>
      </c>
      <c r="AD123" s="75">
        <v>-26.716135928040213</v>
      </c>
      <c r="AE123" s="75">
        <v>2.375375</v>
      </c>
      <c r="AF123" s="75">
        <v>2.375375</v>
      </c>
      <c r="AG123" s="32">
        <f t="shared" si="51"/>
        <v>2.3009777396870598E-2</v>
      </c>
      <c r="AH123" s="32">
        <f t="shared" si="52"/>
        <v>0.53073405008612418</v>
      </c>
      <c r="AI123" s="33">
        <f t="shared" si="53"/>
        <v>0.10727083440644533</v>
      </c>
      <c r="AJ123" s="34">
        <f t="shared" si="54"/>
        <v>1.1008031225856003</v>
      </c>
      <c r="AK123" s="16">
        <f t="shared" si="85"/>
        <v>9.7733413069022706E-3</v>
      </c>
      <c r="AL123" s="16">
        <f t="shared" si="83"/>
        <v>0.1002931009930359</v>
      </c>
      <c r="AM123" s="27">
        <f t="shared" si="55"/>
        <v>9.773341306902271</v>
      </c>
      <c r="AN123" s="27">
        <f t="shared" si="56"/>
        <v>100.29310099303589</v>
      </c>
      <c r="AO123" s="29" t="e">
        <f t="shared" si="57"/>
        <v>#VALUE!</v>
      </c>
      <c r="AP123" s="29" t="e">
        <f t="shared" si="58"/>
        <v>#VALUE!</v>
      </c>
      <c r="AQ123" s="27">
        <f t="shared" si="59"/>
        <v>10.261905099150221</v>
      </c>
      <c r="AR123" s="14">
        <f t="shared" si="60"/>
        <v>1298.1999050344521</v>
      </c>
      <c r="AS123" s="25">
        <v>0.3678691314984826</v>
      </c>
      <c r="AT123" s="22">
        <f t="shared" si="61"/>
        <v>0.83774089681270836</v>
      </c>
      <c r="AU123" s="22">
        <f t="shared" si="62"/>
        <v>0.46987176531422575</v>
      </c>
      <c r="AV123" s="64"/>
      <c r="AW123" s="64"/>
      <c r="AX123" s="116">
        <f t="shared" si="65"/>
        <v>4698.7176531422565</v>
      </c>
      <c r="AY123" s="64"/>
      <c r="AZ123" s="64"/>
      <c r="BA123" s="64"/>
      <c r="BB123" s="64"/>
      <c r="BC123" s="64"/>
      <c r="BD123" s="64"/>
      <c r="BE123" s="14">
        <f t="shared" si="72"/>
        <v>11.705685123185969</v>
      </c>
      <c r="BF123" s="25">
        <v>1.0824781751878776</v>
      </c>
      <c r="BG123" s="22">
        <f t="shared" si="84"/>
        <v>1.1240745949921012</v>
      </c>
      <c r="BH123" s="38">
        <f t="shared" si="74"/>
        <v>4.1596419804223572E-2</v>
      </c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</row>
    <row r="124" spans="1:74" ht="15.75">
      <c r="A124" s="138">
        <v>74</v>
      </c>
      <c r="B124" s="139">
        <v>4</v>
      </c>
      <c r="C124" s="140" t="s">
        <v>413</v>
      </c>
      <c r="D124" s="140" t="s">
        <v>409</v>
      </c>
      <c r="E124" s="140" t="s">
        <v>410</v>
      </c>
      <c r="F124" s="140" t="s">
        <v>480</v>
      </c>
      <c r="G124" s="140"/>
      <c r="H124" s="140" t="s">
        <v>484</v>
      </c>
      <c r="I124" s="140">
        <v>100</v>
      </c>
      <c r="J124" s="141">
        <v>5.08</v>
      </c>
      <c r="K124" s="140">
        <v>15</v>
      </c>
      <c r="L124" s="140" t="s">
        <v>87</v>
      </c>
      <c r="M124" s="140">
        <v>3</v>
      </c>
      <c r="N124"/>
      <c r="O124"/>
      <c r="P124"/>
      <c r="Q124" s="141">
        <v>5.08</v>
      </c>
      <c r="R124">
        <v>12.187188848323931</v>
      </c>
      <c r="S124" s="55">
        <v>7.8128111516760699</v>
      </c>
      <c r="T124" s="80">
        <v>51</v>
      </c>
      <c r="U124" s="80" t="s">
        <v>320</v>
      </c>
      <c r="V124" s="81">
        <v>13.071929000000001</v>
      </c>
      <c r="W124" s="81">
        <v>79.752210832282586</v>
      </c>
      <c r="X124" s="83">
        <v>7.9719800000000003</v>
      </c>
      <c r="Y124" s="83">
        <v>-27.168087400658305</v>
      </c>
      <c r="Z124" s="71" t="s">
        <v>54</v>
      </c>
      <c r="AA124" s="75">
        <v>2.9111787500000004</v>
      </c>
      <c r="AB124" s="75">
        <v>7.1289713486518078</v>
      </c>
      <c r="AC124" s="75">
        <v>2.0592423593750002</v>
      </c>
      <c r="AD124" s="75">
        <v>-26.716135928040213</v>
      </c>
      <c r="AE124" s="75">
        <v>2.375375</v>
      </c>
      <c r="AF124" s="75">
        <v>2.375375</v>
      </c>
      <c r="AG124" s="32">
        <f t="shared" si="51"/>
        <v>2.3009777396870598E-2</v>
      </c>
      <c r="AH124" s="32">
        <f t="shared" si="52"/>
        <v>0.53073405008612418</v>
      </c>
      <c r="AI124" s="33">
        <f t="shared" si="53"/>
        <v>0.30078217643769728</v>
      </c>
      <c r="AJ124" s="34">
        <f t="shared" si="54"/>
        <v>4.2310012326055801</v>
      </c>
      <c r="AK124" s="16">
        <f t="shared" si="85"/>
        <v>2.1213138084941619E-2</v>
      </c>
      <c r="AL124" s="16">
        <f t="shared" si="83"/>
        <v>0.29839804488352517</v>
      </c>
      <c r="AM124" s="27">
        <f t="shared" si="55"/>
        <v>21.213138084941619</v>
      </c>
      <c r="AN124" s="27">
        <f t="shared" si="56"/>
        <v>298.39804488352519</v>
      </c>
      <c r="AO124" s="29" t="e">
        <f t="shared" si="57"/>
        <v>#VALUE!</v>
      </c>
      <c r="AP124" s="29" t="e">
        <f t="shared" si="58"/>
        <v>#VALUE!</v>
      </c>
      <c r="AQ124" s="27">
        <f t="shared" si="59"/>
        <v>14.066662069924783</v>
      </c>
      <c r="AR124" s="14">
        <f t="shared" si="60"/>
        <v>74.603239483630773</v>
      </c>
      <c r="AS124" s="25">
        <v>0.3678691314984826</v>
      </c>
      <c r="AT124" s="22">
        <f t="shared" si="61"/>
        <v>0.39346984990082334</v>
      </c>
      <c r="AU124" s="22">
        <f t="shared" si="62"/>
        <v>2.5600718402340739E-2</v>
      </c>
      <c r="AV124" s="64"/>
      <c r="AW124" s="64"/>
      <c r="AX124" s="116">
        <f t="shared" si="65"/>
        <v>256.00718402340738</v>
      </c>
      <c r="AY124" s="64"/>
      <c r="AZ124" s="64"/>
      <c r="BA124" s="64"/>
      <c r="BB124" s="64"/>
      <c r="BC124" s="64"/>
      <c r="BD124" s="64"/>
      <c r="BE124" s="14">
        <f t="shared" si="72"/>
        <v>-26.481951472618093</v>
      </c>
      <c r="BF124" s="25">
        <v>1.0824781751878776</v>
      </c>
      <c r="BG124" s="22">
        <f t="shared" si="84"/>
        <v>1.0821046315803458</v>
      </c>
      <c r="BH124" s="38">
        <f t="shared" si="74"/>
        <v>-3.7354360753183435E-4</v>
      </c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</row>
    <row r="125" spans="1:74" ht="15.75">
      <c r="A125" s="138">
        <v>75</v>
      </c>
      <c r="B125" s="139">
        <v>4</v>
      </c>
      <c r="C125" s="140" t="s">
        <v>415</v>
      </c>
      <c r="D125" s="140" t="s">
        <v>418</v>
      </c>
      <c r="E125" s="140" t="s">
        <v>410</v>
      </c>
      <c r="F125" s="140" t="s">
        <v>480</v>
      </c>
      <c r="G125" s="140"/>
      <c r="H125" s="140" t="s">
        <v>484</v>
      </c>
      <c r="I125" s="140">
        <v>100</v>
      </c>
      <c r="J125" s="141">
        <v>8.86</v>
      </c>
      <c r="K125" s="140">
        <v>15</v>
      </c>
      <c r="L125" s="140" t="s">
        <v>88</v>
      </c>
      <c r="M125" s="140">
        <v>3</v>
      </c>
      <c r="N125"/>
      <c r="O125"/>
      <c r="P125"/>
      <c r="Q125" s="141">
        <v>8.86</v>
      </c>
      <c r="R125">
        <v>12.277425808602869</v>
      </c>
      <c r="S125" s="55">
        <v>7.7225741913971326</v>
      </c>
      <c r="T125" s="82">
        <v>52</v>
      </c>
      <c r="U125" s="82" t="s">
        <v>321</v>
      </c>
      <c r="V125" s="83">
        <v>2.2052965000000002</v>
      </c>
      <c r="W125" s="83">
        <v>3103.1346660269296</v>
      </c>
      <c r="X125" s="81">
        <v>1.0712729999999999</v>
      </c>
      <c r="Y125" s="81">
        <v>53.75442485990542</v>
      </c>
      <c r="Z125" s="71" t="s">
        <v>54</v>
      </c>
      <c r="AA125" s="75">
        <v>2.9111787500000004</v>
      </c>
      <c r="AB125" s="75">
        <v>7.1289713486518078</v>
      </c>
      <c r="AC125" s="75">
        <v>2.0592423593750002</v>
      </c>
      <c r="AD125" s="75">
        <v>-26.716135928040213</v>
      </c>
      <c r="AE125" s="75">
        <v>2.375375</v>
      </c>
      <c r="AF125" s="75">
        <v>2.375375</v>
      </c>
      <c r="AG125" s="32">
        <f t="shared" si="51"/>
        <v>2.3009777396870598E-2</v>
      </c>
      <c r="AH125" s="32">
        <f t="shared" si="52"/>
        <v>0.53073405008612418</v>
      </c>
      <c r="AI125" s="33">
        <f t="shared" si="53"/>
        <v>5.0743381559097842E-2</v>
      </c>
      <c r="AJ125" s="34">
        <f t="shared" si="54"/>
        <v>0.56856105803791246</v>
      </c>
      <c r="AK125" s="16">
        <f t="shared" si="85"/>
        <v>4.5691222386183457E-3</v>
      </c>
      <c r="AL125" s="16">
        <f t="shared" si="83"/>
        <v>5.119534596384491E-2</v>
      </c>
      <c r="AM125" s="27">
        <f t="shared" si="55"/>
        <v>4.5691222386183457</v>
      </c>
      <c r="AN125" s="27">
        <f t="shared" si="56"/>
        <v>51.195345963844908</v>
      </c>
      <c r="AO125" s="29" t="e">
        <f t="shared" si="57"/>
        <v>#VALUE!</v>
      </c>
      <c r="AP125" s="29" t="e">
        <f t="shared" si="58"/>
        <v>#VALUE!</v>
      </c>
      <c r="AQ125" s="27">
        <f t="shared" si="59"/>
        <v>11.204634783272036</v>
      </c>
      <c r="AR125" s="14">
        <f t="shared" si="60"/>
        <v>3097.9856946782779</v>
      </c>
      <c r="AS125" s="25">
        <v>0.3678691314984826</v>
      </c>
      <c r="AT125" s="22">
        <f t="shared" si="61"/>
        <v>1.4840633214827075</v>
      </c>
      <c r="AU125" s="22">
        <f t="shared" si="62"/>
        <v>1.1161941899842249</v>
      </c>
      <c r="AV125" s="64"/>
      <c r="AW125" s="64"/>
      <c r="AX125" s="116">
        <f t="shared" si="65"/>
        <v>11161.94189984225</v>
      </c>
      <c r="AY125" s="64"/>
      <c r="AZ125" s="64"/>
      <c r="BA125" s="64"/>
      <c r="BB125" s="64"/>
      <c r="BC125" s="64"/>
      <c r="BD125" s="64"/>
      <c r="BE125" s="14">
        <f t="shared" si="72"/>
        <v>54.440560787945628</v>
      </c>
      <c r="BF125" s="25">
        <v>1.0824781751878776</v>
      </c>
      <c r="BG125" s="22">
        <f t="shared" si="84"/>
        <v>1.1709999738779056</v>
      </c>
      <c r="BH125" s="38">
        <f t="shared" si="74"/>
        <v>8.8521798690027964E-2</v>
      </c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</row>
    <row r="126" spans="1:74" ht="15.75">
      <c r="A126" s="138">
        <v>76</v>
      </c>
      <c r="B126" s="139">
        <v>4</v>
      </c>
      <c r="C126" s="140" t="s">
        <v>417</v>
      </c>
      <c r="D126" s="140" t="s">
        <v>424</v>
      </c>
      <c r="E126" s="140" t="s">
        <v>410</v>
      </c>
      <c r="F126" s="140" t="s">
        <v>480</v>
      </c>
      <c r="G126" s="140"/>
      <c r="H126" s="140" t="s">
        <v>484</v>
      </c>
      <c r="I126" s="140">
        <v>100</v>
      </c>
      <c r="J126" s="141">
        <v>4.2300000000000004</v>
      </c>
      <c r="K126" s="140">
        <v>15</v>
      </c>
      <c r="L126" s="140" t="s">
        <v>89</v>
      </c>
      <c r="M126" s="140">
        <v>3</v>
      </c>
      <c r="N126"/>
      <c r="O126"/>
      <c r="P126"/>
      <c r="Q126" s="141">
        <v>4.2300000000000004</v>
      </c>
      <c r="R126">
        <v>13.793793793793796</v>
      </c>
      <c r="S126" s="55">
        <v>6.206206206206204</v>
      </c>
      <c r="T126" s="80">
        <v>53</v>
      </c>
      <c r="U126" s="80" t="s">
        <v>322</v>
      </c>
      <c r="V126" s="81">
        <v>12.106196000000001</v>
      </c>
      <c r="W126" s="81">
        <v>1782.8365857901185</v>
      </c>
      <c r="X126" s="83">
        <v>5.2109505</v>
      </c>
      <c r="Y126" s="83">
        <v>4.6004039776149277</v>
      </c>
      <c r="Z126" s="71" t="s">
        <v>54</v>
      </c>
      <c r="AA126" s="75">
        <v>2.9111787500000004</v>
      </c>
      <c r="AB126" s="75">
        <v>7.1289713486518078</v>
      </c>
      <c r="AC126" s="75">
        <v>2.0592423593750002</v>
      </c>
      <c r="AD126" s="75">
        <v>-26.716135928040213</v>
      </c>
      <c r="AE126" s="75">
        <v>2.375375</v>
      </c>
      <c r="AF126" s="75">
        <v>2.375375</v>
      </c>
      <c r="AG126" s="32">
        <f t="shared" si="51"/>
        <v>2.3009777396870598E-2</v>
      </c>
      <c r="AH126" s="32">
        <f t="shared" si="52"/>
        <v>0.53073405008612418</v>
      </c>
      <c r="AI126" s="33">
        <f t="shared" si="53"/>
        <v>0.27856087508288524</v>
      </c>
      <c r="AJ126" s="34">
        <f t="shared" si="54"/>
        <v>2.7656288636633137</v>
      </c>
      <c r="AK126" s="16">
        <f t="shared" si="85"/>
        <v>1.405037065608559E-2</v>
      </c>
      <c r="AL126" s="16">
        <f t="shared" si="83"/>
        <v>0.13949593825793447</v>
      </c>
      <c r="AM126" s="27">
        <f t="shared" si="55"/>
        <v>14.05037065608559</v>
      </c>
      <c r="AN126" s="27">
        <f t="shared" si="56"/>
        <v>139.49593825793445</v>
      </c>
      <c r="AO126" s="29" t="e">
        <f t="shared" si="57"/>
        <v>#VALUE!</v>
      </c>
      <c r="AP126" s="29" t="e">
        <f t="shared" si="58"/>
        <v>#VALUE!</v>
      </c>
      <c r="AQ126" s="27">
        <f t="shared" si="59"/>
        <v>9.9282746108562669</v>
      </c>
      <c r="AR126" s="14">
        <f t="shared" si="60"/>
        <v>1777.6876144414666</v>
      </c>
      <c r="AS126" s="25">
        <v>0.3678691314984826</v>
      </c>
      <c r="AT126" s="22">
        <f t="shared" si="61"/>
        <v>1.0107573465030129</v>
      </c>
      <c r="AU126" s="22">
        <f t="shared" si="62"/>
        <v>0.64288821500453031</v>
      </c>
      <c r="AV126" s="64"/>
      <c r="AW126" s="64"/>
      <c r="AX126" s="116">
        <f t="shared" si="65"/>
        <v>6428.8821500453032</v>
      </c>
      <c r="AY126" s="64"/>
      <c r="AZ126" s="64"/>
      <c r="BA126" s="64"/>
      <c r="BB126" s="64"/>
      <c r="BC126" s="64"/>
      <c r="BD126" s="64"/>
      <c r="BE126" s="14">
        <f t="shared" si="72"/>
        <v>5.2865399056551396</v>
      </c>
      <c r="BF126" s="25">
        <v>1.0824781751878776</v>
      </c>
      <c r="BG126" s="22">
        <f t="shared" si="84"/>
        <v>1.1170221504552316</v>
      </c>
      <c r="BH126" s="38">
        <f t="shared" si="74"/>
        <v>3.4543975267353977E-2</v>
      </c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</row>
    <row r="127" spans="1:74" ht="15.75">
      <c r="A127" s="138">
        <v>77</v>
      </c>
      <c r="B127" s="139">
        <v>4</v>
      </c>
      <c r="C127" s="140" t="s">
        <v>419</v>
      </c>
      <c r="D127" s="140" t="s">
        <v>414</v>
      </c>
      <c r="E127" s="140" t="s">
        <v>410</v>
      </c>
      <c r="F127" s="140" t="s">
        <v>480</v>
      </c>
      <c r="G127" s="140"/>
      <c r="H127" s="140" t="s">
        <v>484</v>
      </c>
      <c r="I127" s="140">
        <v>100</v>
      </c>
      <c r="J127" s="141">
        <v>14.36</v>
      </c>
      <c r="K127" s="140">
        <v>15</v>
      </c>
      <c r="L127" s="140" t="s">
        <v>90</v>
      </c>
      <c r="M127" s="140">
        <v>3</v>
      </c>
      <c r="N127"/>
      <c r="O127"/>
      <c r="P127"/>
      <c r="Q127" s="141">
        <v>14.36</v>
      </c>
      <c r="R127">
        <v>12.06793206793207</v>
      </c>
      <c r="S127" s="55">
        <v>7.9320679320679304</v>
      </c>
      <c r="T127" s="82">
        <v>54</v>
      </c>
      <c r="U127" s="82" t="s">
        <v>323</v>
      </c>
      <c r="V127" s="83">
        <v>5.792948</v>
      </c>
      <c r="W127" s="83">
        <v>1528.1381544399071</v>
      </c>
      <c r="X127" s="81">
        <v>2.7313260000000001</v>
      </c>
      <c r="Y127" s="81">
        <v>6.0788092011114871</v>
      </c>
      <c r="Z127" s="71" t="s">
        <v>54</v>
      </c>
      <c r="AA127" s="75">
        <v>2.9111787500000004</v>
      </c>
      <c r="AB127" s="75">
        <v>7.1289713486518078</v>
      </c>
      <c r="AC127" s="75">
        <v>2.0592423593750002</v>
      </c>
      <c r="AD127" s="75">
        <v>-26.716135928040213</v>
      </c>
      <c r="AE127" s="75">
        <v>2.375375</v>
      </c>
      <c r="AF127" s="75">
        <v>2.375375</v>
      </c>
      <c r="AG127" s="32">
        <f t="shared" si="51"/>
        <v>2.3009777396870598E-2</v>
      </c>
      <c r="AH127" s="32">
        <f t="shared" si="52"/>
        <v>0.53073405008612418</v>
      </c>
      <c r="AI127" s="33">
        <f t="shared" si="53"/>
        <v>0.13329444395164675</v>
      </c>
      <c r="AJ127" s="34">
        <f t="shared" si="54"/>
        <v>1.4496077100855334</v>
      </c>
      <c r="AK127" s="16">
        <f t="shared" si="85"/>
        <v>1.6414901812013619E-2</v>
      </c>
      <c r="AL127" s="16">
        <f t="shared" si="83"/>
        <v>0.17851582947916234</v>
      </c>
      <c r="AM127" s="27">
        <f t="shared" si="55"/>
        <v>16.414901812013618</v>
      </c>
      <c r="AN127" s="27">
        <f t="shared" si="56"/>
        <v>178.51582947916233</v>
      </c>
      <c r="AO127" s="29" t="e">
        <f t="shared" si="57"/>
        <v>#VALUE!</v>
      </c>
      <c r="AP127" s="29" t="e">
        <f t="shared" si="58"/>
        <v>#VALUE!</v>
      </c>
      <c r="AQ127" s="27">
        <f t="shared" si="59"/>
        <v>10.875229807863455</v>
      </c>
      <c r="AR127" s="14">
        <f t="shared" si="60"/>
        <v>1522.9891830912552</v>
      </c>
      <c r="AS127" s="25">
        <v>0.3678691314984826</v>
      </c>
      <c r="AT127" s="22">
        <f t="shared" si="61"/>
        <v>0.9189282163921646</v>
      </c>
      <c r="AU127" s="22">
        <f t="shared" si="62"/>
        <v>0.55105908489368205</v>
      </c>
      <c r="AV127" s="64"/>
      <c r="AW127" s="64"/>
      <c r="AX127" s="116">
        <f t="shared" si="65"/>
        <v>5510.5908489368203</v>
      </c>
      <c r="AY127" s="64"/>
      <c r="AZ127" s="64"/>
      <c r="BA127" s="64"/>
      <c r="BB127" s="64"/>
      <c r="BC127" s="64"/>
      <c r="BD127" s="64"/>
      <c r="BE127" s="14">
        <f t="shared" si="72"/>
        <v>6.7649451291516991</v>
      </c>
      <c r="BF127" s="25">
        <v>1.0824781751878776</v>
      </c>
      <c r="BG127" s="22">
        <f t="shared" si="84"/>
        <v>1.1186465011866187</v>
      </c>
      <c r="BH127" s="38">
        <f t="shared" si="74"/>
        <v>3.6168325998741091E-2</v>
      </c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</row>
    <row r="128" spans="1:74" ht="15.75">
      <c r="A128" s="138">
        <v>78</v>
      </c>
      <c r="B128" s="139">
        <v>4</v>
      </c>
      <c r="C128" s="140" t="s">
        <v>421</v>
      </c>
      <c r="D128" s="140" t="s">
        <v>420</v>
      </c>
      <c r="E128" s="140" t="s">
        <v>410</v>
      </c>
      <c r="F128" s="140" t="s">
        <v>480</v>
      </c>
      <c r="G128" s="140"/>
      <c r="H128" s="140" t="s">
        <v>484</v>
      </c>
      <c r="I128" s="140">
        <v>100</v>
      </c>
      <c r="J128" s="141">
        <v>10.6</v>
      </c>
      <c r="K128" s="140">
        <v>15</v>
      </c>
      <c r="L128" s="140" t="s">
        <v>91</v>
      </c>
      <c r="M128" s="140">
        <v>3</v>
      </c>
      <c r="N128"/>
      <c r="O128"/>
      <c r="P128"/>
      <c r="Q128" s="141">
        <v>10.6</v>
      </c>
      <c r="R128">
        <v>13.395410708347191</v>
      </c>
      <c r="S128" s="55">
        <v>6.6045892916528102</v>
      </c>
      <c r="T128" s="80">
        <v>55</v>
      </c>
      <c r="U128" s="80" t="s">
        <v>324</v>
      </c>
      <c r="V128" s="81">
        <v>11.561659000000001</v>
      </c>
      <c r="W128" s="81">
        <v>1851.4776306749529</v>
      </c>
      <c r="X128" s="83">
        <v>4.8508089999999999</v>
      </c>
      <c r="Y128" s="83">
        <v>5.0006863357257565</v>
      </c>
      <c r="Z128" s="71" t="s">
        <v>54</v>
      </c>
      <c r="AA128" s="75">
        <v>2.9111787500000004</v>
      </c>
      <c r="AB128" s="75">
        <v>7.1289713486518078</v>
      </c>
      <c r="AC128" s="75">
        <v>2.0592423593750002</v>
      </c>
      <c r="AD128" s="75">
        <v>-26.716135928040213</v>
      </c>
      <c r="AE128" s="75">
        <v>2.375375</v>
      </c>
      <c r="AF128" s="75">
        <v>2.375375</v>
      </c>
      <c r="AG128" s="32">
        <f t="shared" si="51"/>
        <v>2.3009777396870598E-2</v>
      </c>
      <c r="AH128" s="32">
        <f t="shared" si="52"/>
        <v>0.53073405008612418</v>
      </c>
      <c r="AI128" s="33">
        <f t="shared" si="53"/>
        <v>0.26603119992852553</v>
      </c>
      <c r="AJ128" s="34">
        <f t="shared" si="54"/>
        <v>2.5744895067642219</v>
      </c>
      <c r="AK128" s="16">
        <f t="shared" si="85"/>
        <v>2.2778734365015433E-2</v>
      </c>
      <c r="AL128" s="16">
        <f t="shared" si="83"/>
        <v>0.22043885309639455</v>
      </c>
      <c r="AM128" s="27">
        <f t="shared" si="55"/>
        <v>22.778734365015431</v>
      </c>
      <c r="AN128" s="27">
        <f t="shared" si="56"/>
        <v>220.43885309639455</v>
      </c>
      <c r="AO128" s="29" t="e">
        <f t="shared" si="57"/>
        <v>#VALUE!</v>
      </c>
      <c r="AP128" s="29" t="e">
        <f t="shared" si="58"/>
        <v>#VALUE!</v>
      </c>
      <c r="AQ128" s="27">
        <f t="shared" si="59"/>
        <v>9.6773968897479268</v>
      </c>
      <c r="AR128" s="14">
        <f t="shared" si="60"/>
        <v>1846.328659326301</v>
      </c>
      <c r="AS128" s="25">
        <v>0.3678691314984826</v>
      </c>
      <c r="AT128" s="22">
        <f t="shared" si="61"/>
        <v>1.0354761206711844</v>
      </c>
      <c r="AU128" s="22">
        <f t="shared" si="62"/>
        <v>0.66760698917270189</v>
      </c>
      <c r="AV128" s="64"/>
      <c r="AW128" s="64"/>
      <c r="AX128" s="116">
        <f t="shared" si="65"/>
        <v>6676.0698917270192</v>
      </c>
      <c r="AY128" s="64"/>
      <c r="AZ128" s="64"/>
      <c r="BA128" s="64"/>
      <c r="BB128" s="64"/>
      <c r="BC128" s="64"/>
      <c r="BD128" s="64"/>
      <c r="BE128" s="14">
        <f t="shared" si="72"/>
        <v>5.6868222637659684</v>
      </c>
      <c r="BF128" s="25">
        <v>1.0824781751878776</v>
      </c>
      <c r="BG128" s="22">
        <f t="shared" si="84"/>
        <v>1.1174619532372261</v>
      </c>
      <c r="BH128" s="38">
        <f t="shared" si="74"/>
        <v>3.4983778049348491E-2</v>
      </c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</row>
    <row r="129" spans="1:74" ht="15.75">
      <c r="A129" s="138">
        <v>79</v>
      </c>
      <c r="B129" s="139">
        <v>4</v>
      </c>
      <c r="C129" s="140" t="s">
        <v>423</v>
      </c>
      <c r="D129" s="140" t="s">
        <v>426</v>
      </c>
      <c r="E129" s="140" t="s">
        <v>410</v>
      </c>
      <c r="F129" s="140" t="s">
        <v>480</v>
      </c>
      <c r="G129" s="140"/>
      <c r="H129" s="140" t="s">
        <v>484</v>
      </c>
      <c r="I129" s="140">
        <v>100</v>
      </c>
      <c r="J129" s="141">
        <v>15.11</v>
      </c>
      <c r="K129" s="140">
        <v>15</v>
      </c>
      <c r="L129" s="140" t="s">
        <v>92</v>
      </c>
      <c r="M129" s="140">
        <v>3</v>
      </c>
      <c r="N129"/>
      <c r="O129"/>
      <c r="P129"/>
      <c r="Q129" s="141">
        <v>15.11</v>
      </c>
      <c r="R129">
        <v>13.116926134481616</v>
      </c>
      <c r="S129" s="55">
        <v>6.8830738655183836</v>
      </c>
      <c r="T129" s="82">
        <v>56</v>
      </c>
      <c r="U129" s="82" t="s">
        <v>325</v>
      </c>
      <c r="V129" s="83">
        <v>4.60867</v>
      </c>
      <c r="W129" s="83">
        <v>2410.233307855126</v>
      </c>
      <c r="X129" s="81">
        <v>2.076656625</v>
      </c>
      <c r="Y129" s="81">
        <v>31.747744321602486</v>
      </c>
      <c r="Z129" s="71" t="s">
        <v>54</v>
      </c>
      <c r="AA129" s="75">
        <v>2.9111787500000004</v>
      </c>
      <c r="AB129" s="75">
        <v>7.1289713486518078</v>
      </c>
      <c r="AC129" s="75">
        <v>2.0592423593750002</v>
      </c>
      <c r="AD129" s="75">
        <v>-26.716135928040213</v>
      </c>
      <c r="AE129" s="75">
        <v>2.375375</v>
      </c>
      <c r="AF129" s="75">
        <v>2.375375</v>
      </c>
      <c r="AG129" s="32">
        <f t="shared" si="51"/>
        <v>2.3009777396870598E-2</v>
      </c>
      <c r="AH129" s="32">
        <f t="shared" si="52"/>
        <v>0.53073405008612418</v>
      </c>
      <c r="AI129" s="33">
        <f t="shared" si="53"/>
        <v>0.10604447079563561</v>
      </c>
      <c r="AJ129" s="34">
        <f t="shared" si="54"/>
        <v>1.1021523812244316</v>
      </c>
      <c r="AK129" s="16">
        <f t="shared" si="85"/>
        <v>1.1853609884545773E-2</v>
      </c>
      <c r="AL129" s="16">
        <f t="shared" si="83"/>
        <v>0.12319816641392743</v>
      </c>
      <c r="AM129" s="27">
        <f t="shared" si="55"/>
        <v>11.853609884545772</v>
      </c>
      <c r="AN129" s="27">
        <f t="shared" si="56"/>
        <v>123.19816641392744</v>
      </c>
      <c r="AO129" s="29" t="e">
        <f t="shared" si="57"/>
        <v>#VALUE!</v>
      </c>
      <c r="AP129" s="29" t="e">
        <f t="shared" si="58"/>
        <v>#VALUE!</v>
      </c>
      <c r="AQ129" s="27">
        <f t="shared" si="59"/>
        <v>10.393303610788465</v>
      </c>
      <c r="AR129" s="14">
        <f t="shared" si="60"/>
        <v>2405.0843365064743</v>
      </c>
      <c r="AS129" s="25">
        <v>0.3678691314984826</v>
      </c>
      <c r="AT129" s="22">
        <f t="shared" si="61"/>
        <v>1.2362349380925723</v>
      </c>
      <c r="AU129" s="22">
        <f t="shared" si="62"/>
        <v>0.8683658065940898</v>
      </c>
      <c r="AV129" s="64"/>
      <c r="AW129" s="64"/>
      <c r="AX129" s="116">
        <f t="shared" si="65"/>
        <v>8683.6580659408974</v>
      </c>
      <c r="AY129" s="64"/>
      <c r="AZ129" s="64"/>
      <c r="BA129" s="64"/>
      <c r="BB129" s="64"/>
      <c r="BC129" s="64"/>
      <c r="BD129" s="64"/>
      <c r="BE129" s="14">
        <f t="shared" si="72"/>
        <v>32.433880249642698</v>
      </c>
      <c r="BF129" s="25">
        <v>1.0824781751878776</v>
      </c>
      <c r="BG129" s="22">
        <f t="shared" si="84"/>
        <v>1.1468409227046421</v>
      </c>
      <c r="BH129" s="38">
        <f t="shared" si="74"/>
        <v>6.4362747516764518E-2</v>
      </c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</row>
    <row r="130" spans="1:74" ht="15.75">
      <c r="A130" s="138">
        <v>80</v>
      </c>
      <c r="B130" s="139">
        <v>4</v>
      </c>
      <c r="C130" s="140" t="s">
        <v>425</v>
      </c>
      <c r="D130" s="140" t="s">
        <v>422</v>
      </c>
      <c r="E130" s="140" t="s">
        <v>410</v>
      </c>
      <c r="F130" s="140" t="s">
        <v>480</v>
      </c>
      <c r="G130" s="140"/>
      <c r="H130" s="140" t="s">
        <v>484</v>
      </c>
      <c r="I130" s="140">
        <v>100</v>
      </c>
      <c r="J130" s="141">
        <v>6.53</v>
      </c>
      <c r="K130" s="140">
        <v>15</v>
      </c>
      <c r="L130" s="140" t="s">
        <v>93</v>
      </c>
      <c r="M130" s="140">
        <v>3</v>
      </c>
      <c r="N130"/>
      <c r="O130"/>
      <c r="P130"/>
      <c r="Q130" s="141">
        <v>6.53</v>
      </c>
      <c r="R130">
        <v>11.93623380936566</v>
      </c>
      <c r="S130" s="55">
        <v>8.0637661906343396</v>
      </c>
      <c r="T130" s="80">
        <v>57</v>
      </c>
      <c r="U130" s="80" t="s">
        <v>326</v>
      </c>
      <c r="V130" s="81">
        <v>5.7471335000000003</v>
      </c>
      <c r="W130" s="81">
        <v>836.58949390147041</v>
      </c>
      <c r="X130" s="83">
        <v>3.7452934999999998</v>
      </c>
      <c r="Y130" s="83">
        <v>-16.070177924553303</v>
      </c>
      <c r="Z130" s="71" t="s">
        <v>54</v>
      </c>
      <c r="AA130" s="75">
        <v>2.9111787500000004</v>
      </c>
      <c r="AB130" s="75">
        <v>7.1289713486518078</v>
      </c>
      <c r="AC130" s="75">
        <v>2.0592423593750002</v>
      </c>
      <c r="AD130" s="75">
        <v>-26.716135928040213</v>
      </c>
      <c r="AE130" s="75">
        <v>2.375375</v>
      </c>
      <c r="AF130" s="75">
        <v>2.375375</v>
      </c>
      <c r="AG130" s="32">
        <f t="shared" si="51"/>
        <v>2.3009777396870598E-2</v>
      </c>
      <c r="AH130" s="32">
        <f t="shared" si="52"/>
        <v>0.53073405008612418</v>
      </c>
      <c r="AI130" s="33">
        <f t="shared" si="53"/>
        <v>0.13224026250509782</v>
      </c>
      <c r="AJ130" s="34">
        <f t="shared" si="54"/>
        <v>1.9877547880162352</v>
      </c>
      <c r="AK130" s="16">
        <f t="shared" si="85"/>
        <v>1.0778852038869193E-2</v>
      </c>
      <c r="AL130" s="16">
        <f t="shared" si="83"/>
        <v>0.16202111477776932</v>
      </c>
      <c r="AM130" s="27">
        <f t="shared" si="55"/>
        <v>10.778852038869193</v>
      </c>
      <c r="AN130" s="27">
        <f t="shared" si="56"/>
        <v>162.02111477776933</v>
      </c>
      <c r="AO130" s="29" t="e">
        <f t="shared" si="57"/>
        <v>#VALUE!</v>
      </c>
      <c r="AP130" s="29" t="e">
        <f t="shared" si="58"/>
        <v>#VALUE!</v>
      </c>
      <c r="AQ130" s="27">
        <f t="shared" si="59"/>
        <v>15.031388703872301</v>
      </c>
      <c r="AR130" s="14">
        <f t="shared" si="60"/>
        <v>831.44052255281861</v>
      </c>
      <c r="AS130" s="25">
        <v>0.3678691314984826</v>
      </c>
      <c r="AT130" s="22">
        <f t="shared" si="61"/>
        <v>0.66873535863894984</v>
      </c>
      <c r="AU130" s="22">
        <f t="shared" si="62"/>
        <v>0.30086622714046724</v>
      </c>
      <c r="AV130" s="64"/>
      <c r="AW130" s="64"/>
      <c r="AX130" s="116">
        <f t="shared" si="65"/>
        <v>3008.6622714046721</v>
      </c>
      <c r="AY130" s="64"/>
      <c r="AZ130" s="64"/>
      <c r="BA130" s="64"/>
      <c r="BB130" s="64"/>
      <c r="BC130" s="64"/>
      <c r="BD130" s="64"/>
      <c r="BE130" s="14">
        <f t="shared" si="72"/>
        <v>-15.384041996513091</v>
      </c>
      <c r="BF130" s="25">
        <v>1.0824781751878776</v>
      </c>
      <c r="BG130" s="22">
        <f t="shared" si="84"/>
        <v>1.0943054151606504</v>
      </c>
      <c r="BH130" s="38">
        <f t="shared" si="74"/>
        <v>1.1827239972772796E-2</v>
      </c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</row>
    <row r="131" spans="1:74" ht="15.75">
      <c r="A131" s="138">
        <v>81</v>
      </c>
      <c r="B131" s="140">
        <v>5</v>
      </c>
      <c r="C131" s="140" t="s">
        <v>408</v>
      </c>
      <c r="D131" s="140" t="s">
        <v>420</v>
      </c>
      <c r="E131" s="140" t="s">
        <v>410</v>
      </c>
      <c r="F131" s="140" t="s">
        <v>480</v>
      </c>
      <c r="G131" s="140"/>
      <c r="H131" s="140" t="s">
        <v>485</v>
      </c>
      <c r="I131" s="140">
        <v>100</v>
      </c>
      <c r="J131" s="141">
        <v>10.36</v>
      </c>
      <c r="K131" s="140">
        <v>15</v>
      </c>
      <c r="L131" s="140" t="s">
        <v>94</v>
      </c>
      <c r="M131" s="140">
        <v>3</v>
      </c>
      <c r="N131"/>
      <c r="O131"/>
      <c r="P131"/>
      <c r="Q131" s="141">
        <v>10.36</v>
      </c>
      <c r="R131">
        <v>11.595071595071595</v>
      </c>
      <c r="S131" s="55">
        <v>8.4049284049284054</v>
      </c>
      <c r="T131" s="80"/>
      <c r="U131" s="146" t="s">
        <v>487</v>
      </c>
      <c r="V131" s="147"/>
      <c r="W131" s="147"/>
      <c r="X131" s="147"/>
      <c r="Y131" s="147"/>
      <c r="Z131" s="148"/>
      <c r="AA131" s="75"/>
      <c r="AB131" s="75"/>
      <c r="AC131" s="75"/>
      <c r="AD131" s="75"/>
      <c r="AE131" s="75"/>
      <c r="AF131" s="75"/>
      <c r="AG131" s="32"/>
      <c r="AH131" s="32"/>
      <c r="AI131" s="33"/>
      <c r="AJ131" s="34"/>
      <c r="AK131" s="16"/>
      <c r="AL131" s="16"/>
      <c r="AM131" s="27"/>
      <c r="AN131" s="27"/>
      <c r="AO131" s="29"/>
      <c r="AP131" s="29"/>
      <c r="AQ131" s="27"/>
      <c r="AR131" s="14"/>
      <c r="AS131" s="25">
        <v>0.3678691314984826</v>
      </c>
      <c r="AT131" s="22"/>
      <c r="AU131" s="22"/>
      <c r="AV131" s="64"/>
      <c r="AW131" s="64"/>
      <c r="AX131" s="116"/>
      <c r="AY131" s="64"/>
      <c r="AZ131" s="64"/>
      <c r="BA131" s="64"/>
      <c r="BB131" s="64"/>
      <c r="BC131" s="64"/>
      <c r="BD131" s="64"/>
      <c r="BE131" s="14"/>
      <c r="BF131" s="25">
        <v>1.0824781751878776</v>
      </c>
      <c r="BG131" s="22"/>
      <c r="BH131" s="38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</row>
    <row r="132" spans="1:74" ht="15.75">
      <c r="A132" s="138">
        <v>82</v>
      </c>
      <c r="B132" s="140">
        <v>5</v>
      </c>
      <c r="C132" s="140" t="s">
        <v>413</v>
      </c>
      <c r="D132" s="140" t="s">
        <v>424</v>
      </c>
      <c r="E132" s="140" t="s">
        <v>410</v>
      </c>
      <c r="F132" s="140" t="s">
        <v>480</v>
      </c>
      <c r="G132" s="140"/>
      <c r="H132" s="140" t="s">
        <v>485</v>
      </c>
      <c r="I132" s="140">
        <v>100</v>
      </c>
      <c r="J132" s="141">
        <v>5.86</v>
      </c>
      <c r="K132" s="140">
        <v>15</v>
      </c>
      <c r="L132" s="140" t="s">
        <v>95</v>
      </c>
      <c r="M132" s="140">
        <v>3</v>
      </c>
      <c r="N132"/>
      <c r="O132"/>
      <c r="P132"/>
      <c r="Q132" s="141">
        <v>5.86</v>
      </c>
      <c r="R132">
        <v>12.609853528628497</v>
      </c>
      <c r="S132" s="55">
        <v>7.390146471371505</v>
      </c>
      <c r="T132" s="80">
        <v>59</v>
      </c>
      <c r="U132" s="80" t="s">
        <v>328</v>
      </c>
      <c r="V132" s="81">
        <v>4.4277484999999999</v>
      </c>
      <c r="W132" s="81">
        <v>2110.9919269281868</v>
      </c>
      <c r="X132" s="83">
        <v>4.1026497500000003</v>
      </c>
      <c r="Y132" s="83">
        <v>-4.6755631982385442</v>
      </c>
      <c r="Z132" s="71" t="s">
        <v>54</v>
      </c>
      <c r="AA132" s="75">
        <v>2.9111787500000004</v>
      </c>
      <c r="AB132" s="75">
        <v>7.1289713486518078</v>
      </c>
      <c r="AC132" s="75">
        <v>2.0592423593750002</v>
      </c>
      <c r="AD132" s="75">
        <v>-26.716135928040213</v>
      </c>
      <c r="AE132" s="75">
        <v>2.375375</v>
      </c>
      <c r="AF132" s="75">
        <v>2.375375</v>
      </c>
      <c r="AG132" s="32">
        <f t="shared" ref="AG132:AG194" si="86">((2.82/100)*AE132)/AA132</f>
        <v>2.3009777396870598E-2</v>
      </c>
      <c r="AH132" s="32">
        <f t="shared" ref="AH132:AH194" si="87">((46.01/100)*AF132)/AC132</f>
        <v>0.53073405008612418</v>
      </c>
      <c r="AI132" s="33">
        <f t="shared" ref="AI132:AI194" si="88">V132*AG132</f>
        <v>0.10188150735432769</v>
      </c>
      <c r="AJ132" s="34">
        <f t="shared" ref="AJ132:AJ194" si="89">X132*AH132</f>
        <v>2.1774159179023251</v>
      </c>
      <c r="AK132" s="16">
        <f t="shared" ref="AK132:AK163" si="90">((AI132/K132)*(J132+S132))/(R132)</f>
        <v>7.1369842750572694E-3</v>
      </c>
      <c r="AL132" s="16">
        <f t="shared" ref="AL132:AL163" si="91">((AJ132/K132)*(J132+S132))/(R132)</f>
        <v>0.15253193214232685</v>
      </c>
      <c r="AM132" s="27">
        <f t="shared" ref="AM132:AM194" si="92">AK132*1000</f>
        <v>7.1369842750572694</v>
      </c>
      <c r="AN132" s="27">
        <f t="shared" ref="AN132:AN194" si="93">AL132*1000</f>
        <v>152.53193214232687</v>
      </c>
      <c r="AO132" s="29" t="e">
        <f t="shared" ref="AO132:AO194" si="94">AI132*100/Z132</f>
        <v>#VALUE!</v>
      </c>
      <c r="AP132" s="29" t="e">
        <f t="shared" ref="AP132:AP194" si="95">AJ132*100/Z132</f>
        <v>#VALUE!</v>
      </c>
      <c r="AQ132" s="27">
        <f t="shared" ref="AQ132:AQ194" si="96">AJ132/AI132</f>
        <v>21.372042625258956</v>
      </c>
      <c r="AR132" s="14">
        <f t="shared" ref="AR132:AR194" si="97">W132+(1.98-AB132)</f>
        <v>2105.8429555795351</v>
      </c>
      <c r="AS132" s="25">
        <v>0.3678691314984826</v>
      </c>
      <c r="AT132" s="22">
        <f t="shared" ref="AT132:AT194" si="98">100*0.003676*(AR132/1000+1)/(1+0.003676*(AR132/1000+1))</f>
        <v>1.1288200431944317</v>
      </c>
      <c r="AU132" s="22">
        <f t="shared" ref="AU132:AU194" si="99">AT132-AS132</f>
        <v>0.76095091169594919</v>
      </c>
      <c r="AV132" s="64"/>
      <c r="AW132" s="64"/>
      <c r="AX132" s="116">
        <f t="shared" ref="AX132:AX194" si="100">(((AI132*(AU132%))/AI132)*1000)*1000</f>
        <v>7609.5091169594916</v>
      </c>
      <c r="AY132" s="64"/>
      <c r="AZ132" s="64"/>
      <c r="BA132" s="64"/>
      <c r="BB132" s="64"/>
      <c r="BC132" s="64"/>
      <c r="BD132" s="64"/>
      <c r="BE132" s="14">
        <f t="shared" ref="BE132:BE194" si="101">Y132+(-26.03-AD132)</f>
        <v>-3.9894272701983322</v>
      </c>
      <c r="BF132" s="25">
        <v>1.0824781751878776</v>
      </c>
      <c r="BG132" s="22">
        <f t="shared" si="84"/>
        <v>1.1068292584629431</v>
      </c>
      <c r="BH132" s="38">
        <f t="shared" ref="BH132:BH194" si="102">BG132-BF132</f>
        <v>2.4351083275065522E-2</v>
      </c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</row>
    <row r="133" spans="1:74" ht="15.75">
      <c r="A133" s="138">
        <v>83</v>
      </c>
      <c r="B133" s="140">
        <v>5</v>
      </c>
      <c r="C133" s="140" t="s">
        <v>415</v>
      </c>
      <c r="D133" s="140" t="s">
        <v>409</v>
      </c>
      <c r="E133" s="140" t="s">
        <v>410</v>
      </c>
      <c r="F133" s="140" t="s">
        <v>480</v>
      </c>
      <c r="G133" s="140"/>
      <c r="H133" s="140" t="s">
        <v>485</v>
      </c>
      <c r="I133" s="140">
        <v>100</v>
      </c>
      <c r="J133" s="141">
        <v>8.92</v>
      </c>
      <c r="K133" s="140">
        <v>15</v>
      </c>
      <c r="L133" s="140" t="s">
        <v>96</v>
      </c>
      <c r="M133" s="140">
        <v>3</v>
      </c>
      <c r="N133"/>
      <c r="O133"/>
      <c r="P133"/>
      <c r="Q133" s="141">
        <v>8.92</v>
      </c>
      <c r="R133">
        <v>12.606951871657754</v>
      </c>
      <c r="S133" s="55">
        <v>7.3930481283422465</v>
      </c>
      <c r="T133" s="82">
        <v>60</v>
      </c>
      <c r="U133" s="82" t="s">
        <v>329</v>
      </c>
      <c r="V133" s="83">
        <v>4.8803039999999998</v>
      </c>
      <c r="W133" s="83">
        <v>3189.5878322938534</v>
      </c>
      <c r="X133" s="81">
        <v>4.7297669999999998</v>
      </c>
      <c r="Y133" s="81">
        <v>-1.2233005911884016</v>
      </c>
      <c r="Z133" s="71" t="s">
        <v>54</v>
      </c>
      <c r="AA133" s="75">
        <v>2.9111787500000004</v>
      </c>
      <c r="AB133" s="75">
        <v>7.1289713486518078</v>
      </c>
      <c r="AC133" s="75">
        <v>2.0592423593750002</v>
      </c>
      <c r="AD133" s="75">
        <v>-26.716135928040213</v>
      </c>
      <c r="AE133" s="75">
        <v>2.375375</v>
      </c>
      <c r="AF133" s="75">
        <v>2.375375</v>
      </c>
      <c r="AG133" s="32">
        <f t="shared" si="86"/>
        <v>2.3009777396870598E-2</v>
      </c>
      <c r="AH133" s="32">
        <f t="shared" si="87"/>
        <v>0.53073405008612418</v>
      </c>
      <c r="AI133" s="33">
        <f t="shared" si="88"/>
        <v>0.11229470866905716</v>
      </c>
      <c r="AJ133" s="34">
        <f t="shared" si="89"/>
        <v>2.5102483958736972</v>
      </c>
      <c r="AK133" s="16">
        <f t="shared" si="90"/>
        <v>9.6870837916806125E-3</v>
      </c>
      <c r="AL133" s="16">
        <f t="shared" si="91"/>
        <v>0.21654614751639584</v>
      </c>
      <c r="AM133" s="27">
        <f t="shared" si="92"/>
        <v>9.6870837916806121</v>
      </c>
      <c r="AN133" s="27">
        <f t="shared" si="93"/>
        <v>216.54614751639585</v>
      </c>
      <c r="AO133" s="29" t="e">
        <f t="shared" si="94"/>
        <v>#VALUE!</v>
      </c>
      <c r="AP133" s="29" t="e">
        <f t="shared" si="95"/>
        <v>#VALUE!</v>
      </c>
      <c r="AQ133" s="27">
        <f t="shared" si="96"/>
        <v>22.35411112086884</v>
      </c>
      <c r="AR133" s="14">
        <f t="shared" si="97"/>
        <v>3184.4388609452017</v>
      </c>
      <c r="AS133" s="25">
        <v>0.3678691314984826</v>
      </c>
      <c r="AT133" s="22">
        <f t="shared" si="98"/>
        <v>1.514897574947291</v>
      </c>
      <c r="AU133" s="22">
        <f t="shared" si="99"/>
        <v>1.1470284434488085</v>
      </c>
      <c r="AV133" s="64"/>
      <c r="AW133" s="64"/>
      <c r="AX133" s="116">
        <f t="shared" si="100"/>
        <v>11470.284434488083</v>
      </c>
      <c r="AY133" s="64"/>
      <c r="AZ133" s="64"/>
      <c r="BA133" s="64"/>
      <c r="BB133" s="64"/>
      <c r="BC133" s="64"/>
      <c r="BD133" s="64"/>
      <c r="BE133" s="14">
        <f t="shared" si="101"/>
        <v>-0.53716466314818967</v>
      </c>
      <c r="BF133" s="25">
        <v>1.0824781751878776</v>
      </c>
      <c r="BG133" s="22">
        <f t="shared" si="84"/>
        <v>1.1106230210337387</v>
      </c>
      <c r="BH133" s="38">
        <f t="shared" si="102"/>
        <v>2.8144845845861077E-2</v>
      </c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</row>
    <row r="134" spans="1:74" ht="15">
      <c r="A134" s="138">
        <v>84</v>
      </c>
      <c r="B134" s="140">
        <v>5</v>
      </c>
      <c r="C134" s="140" t="s">
        <v>417</v>
      </c>
      <c r="D134" s="140" t="s">
        <v>426</v>
      </c>
      <c r="E134" s="140" t="s">
        <v>410</v>
      </c>
      <c r="F134" s="140" t="s">
        <v>480</v>
      </c>
      <c r="G134" s="140"/>
      <c r="H134" s="140" t="s">
        <v>485</v>
      </c>
      <c r="I134" s="140">
        <v>100</v>
      </c>
      <c r="J134" s="141">
        <v>5.23</v>
      </c>
      <c r="K134" s="140">
        <v>15</v>
      </c>
      <c r="L134" s="140" t="s">
        <v>97</v>
      </c>
      <c r="M134" s="140">
        <v>3</v>
      </c>
      <c r="Q134" s="141">
        <v>5.23</v>
      </c>
      <c r="R134">
        <v>13.357859531772576</v>
      </c>
      <c r="S134" s="55">
        <v>6.6421404682274243</v>
      </c>
      <c r="T134" s="80">
        <v>61</v>
      </c>
      <c r="U134" s="80" t="s">
        <v>330</v>
      </c>
      <c r="V134" s="81">
        <v>4.4106829999999997</v>
      </c>
      <c r="W134" s="81">
        <v>5686.7363613638254</v>
      </c>
      <c r="X134" s="83">
        <v>2.6387744999999998</v>
      </c>
      <c r="Y134" s="83">
        <v>82.347951035049149</v>
      </c>
      <c r="Z134" s="154" t="s">
        <v>54</v>
      </c>
      <c r="AA134" s="75">
        <v>2.9111787500000004</v>
      </c>
      <c r="AB134" s="75">
        <v>7.1289713486518078</v>
      </c>
      <c r="AC134" s="75">
        <v>2.0592423593750002</v>
      </c>
      <c r="AD134" s="75">
        <v>-26.716135928040213</v>
      </c>
      <c r="AE134" s="75">
        <v>2.375375</v>
      </c>
      <c r="AF134" s="75">
        <v>2.375375</v>
      </c>
      <c r="AG134" s="32">
        <f t="shared" si="86"/>
        <v>2.3009777396870598E-2</v>
      </c>
      <c r="AH134" s="32">
        <f t="shared" si="87"/>
        <v>0.53073405008612418</v>
      </c>
      <c r="AI134" s="33">
        <f t="shared" si="88"/>
        <v>0.10148883399816139</v>
      </c>
      <c r="AJ134" s="34">
        <f t="shared" si="89"/>
        <v>1.4004874776489871</v>
      </c>
      <c r="AK134" s="16">
        <f t="shared" si="90"/>
        <v>6.0133870516049627E-3</v>
      </c>
      <c r="AL134" s="16">
        <f t="shared" si="91"/>
        <v>8.2981279144283826E-2</v>
      </c>
      <c r="AM134" s="27">
        <f t="shared" si="92"/>
        <v>6.0133870516049628</v>
      </c>
      <c r="AN134" s="27">
        <f t="shared" si="93"/>
        <v>82.981279144283832</v>
      </c>
      <c r="AO134" s="29" t="e">
        <f t="shared" si="94"/>
        <v>#VALUE!</v>
      </c>
      <c r="AP134" s="29" t="e">
        <f t="shared" si="95"/>
        <v>#VALUE!</v>
      </c>
      <c r="AQ134" s="27">
        <f t="shared" si="96"/>
        <v>13.799424256606978</v>
      </c>
      <c r="AR134" s="14">
        <f t="shared" si="97"/>
        <v>5681.5873900151737</v>
      </c>
      <c r="AS134" s="25">
        <v>0.3678691314984826</v>
      </c>
      <c r="AT134" s="22">
        <f t="shared" si="98"/>
        <v>2.3972709183602103</v>
      </c>
      <c r="AU134" s="22">
        <f t="shared" si="99"/>
        <v>2.0294017868617278</v>
      </c>
      <c r="AV134" s="64"/>
      <c r="AW134" s="64"/>
      <c r="AX134" s="116">
        <f t="shared" si="100"/>
        <v>20294.017868617277</v>
      </c>
      <c r="AY134" s="64"/>
      <c r="AZ134" s="64"/>
      <c r="BA134" s="64"/>
      <c r="BB134" s="64"/>
      <c r="BC134" s="64"/>
      <c r="BD134" s="64"/>
      <c r="BE134" s="14">
        <f t="shared" si="101"/>
        <v>83.034086963089365</v>
      </c>
      <c r="BF134" s="25">
        <v>1.0824781751878776</v>
      </c>
      <c r="BG134" s="22">
        <f t="shared" si="84"/>
        <v>1.2023724656431054</v>
      </c>
      <c r="BH134" s="38">
        <f t="shared" si="102"/>
        <v>0.11989429045522781</v>
      </c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</row>
    <row r="135" spans="1:74" ht="15">
      <c r="A135" s="138">
        <v>85</v>
      </c>
      <c r="B135" s="140">
        <v>5</v>
      </c>
      <c r="C135" s="140" t="s">
        <v>419</v>
      </c>
      <c r="D135" s="140" t="s">
        <v>418</v>
      </c>
      <c r="E135" s="140" t="s">
        <v>410</v>
      </c>
      <c r="F135" s="140" t="s">
        <v>480</v>
      </c>
      <c r="G135" s="140"/>
      <c r="H135" s="140" t="s">
        <v>485</v>
      </c>
      <c r="I135" s="140">
        <v>100</v>
      </c>
      <c r="J135" s="141">
        <v>2.89</v>
      </c>
      <c r="K135" s="140">
        <v>15</v>
      </c>
      <c r="L135" s="140" t="s">
        <v>98</v>
      </c>
      <c r="M135" s="140">
        <v>3</v>
      </c>
      <c r="Q135" s="141">
        <v>2.89</v>
      </c>
      <c r="R135">
        <v>13.05685618729097</v>
      </c>
      <c r="S135" s="55">
        <v>6.9431438127090317</v>
      </c>
      <c r="T135" s="82">
        <v>62</v>
      </c>
      <c r="U135" s="82" t="s">
        <v>331</v>
      </c>
      <c r="V135" s="83">
        <v>2.6423602499999999</v>
      </c>
      <c r="W135" s="83">
        <v>662.50227876163581</v>
      </c>
      <c r="X135" s="81">
        <v>2.72906</v>
      </c>
      <c r="Y135" s="81">
        <v>-19.121996012251707</v>
      </c>
      <c r="Z135" s="154" t="s">
        <v>54</v>
      </c>
      <c r="AA135" s="75">
        <v>2.9111787500000004</v>
      </c>
      <c r="AB135" s="75">
        <v>7.1289713486518078</v>
      </c>
      <c r="AC135" s="75">
        <v>2.0592423593750002</v>
      </c>
      <c r="AD135" s="75">
        <v>-26.716135928040213</v>
      </c>
      <c r="AE135" s="75">
        <v>2.375375</v>
      </c>
      <c r="AF135" s="75">
        <v>2.375375</v>
      </c>
      <c r="AG135" s="32">
        <f t="shared" si="86"/>
        <v>2.3009777396870598E-2</v>
      </c>
      <c r="AH135" s="32">
        <f t="shared" si="87"/>
        <v>0.53073405008612418</v>
      </c>
      <c r="AI135" s="33">
        <f t="shared" si="88"/>
        <v>6.0800121154839334E-2</v>
      </c>
      <c r="AJ135" s="34">
        <f t="shared" si="89"/>
        <v>1.4484050667280381</v>
      </c>
      <c r="AK135" s="16">
        <f t="shared" si="90"/>
        <v>3.0525793068400735E-3</v>
      </c>
      <c r="AL135" s="16">
        <f t="shared" si="91"/>
        <v>7.2719778359593118E-2</v>
      </c>
      <c r="AM135" s="27">
        <f t="shared" si="92"/>
        <v>3.0525793068400735</v>
      </c>
      <c r="AN135" s="27">
        <f t="shared" si="93"/>
        <v>72.719778359593121</v>
      </c>
      <c r="AO135" s="29" t="e">
        <f t="shared" si="94"/>
        <v>#VALUE!</v>
      </c>
      <c r="AP135" s="29" t="e">
        <f t="shared" si="95"/>
        <v>#VALUE!</v>
      </c>
      <c r="AQ135" s="27">
        <f t="shared" si="96"/>
        <v>23.822404285007803</v>
      </c>
      <c r="AR135" s="14">
        <f t="shared" si="97"/>
        <v>657.35330741298401</v>
      </c>
      <c r="AS135" s="25">
        <v>0.3678691314984826</v>
      </c>
      <c r="AT135" s="22">
        <f t="shared" si="98"/>
        <v>0.60555378132203297</v>
      </c>
      <c r="AU135" s="22">
        <f t="shared" si="99"/>
        <v>0.23768464982355036</v>
      </c>
      <c r="AV135" s="64"/>
      <c r="AW135" s="64"/>
      <c r="AX135" s="116">
        <f t="shared" si="100"/>
        <v>2376.846498235504</v>
      </c>
      <c r="AY135" s="64"/>
      <c r="AZ135" s="64"/>
      <c r="BA135" s="64"/>
      <c r="BB135" s="64"/>
      <c r="BC135" s="64"/>
      <c r="BD135" s="64"/>
      <c r="BE135" s="14">
        <f t="shared" si="101"/>
        <v>-18.435860084211495</v>
      </c>
      <c r="BF135" s="25">
        <v>1.0824781751878776</v>
      </c>
      <c r="BG135" s="22">
        <f t="shared" si="84"/>
        <v>1.0909506173676249</v>
      </c>
      <c r="BH135" s="38">
        <f t="shared" si="102"/>
        <v>8.4724421797472971E-3</v>
      </c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</row>
    <row r="136" spans="1:74" ht="15">
      <c r="A136" s="138">
        <v>86</v>
      </c>
      <c r="B136" s="140">
        <v>5</v>
      </c>
      <c r="C136" s="140" t="s">
        <v>421</v>
      </c>
      <c r="D136" s="140" t="s">
        <v>416</v>
      </c>
      <c r="E136" s="140" t="s">
        <v>410</v>
      </c>
      <c r="F136" s="140" t="s">
        <v>480</v>
      </c>
      <c r="G136" s="140"/>
      <c r="H136" s="140" t="s">
        <v>485</v>
      </c>
      <c r="I136" s="140">
        <v>100</v>
      </c>
      <c r="J136" s="141">
        <v>4.6900000000000004</v>
      </c>
      <c r="K136" s="140">
        <v>15</v>
      </c>
      <c r="L136" s="140" t="s">
        <v>99</v>
      </c>
      <c r="M136" s="140">
        <v>3</v>
      </c>
      <c r="Q136" s="141">
        <v>4.6900000000000004</v>
      </c>
      <c r="R136">
        <v>12.523302263648468</v>
      </c>
      <c r="S136" s="55">
        <v>7.4766977363515323</v>
      </c>
      <c r="T136" s="80">
        <v>63</v>
      </c>
      <c r="U136" s="80" t="s">
        <v>332</v>
      </c>
      <c r="V136" s="81">
        <v>5.6443539999999999</v>
      </c>
      <c r="W136" s="81">
        <v>1848.8374375805413</v>
      </c>
      <c r="X136" s="83">
        <v>3.3229495</v>
      </c>
      <c r="Y136" s="83">
        <v>2.7852988425508167</v>
      </c>
      <c r="Z136" s="154" t="s">
        <v>54</v>
      </c>
      <c r="AA136" s="75">
        <v>2.9111787500000004</v>
      </c>
      <c r="AB136" s="75">
        <v>7.1289713486518078</v>
      </c>
      <c r="AC136" s="75">
        <v>2.0592423593750002</v>
      </c>
      <c r="AD136" s="75">
        <v>-26.716135928040213</v>
      </c>
      <c r="AE136" s="75">
        <v>2.375375</v>
      </c>
      <c r="AF136" s="75">
        <v>2.375375</v>
      </c>
      <c r="AG136" s="32">
        <f t="shared" si="86"/>
        <v>2.3009777396870598E-2</v>
      </c>
      <c r="AH136" s="32">
        <f t="shared" si="87"/>
        <v>0.53073405008612418</v>
      </c>
      <c r="AI136" s="33">
        <f t="shared" si="88"/>
        <v>0.12987532908913615</v>
      </c>
      <c r="AJ136" s="34">
        <f t="shared" si="89"/>
        <v>1.7636024463666613</v>
      </c>
      <c r="AK136" s="16">
        <f t="shared" si="90"/>
        <v>8.4118061896151994E-3</v>
      </c>
      <c r="AL136" s="16">
        <f t="shared" si="91"/>
        <v>0.1142255582981889</v>
      </c>
      <c r="AM136" s="27">
        <f t="shared" si="92"/>
        <v>8.4118061896151985</v>
      </c>
      <c r="AN136" s="27">
        <f t="shared" si="93"/>
        <v>114.2255582981889</v>
      </c>
      <c r="AO136" s="29" t="e">
        <f t="shared" si="94"/>
        <v>#VALUE!</v>
      </c>
      <c r="AP136" s="29" t="e">
        <f t="shared" si="95"/>
        <v>#VALUE!</v>
      </c>
      <c r="AQ136" s="27">
        <f t="shared" si="96"/>
        <v>13.579195207707725</v>
      </c>
      <c r="AR136" s="14">
        <f t="shared" si="97"/>
        <v>1843.6884662318894</v>
      </c>
      <c r="AS136" s="25">
        <v>0.3678691314984826</v>
      </c>
      <c r="AT136" s="22">
        <f t="shared" si="98"/>
        <v>1.0345255718139403</v>
      </c>
      <c r="AU136" s="22">
        <f t="shared" si="99"/>
        <v>0.66665644031545779</v>
      </c>
      <c r="AV136" s="64"/>
      <c r="AW136" s="64"/>
      <c r="AX136" s="116">
        <f t="shared" si="100"/>
        <v>6666.564403154578</v>
      </c>
      <c r="AY136" s="64"/>
      <c r="AZ136" s="64"/>
      <c r="BA136" s="64"/>
      <c r="BB136" s="64"/>
      <c r="BC136" s="64"/>
      <c r="BD136" s="64"/>
      <c r="BE136" s="14">
        <f t="shared" si="101"/>
        <v>3.4714347705910287</v>
      </c>
      <c r="BF136" s="25">
        <v>1.0824781751878776</v>
      </c>
      <c r="BG136" s="22">
        <f t="shared" si="84"/>
        <v>1.1150277884178208</v>
      </c>
      <c r="BH136" s="38">
        <f t="shared" si="102"/>
        <v>3.2549613229943208E-2</v>
      </c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</row>
    <row r="137" spans="1:74" ht="15">
      <c r="A137" s="138">
        <v>87</v>
      </c>
      <c r="B137" s="140">
        <v>5</v>
      </c>
      <c r="C137" s="140" t="s">
        <v>423</v>
      </c>
      <c r="D137" s="140" t="s">
        <v>422</v>
      </c>
      <c r="E137" s="140" t="s">
        <v>410</v>
      </c>
      <c r="F137" s="140" t="s">
        <v>480</v>
      </c>
      <c r="G137" s="140"/>
      <c r="H137" s="140" t="s">
        <v>485</v>
      </c>
      <c r="I137" s="140">
        <v>100</v>
      </c>
      <c r="J137" s="141">
        <v>5.68</v>
      </c>
      <c r="K137" s="140">
        <v>15</v>
      </c>
      <c r="L137" s="140" t="s">
        <v>100</v>
      </c>
      <c r="M137" s="140">
        <v>3</v>
      </c>
      <c r="Q137" s="141">
        <v>5.68</v>
      </c>
      <c r="R137">
        <v>10.857332009268454</v>
      </c>
      <c r="S137" s="55">
        <v>9.142667990731546</v>
      </c>
      <c r="T137" s="82">
        <v>64</v>
      </c>
      <c r="U137" s="82" t="s">
        <v>333</v>
      </c>
      <c r="V137" s="83">
        <v>5.9848800000000004</v>
      </c>
      <c r="W137" s="83">
        <v>3022.1945376950171</v>
      </c>
      <c r="X137" s="81">
        <v>4.8321759999999996</v>
      </c>
      <c r="Y137" s="81">
        <v>2.818492238110792</v>
      </c>
      <c r="Z137" s="154" t="s">
        <v>54</v>
      </c>
      <c r="AA137" s="75">
        <v>2.9111787500000004</v>
      </c>
      <c r="AB137" s="75">
        <v>7.1289713486518078</v>
      </c>
      <c r="AC137" s="75">
        <v>2.0592423593750002</v>
      </c>
      <c r="AD137" s="75">
        <v>-26.716135928040213</v>
      </c>
      <c r="AE137" s="75">
        <v>2.375375</v>
      </c>
      <c r="AF137" s="75">
        <v>2.375375</v>
      </c>
      <c r="AG137" s="32">
        <f t="shared" si="86"/>
        <v>2.3009777396870598E-2</v>
      </c>
      <c r="AH137" s="32">
        <f t="shared" si="87"/>
        <v>0.53073405008612418</v>
      </c>
      <c r="AI137" s="33">
        <f t="shared" si="88"/>
        <v>0.13771075654698292</v>
      </c>
      <c r="AJ137" s="34">
        <f t="shared" si="89"/>
        <v>2.5646003392089671</v>
      </c>
      <c r="AK137" s="16">
        <f t="shared" si="90"/>
        <v>1.2533716517132483E-2</v>
      </c>
      <c r="AL137" s="16">
        <f t="shared" si="91"/>
        <v>0.23341657861287263</v>
      </c>
      <c r="AM137" s="27">
        <f t="shared" si="92"/>
        <v>12.533716517132483</v>
      </c>
      <c r="AN137" s="27">
        <f t="shared" si="93"/>
        <v>233.41657861287263</v>
      </c>
      <c r="AO137" s="29" t="e">
        <f t="shared" si="94"/>
        <v>#VALUE!</v>
      </c>
      <c r="AP137" s="29" t="e">
        <f t="shared" si="95"/>
        <v>#VALUE!</v>
      </c>
      <c r="AQ137" s="27">
        <f t="shared" si="96"/>
        <v>18.623093820082236</v>
      </c>
      <c r="AR137" s="14">
        <f t="shared" si="97"/>
        <v>3017.0455663463654</v>
      </c>
      <c r="AS137" s="25">
        <v>0.3678691314984826</v>
      </c>
      <c r="AT137" s="22">
        <f t="shared" si="98"/>
        <v>1.4551778345908246</v>
      </c>
      <c r="AU137" s="22">
        <f t="shared" si="99"/>
        <v>1.0873087030923421</v>
      </c>
      <c r="AV137" s="64"/>
      <c r="AW137" s="64"/>
      <c r="AX137" s="116">
        <f t="shared" si="100"/>
        <v>10873.08703092342</v>
      </c>
      <c r="AY137" s="64"/>
      <c r="AZ137" s="64"/>
      <c r="BA137" s="64"/>
      <c r="BB137" s="64"/>
      <c r="BC137" s="64"/>
      <c r="BD137" s="64"/>
      <c r="BE137" s="14">
        <f t="shared" si="101"/>
        <v>3.5046281661510039</v>
      </c>
      <c r="BF137" s="25">
        <v>1.0824781751878776</v>
      </c>
      <c r="BG137" s="22">
        <f t="shared" si="84"/>
        <v>1.1150642606625831</v>
      </c>
      <c r="BH137" s="38">
        <f t="shared" si="102"/>
        <v>3.258608547470554E-2</v>
      </c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</row>
    <row r="138" spans="1:74" ht="15">
      <c r="A138" s="138">
        <v>88</v>
      </c>
      <c r="B138" s="140">
        <v>5</v>
      </c>
      <c r="C138" s="140" t="s">
        <v>425</v>
      </c>
      <c r="D138" s="140" t="s">
        <v>414</v>
      </c>
      <c r="E138" s="140" t="s">
        <v>410</v>
      </c>
      <c r="F138" s="140" t="s">
        <v>480</v>
      </c>
      <c r="G138" s="140"/>
      <c r="H138" s="140" t="s">
        <v>485</v>
      </c>
      <c r="I138" s="140">
        <v>100</v>
      </c>
      <c r="J138" s="141">
        <v>11</v>
      </c>
      <c r="K138" s="140">
        <v>15</v>
      </c>
      <c r="L138" s="140" t="s">
        <v>101</v>
      </c>
      <c r="M138" s="140">
        <v>3</v>
      </c>
      <c r="Q138" s="141">
        <v>11</v>
      </c>
      <c r="R138">
        <v>11.358931552587649</v>
      </c>
      <c r="S138" s="55">
        <v>8.6410684474123514</v>
      </c>
      <c r="T138" s="80">
        <v>65</v>
      </c>
      <c r="U138" s="80" t="s">
        <v>334</v>
      </c>
      <c r="V138" s="81">
        <v>3.488664</v>
      </c>
      <c r="W138" s="81">
        <v>1319.2708995082546</v>
      </c>
      <c r="X138" s="83">
        <v>1.8683259999999999</v>
      </c>
      <c r="Y138" s="83">
        <v>7.2054162721998596</v>
      </c>
      <c r="Z138" s="154" t="s">
        <v>54</v>
      </c>
      <c r="AA138" s="75">
        <v>2.9111787500000004</v>
      </c>
      <c r="AB138" s="75">
        <v>7.1289713486518078</v>
      </c>
      <c r="AC138" s="75">
        <v>2.0592423593750002</v>
      </c>
      <c r="AD138" s="75">
        <v>-26.716135928040213</v>
      </c>
      <c r="AE138" s="75">
        <v>2.375375</v>
      </c>
      <c r="AF138" s="75">
        <v>2.375375</v>
      </c>
      <c r="AG138" s="32">
        <f t="shared" si="86"/>
        <v>2.3009777396870598E-2</v>
      </c>
      <c r="AH138" s="32">
        <f t="shared" si="87"/>
        <v>0.53073405008612418</v>
      </c>
      <c r="AI138" s="33">
        <f t="shared" si="88"/>
        <v>8.0273382052476167E-2</v>
      </c>
      <c r="AJ138" s="34">
        <f t="shared" si="89"/>
        <v>0.99158422486120801</v>
      </c>
      <c r="AK138" s="16">
        <f t="shared" si="90"/>
        <v>9.2535404648969397E-3</v>
      </c>
      <c r="AL138" s="16">
        <f t="shared" si="91"/>
        <v>0.11430519699678726</v>
      </c>
      <c r="AM138" s="27">
        <f t="shared" si="92"/>
        <v>9.2535404648969397</v>
      </c>
      <c r="AN138" s="27">
        <f t="shared" si="93"/>
        <v>114.30519699678726</v>
      </c>
      <c r="AO138" s="29" t="e">
        <f t="shared" si="94"/>
        <v>#VALUE!</v>
      </c>
      <c r="AP138" s="29" t="e">
        <f t="shared" si="95"/>
        <v>#VALUE!</v>
      </c>
      <c r="AQ138" s="27">
        <f t="shared" si="96"/>
        <v>12.35259060360745</v>
      </c>
      <c r="AR138" s="14">
        <f t="shared" si="97"/>
        <v>1314.1219281596027</v>
      </c>
      <c r="AS138" s="25">
        <v>0.3678691314984826</v>
      </c>
      <c r="AT138" s="22">
        <f t="shared" si="98"/>
        <v>0.84349584439463265</v>
      </c>
      <c r="AU138" s="22">
        <f t="shared" si="99"/>
        <v>0.47562671289615005</v>
      </c>
      <c r="AV138" s="64"/>
      <c r="AW138" s="64"/>
      <c r="AX138" s="116">
        <f t="shared" si="100"/>
        <v>4756.2671289615</v>
      </c>
      <c r="AY138" s="64"/>
      <c r="AZ138" s="64"/>
      <c r="BA138" s="64"/>
      <c r="BB138" s="64"/>
      <c r="BC138" s="64"/>
      <c r="BD138" s="64"/>
      <c r="BE138" s="14">
        <f t="shared" si="101"/>
        <v>7.8915522002400715</v>
      </c>
      <c r="BF138" s="25">
        <v>1.0824781751878776</v>
      </c>
      <c r="BG138" s="22">
        <f t="shared" si="84"/>
        <v>1.1198842890555127</v>
      </c>
      <c r="BH138" s="38">
        <f t="shared" si="102"/>
        <v>3.7406113867635149E-2</v>
      </c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</row>
    <row r="139" spans="1:74" ht="15">
      <c r="A139" s="138">
        <v>89</v>
      </c>
      <c r="B139" s="140">
        <v>6</v>
      </c>
      <c r="C139" s="140" t="s">
        <v>408</v>
      </c>
      <c r="D139" s="140" t="s">
        <v>422</v>
      </c>
      <c r="E139" s="140" t="s">
        <v>410</v>
      </c>
      <c r="F139" s="140" t="s">
        <v>480</v>
      </c>
      <c r="G139" s="140"/>
      <c r="H139" s="140" t="s">
        <v>486</v>
      </c>
      <c r="I139" s="140">
        <v>100</v>
      </c>
      <c r="J139" s="141">
        <v>7.04</v>
      </c>
      <c r="K139" s="140">
        <v>15</v>
      </c>
      <c r="L139" s="140" t="s">
        <v>102</v>
      </c>
      <c r="M139" s="140">
        <v>3</v>
      </c>
      <c r="Q139" s="141">
        <v>7.04</v>
      </c>
      <c r="R139">
        <v>13.768743752082639</v>
      </c>
      <c r="S139" s="55">
        <v>6.2312562479173614</v>
      </c>
      <c r="T139" s="82">
        <v>66</v>
      </c>
      <c r="U139" s="82" t="s">
        <v>335</v>
      </c>
      <c r="V139" s="83">
        <v>7.5936684999999997</v>
      </c>
      <c r="W139" s="83">
        <v>1913.450517699737</v>
      </c>
      <c r="X139" s="81">
        <v>6.1068350000000002</v>
      </c>
      <c r="Y139" s="81">
        <v>-10.502535025888832</v>
      </c>
      <c r="Z139" s="154" t="s">
        <v>54</v>
      </c>
      <c r="AA139" s="75">
        <v>2.9111787500000004</v>
      </c>
      <c r="AB139" s="75">
        <v>7.1289713486518078</v>
      </c>
      <c r="AC139" s="75">
        <v>2.0592423593750002</v>
      </c>
      <c r="AD139" s="75">
        <v>-26.716135928040213</v>
      </c>
      <c r="AE139" s="75">
        <v>2.375375</v>
      </c>
      <c r="AF139" s="75">
        <v>2.375375</v>
      </c>
      <c r="AG139" s="32">
        <f t="shared" si="86"/>
        <v>2.3009777396870598E-2</v>
      </c>
      <c r="AH139" s="32">
        <f t="shared" si="87"/>
        <v>0.53073405008612418</v>
      </c>
      <c r="AI139" s="33">
        <f t="shared" si="88"/>
        <v>0.17472862181062826</v>
      </c>
      <c r="AJ139" s="34">
        <f t="shared" si="89"/>
        <v>3.2411052727576961</v>
      </c>
      <c r="AK139" s="16">
        <f t="shared" si="90"/>
        <v>1.1227692497574644E-2</v>
      </c>
      <c r="AL139" s="16">
        <f t="shared" si="91"/>
        <v>0.20826658493438474</v>
      </c>
      <c r="AM139" s="27">
        <f t="shared" si="92"/>
        <v>11.227692497574644</v>
      </c>
      <c r="AN139" s="27">
        <f t="shared" si="93"/>
        <v>208.26658493438475</v>
      </c>
      <c r="AO139" s="29" t="e">
        <f t="shared" si="94"/>
        <v>#VALUE!</v>
      </c>
      <c r="AP139" s="29" t="e">
        <f t="shared" si="95"/>
        <v>#VALUE!</v>
      </c>
      <c r="AQ139" s="27">
        <f t="shared" si="96"/>
        <v>18.549366664554945</v>
      </c>
      <c r="AR139" s="14">
        <f t="shared" si="97"/>
        <v>1908.3015463510851</v>
      </c>
      <c r="AS139" s="25">
        <v>0.3678691314984826</v>
      </c>
      <c r="AT139" s="22">
        <f t="shared" si="98"/>
        <v>1.0577829789520763</v>
      </c>
      <c r="AU139" s="22">
        <f t="shared" si="99"/>
        <v>0.68991384745359374</v>
      </c>
      <c r="AV139" s="64"/>
      <c r="AW139" s="64"/>
      <c r="AX139" s="116">
        <f t="shared" si="100"/>
        <v>6899.1384745359373</v>
      </c>
      <c r="AY139" s="64"/>
      <c r="AZ139" s="64"/>
      <c r="BA139" s="64"/>
      <c r="BB139" s="64"/>
      <c r="BC139" s="64"/>
      <c r="BD139" s="64"/>
      <c r="BE139" s="14">
        <f t="shared" si="101"/>
        <v>-9.8163990978486204</v>
      </c>
      <c r="BF139" s="25">
        <v>1.0824781751878776</v>
      </c>
      <c r="BG139" s="22">
        <f t="shared" si="84"/>
        <v>1.1004252186209704</v>
      </c>
      <c r="BH139" s="38">
        <f t="shared" si="102"/>
        <v>1.7947043433092835E-2</v>
      </c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</row>
    <row r="140" spans="1:74" ht="15">
      <c r="A140" s="138">
        <v>90</v>
      </c>
      <c r="B140" s="140">
        <v>6</v>
      </c>
      <c r="C140" s="140" t="s">
        <v>413</v>
      </c>
      <c r="D140" s="140" t="s">
        <v>426</v>
      </c>
      <c r="E140" s="140" t="s">
        <v>410</v>
      </c>
      <c r="F140" s="140" t="s">
        <v>480</v>
      </c>
      <c r="G140" s="140"/>
      <c r="H140" s="140" t="s">
        <v>486</v>
      </c>
      <c r="I140" s="140">
        <v>100</v>
      </c>
      <c r="J140" s="141">
        <v>6.02</v>
      </c>
      <c r="K140" s="140">
        <v>15</v>
      </c>
      <c r="L140" s="140" t="s">
        <v>103</v>
      </c>
      <c r="M140" s="140">
        <v>3</v>
      </c>
      <c r="Q140" s="141">
        <v>6.02</v>
      </c>
      <c r="R140">
        <v>12.573333333333334</v>
      </c>
      <c r="S140" s="55">
        <v>7.4266666666666667</v>
      </c>
      <c r="T140" s="80">
        <v>67</v>
      </c>
      <c r="U140" s="80" t="s">
        <v>336</v>
      </c>
      <c r="V140" s="81">
        <v>7.2689155000000003</v>
      </c>
      <c r="W140" s="81">
        <v>1243.2637162100939</v>
      </c>
      <c r="X140" s="83">
        <v>3.0885924999999999</v>
      </c>
      <c r="Y140" s="83">
        <v>-6.275014458640249E-2</v>
      </c>
      <c r="Z140" s="154" t="s">
        <v>54</v>
      </c>
      <c r="AA140" s="75">
        <v>2.9111787500000004</v>
      </c>
      <c r="AB140" s="75">
        <v>7.1289713486518078</v>
      </c>
      <c r="AC140" s="75">
        <v>2.0592423593750002</v>
      </c>
      <c r="AD140" s="75">
        <v>-26.716135928040213</v>
      </c>
      <c r="AE140" s="75">
        <v>2.375375</v>
      </c>
      <c r="AF140" s="75">
        <v>2.375375</v>
      </c>
      <c r="AG140" s="32">
        <f t="shared" si="86"/>
        <v>2.3009777396870598E-2</v>
      </c>
      <c r="AH140" s="32">
        <f t="shared" si="87"/>
        <v>0.53073405008612418</v>
      </c>
      <c r="AI140" s="33">
        <f t="shared" si="88"/>
        <v>0.16725612757166233</v>
      </c>
      <c r="AJ140" s="34">
        <f t="shared" si="89"/>
        <v>1.6392212065906273</v>
      </c>
      <c r="AK140" s="16">
        <f t="shared" si="90"/>
        <v>1.1924906656487908E-2</v>
      </c>
      <c r="AL140" s="16">
        <f t="shared" si="91"/>
        <v>0.11687201038152333</v>
      </c>
      <c r="AM140" s="27">
        <f t="shared" si="92"/>
        <v>11.924906656487908</v>
      </c>
      <c r="AN140" s="27">
        <f t="shared" si="93"/>
        <v>116.87201038152332</v>
      </c>
      <c r="AO140" s="29" t="e">
        <f t="shared" si="94"/>
        <v>#VALUE!</v>
      </c>
      <c r="AP140" s="29" t="e">
        <f t="shared" si="95"/>
        <v>#VALUE!</v>
      </c>
      <c r="AQ140" s="27">
        <f t="shared" si="96"/>
        <v>9.8006645878387246</v>
      </c>
      <c r="AR140" s="14">
        <f t="shared" si="97"/>
        <v>1238.114744861442</v>
      </c>
      <c r="AS140" s="25">
        <v>0.3678691314984826</v>
      </c>
      <c r="AT140" s="22">
        <f t="shared" si="98"/>
        <v>0.81601735264694164</v>
      </c>
      <c r="AU140" s="22">
        <f t="shared" si="99"/>
        <v>0.44814822114845904</v>
      </c>
      <c r="AV140" s="64"/>
      <c r="AW140" s="64"/>
      <c r="AX140" s="116">
        <f t="shared" si="100"/>
        <v>4481.4822114845902</v>
      </c>
      <c r="AY140" s="64"/>
      <c r="AZ140" s="64"/>
      <c r="BA140" s="64"/>
      <c r="BB140" s="64"/>
      <c r="BC140" s="64"/>
      <c r="BD140" s="64"/>
      <c r="BE140" s="14">
        <f t="shared" si="101"/>
        <v>0.62338578345380946</v>
      </c>
      <c r="BF140" s="25">
        <v>1.0824781751878776</v>
      </c>
      <c r="BG140" s="22">
        <f t="shared" si="84"/>
        <v>1.1118983084803351</v>
      </c>
      <c r="BH140" s="38">
        <f t="shared" si="102"/>
        <v>2.9420133292457518E-2</v>
      </c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</row>
    <row r="141" spans="1:74" ht="15">
      <c r="A141" s="138">
        <v>91</v>
      </c>
      <c r="B141" s="140">
        <v>6</v>
      </c>
      <c r="C141" s="140" t="s">
        <v>415</v>
      </c>
      <c r="D141" s="140" t="s">
        <v>424</v>
      </c>
      <c r="E141" s="140" t="s">
        <v>410</v>
      </c>
      <c r="F141" s="140" t="s">
        <v>480</v>
      </c>
      <c r="G141" s="140"/>
      <c r="H141" s="140" t="s">
        <v>486</v>
      </c>
      <c r="I141" s="140">
        <v>100</v>
      </c>
      <c r="J141" s="141">
        <v>4.59</v>
      </c>
      <c r="K141" s="140">
        <v>15</v>
      </c>
      <c r="L141" s="140" t="s">
        <v>104</v>
      </c>
      <c r="M141" s="140">
        <v>3</v>
      </c>
      <c r="Q141" s="141">
        <v>4.59</v>
      </c>
      <c r="R141">
        <v>13.508655126498002</v>
      </c>
      <c r="S141" s="55">
        <v>6.4913448735019976</v>
      </c>
      <c r="T141" s="82">
        <v>68</v>
      </c>
      <c r="U141" s="82" t="s">
        <v>337</v>
      </c>
      <c r="V141" s="83">
        <v>10.180700999999999</v>
      </c>
      <c r="W141" s="83">
        <v>941.86038906049953</v>
      </c>
      <c r="X141" s="81">
        <v>5.5727824999999998</v>
      </c>
      <c r="Y141" s="81">
        <v>-15.664823587300564</v>
      </c>
      <c r="Z141" s="154" t="s">
        <v>54</v>
      </c>
      <c r="AA141" s="75">
        <v>2.9111787500000004</v>
      </c>
      <c r="AB141" s="75">
        <v>7.1289713486518078</v>
      </c>
      <c r="AC141" s="75">
        <v>2.0592423593750002</v>
      </c>
      <c r="AD141" s="75">
        <v>-26.716135928040213</v>
      </c>
      <c r="AE141" s="75">
        <v>2.375375</v>
      </c>
      <c r="AF141" s="75">
        <v>2.375375</v>
      </c>
      <c r="AG141" s="32">
        <f t="shared" si="86"/>
        <v>2.3009777396870598E-2</v>
      </c>
      <c r="AH141" s="32">
        <f t="shared" si="87"/>
        <v>0.53073405008612418</v>
      </c>
      <c r="AI141" s="33">
        <f t="shared" si="88"/>
        <v>0.23425566375409787</v>
      </c>
      <c r="AJ141" s="34">
        <f t="shared" si="89"/>
        <v>2.957665426474076</v>
      </c>
      <c r="AK141" s="16">
        <f t="shared" si="90"/>
        <v>1.281088691816225E-2</v>
      </c>
      <c r="AL141" s="16">
        <f t="shared" si="91"/>
        <v>0.16174771065553242</v>
      </c>
      <c r="AM141" s="27">
        <f t="shared" si="92"/>
        <v>12.81088691816225</v>
      </c>
      <c r="AN141" s="27">
        <f t="shared" si="93"/>
        <v>161.74771065553242</v>
      </c>
      <c r="AO141" s="29" t="e">
        <f t="shared" si="94"/>
        <v>#VALUE!</v>
      </c>
      <c r="AP141" s="29" t="e">
        <f t="shared" si="95"/>
        <v>#VALUE!</v>
      </c>
      <c r="AQ141" s="27">
        <f t="shared" si="96"/>
        <v>12.625801139983482</v>
      </c>
      <c r="AR141" s="14">
        <f t="shared" si="97"/>
        <v>936.71141771184773</v>
      </c>
      <c r="AS141" s="25">
        <v>0.3678691314984826</v>
      </c>
      <c r="AT141" s="22">
        <f t="shared" si="98"/>
        <v>0.70690243050412327</v>
      </c>
      <c r="AU141" s="22">
        <f t="shared" si="99"/>
        <v>0.33903329900564066</v>
      </c>
      <c r="AV141" s="64"/>
      <c r="AW141" s="64"/>
      <c r="AX141" s="116">
        <f t="shared" si="100"/>
        <v>3390.3329900564067</v>
      </c>
      <c r="AY141" s="64"/>
      <c r="AZ141" s="64"/>
      <c r="BA141" s="64"/>
      <c r="BB141" s="64"/>
      <c r="BC141" s="64"/>
      <c r="BD141" s="64"/>
      <c r="BE141" s="14">
        <f t="shared" si="101"/>
        <v>-14.978687659260352</v>
      </c>
      <c r="BF141" s="25">
        <v>1.0824781751878776</v>
      </c>
      <c r="BG141" s="22">
        <f t="shared" si="84"/>
        <v>1.0947509953185279</v>
      </c>
      <c r="BH141" s="38">
        <f t="shared" si="102"/>
        <v>1.2272820130650341E-2</v>
      </c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</row>
    <row r="142" spans="1:74" ht="15">
      <c r="A142" s="138">
        <v>92</v>
      </c>
      <c r="B142" s="140">
        <v>6</v>
      </c>
      <c r="C142" s="140" t="s">
        <v>417</v>
      </c>
      <c r="D142" s="140" t="s">
        <v>409</v>
      </c>
      <c r="E142" s="140" t="s">
        <v>410</v>
      </c>
      <c r="F142" s="140" t="s">
        <v>480</v>
      </c>
      <c r="G142" s="140"/>
      <c r="H142" s="140" t="s">
        <v>486</v>
      </c>
      <c r="I142" s="140">
        <v>100</v>
      </c>
      <c r="J142" s="141">
        <v>6.14</v>
      </c>
      <c r="K142" s="140">
        <v>15</v>
      </c>
      <c r="L142" s="140" t="s">
        <v>105</v>
      </c>
      <c r="M142" s="140">
        <v>3</v>
      </c>
      <c r="Q142" s="141">
        <v>6.14</v>
      </c>
      <c r="R142">
        <v>12.865691489361705</v>
      </c>
      <c r="S142" s="55">
        <v>7.1343085106382951</v>
      </c>
      <c r="T142" s="80">
        <v>69</v>
      </c>
      <c r="U142" s="80" t="s">
        <v>338</v>
      </c>
      <c r="V142" s="81">
        <v>8.1257064999999997</v>
      </c>
      <c r="W142" s="81">
        <v>2896.4757649319213</v>
      </c>
      <c r="X142" s="83">
        <v>4.3340759999999996</v>
      </c>
      <c r="Y142" s="83">
        <v>17.830952351519304</v>
      </c>
      <c r="Z142" s="154" t="s">
        <v>54</v>
      </c>
      <c r="AA142" s="75">
        <v>2.9111787500000004</v>
      </c>
      <c r="AB142" s="75">
        <v>7.1289713486518078</v>
      </c>
      <c r="AC142" s="75">
        <v>2.0592423593750002</v>
      </c>
      <c r="AD142" s="75">
        <v>-26.716135928040213</v>
      </c>
      <c r="AE142" s="75">
        <v>2.375375</v>
      </c>
      <c r="AF142" s="75">
        <v>2.375375</v>
      </c>
      <c r="AG142" s="32">
        <f t="shared" si="86"/>
        <v>2.3009777396870598E-2</v>
      </c>
      <c r="AH142" s="32">
        <f t="shared" si="87"/>
        <v>0.53073405008612418</v>
      </c>
      <c r="AI142" s="33">
        <f t="shared" si="88"/>
        <v>0.18697069775730449</v>
      </c>
      <c r="AJ142" s="34">
        <f t="shared" si="89"/>
        <v>2.3002417088610687</v>
      </c>
      <c r="AK142" s="16">
        <f t="shared" si="90"/>
        <v>1.2860595051223323E-2</v>
      </c>
      <c r="AL142" s="16">
        <f t="shared" si="91"/>
        <v>0.15821985740244382</v>
      </c>
      <c r="AM142" s="27">
        <f t="shared" si="92"/>
        <v>12.860595051223322</v>
      </c>
      <c r="AN142" s="27">
        <f t="shared" si="93"/>
        <v>158.21985740244381</v>
      </c>
      <c r="AO142" s="29" t="e">
        <f t="shared" si="94"/>
        <v>#VALUE!</v>
      </c>
      <c r="AP142" s="29" t="e">
        <f t="shared" si="95"/>
        <v>#VALUE!</v>
      </c>
      <c r="AQ142" s="27">
        <f t="shared" si="96"/>
        <v>12.302685588983977</v>
      </c>
      <c r="AR142" s="14">
        <f t="shared" si="97"/>
        <v>2891.3267935832696</v>
      </c>
      <c r="AS142" s="25">
        <v>0.3678691314984826</v>
      </c>
      <c r="AT142" s="22">
        <f t="shared" si="98"/>
        <v>1.4102783778766304</v>
      </c>
      <c r="AU142" s="22">
        <f t="shared" si="99"/>
        <v>1.0424092463781478</v>
      </c>
      <c r="AV142" s="64"/>
      <c r="AW142" s="64"/>
      <c r="AX142" s="116">
        <f t="shared" si="100"/>
        <v>10424.092463781477</v>
      </c>
      <c r="AY142" s="64"/>
      <c r="AZ142" s="64"/>
      <c r="BA142" s="64"/>
      <c r="BB142" s="64"/>
      <c r="BC142" s="64"/>
      <c r="BD142" s="64"/>
      <c r="BE142" s="14">
        <f t="shared" si="101"/>
        <v>18.517088279559516</v>
      </c>
      <c r="BF142" s="25">
        <v>1.0824781751878776</v>
      </c>
      <c r="BG142" s="22">
        <f t="shared" si="84"/>
        <v>1.1315568968276859</v>
      </c>
      <c r="BH142" s="38">
        <f t="shared" si="102"/>
        <v>4.9078721639808309E-2</v>
      </c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</row>
    <row r="143" spans="1:74" ht="15">
      <c r="A143" s="138">
        <v>93</v>
      </c>
      <c r="B143" s="140">
        <v>6</v>
      </c>
      <c r="C143" s="140" t="s">
        <v>419</v>
      </c>
      <c r="D143" s="140" t="s">
        <v>416</v>
      </c>
      <c r="E143" s="140" t="s">
        <v>410</v>
      </c>
      <c r="F143" s="140" t="s">
        <v>480</v>
      </c>
      <c r="G143" s="140"/>
      <c r="H143" s="140" t="s">
        <v>486</v>
      </c>
      <c r="I143" s="140">
        <v>100</v>
      </c>
      <c r="J143" s="141">
        <v>4.51</v>
      </c>
      <c r="K143" s="140">
        <v>15</v>
      </c>
      <c r="L143" s="140" t="s">
        <v>433</v>
      </c>
      <c r="M143" s="140">
        <v>3</v>
      </c>
      <c r="Q143" s="141">
        <v>4.51</v>
      </c>
      <c r="R143">
        <v>12.775564409030544</v>
      </c>
      <c r="S143" s="55">
        <v>7.2244355909694562</v>
      </c>
      <c r="T143" s="80">
        <v>71</v>
      </c>
      <c r="U143" s="80" t="s">
        <v>340</v>
      </c>
      <c r="V143" s="81">
        <v>3.6670595000000001</v>
      </c>
      <c r="W143" s="81">
        <v>2949.0405762328173</v>
      </c>
      <c r="X143" s="83">
        <v>2.1167194999999999</v>
      </c>
      <c r="Y143" s="83">
        <v>40.682465148940366</v>
      </c>
      <c r="Z143" s="154" t="s">
        <v>54</v>
      </c>
      <c r="AA143" s="75">
        <v>2.9111787500000004</v>
      </c>
      <c r="AB143" s="75">
        <v>7.1289713486518078</v>
      </c>
      <c r="AC143" s="75">
        <v>2.0592423593750002</v>
      </c>
      <c r="AD143" s="75">
        <v>-26.716135928040213</v>
      </c>
      <c r="AE143" s="75">
        <v>2.375375</v>
      </c>
      <c r="AF143" s="75">
        <v>2.375375</v>
      </c>
      <c r="AG143" s="32">
        <f t="shared" si="86"/>
        <v>2.3009777396870598E-2</v>
      </c>
      <c r="AH143" s="32">
        <f t="shared" si="87"/>
        <v>0.53073405008612418</v>
      </c>
      <c r="AI143" s="33">
        <f t="shared" si="88"/>
        <v>8.4378222796079594E-2</v>
      </c>
      <c r="AJ143" s="34">
        <f t="shared" si="89"/>
        <v>1.1234151131312757</v>
      </c>
      <c r="AK143" s="16">
        <f t="shared" si="90"/>
        <v>5.1667949270467308E-3</v>
      </c>
      <c r="AL143" s="16">
        <f t="shared" si="91"/>
        <v>6.879091921054295E-2</v>
      </c>
      <c r="AM143" s="27">
        <f t="shared" si="92"/>
        <v>5.1667949270467304</v>
      </c>
      <c r="AN143" s="27">
        <f t="shared" si="93"/>
        <v>68.790919210542953</v>
      </c>
      <c r="AO143" s="29" t="e">
        <f t="shared" si="94"/>
        <v>#VALUE!</v>
      </c>
      <c r="AP143" s="29" t="e">
        <f t="shared" si="95"/>
        <v>#VALUE!</v>
      </c>
      <c r="AQ143" s="27">
        <f t="shared" si="96"/>
        <v>13.314040944501526</v>
      </c>
      <c r="AR143" s="14">
        <f t="shared" si="97"/>
        <v>2943.8916048841656</v>
      </c>
      <c r="AS143" s="25">
        <v>0.3678691314984826</v>
      </c>
      <c r="AT143" s="22">
        <f t="shared" si="98"/>
        <v>1.4290564570790305</v>
      </c>
      <c r="AU143" s="22">
        <f t="shared" si="99"/>
        <v>1.061187325580548</v>
      </c>
      <c r="AV143" s="64"/>
      <c r="AW143" s="64"/>
      <c r="AX143" s="116">
        <f t="shared" si="100"/>
        <v>10611.873255805482</v>
      </c>
      <c r="AY143" s="64"/>
      <c r="AZ143" s="64"/>
      <c r="BA143" s="64"/>
      <c r="BB143" s="64"/>
      <c r="BC143" s="64"/>
      <c r="BD143" s="64"/>
      <c r="BE143" s="14">
        <f t="shared" si="101"/>
        <v>41.368601076980582</v>
      </c>
      <c r="BF143" s="25">
        <v>1.0824781751878776</v>
      </c>
      <c r="BG143" s="22">
        <f t="shared" si="84"/>
        <v>1.1566509309582611</v>
      </c>
      <c r="BH143" s="38">
        <f t="shared" si="102"/>
        <v>7.4172755770383514E-2</v>
      </c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</row>
    <row r="144" spans="1:74" ht="15">
      <c r="A144" s="138">
        <v>94</v>
      </c>
      <c r="B144" s="140">
        <v>6</v>
      </c>
      <c r="C144" s="140" t="s">
        <v>421</v>
      </c>
      <c r="D144" s="140" t="s">
        <v>414</v>
      </c>
      <c r="E144" s="140" t="s">
        <v>410</v>
      </c>
      <c r="F144" s="140" t="s">
        <v>480</v>
      </c>
      <c r="G144" s="140"/>
      <c r="H144" s="140" t="s">
        <v>486</v>
      </c>
      <c r="I144" s="140">
        <v>100</v>
      </c>
      <c r="J144" s="141">
        <v>3.38</v>
      </c>
      <c r="K144" s="140">
        <v>15</v>
      </c>
      <c r="L144" s="140" t="s">
        <v>434</v>
      </c>
      <c r="M144" s="140">
        <v>3</v>
      </c>
      <c r="Q144" s="141">
        <v>3.38</v>
      </c>
      <c r="R144">
        <v>13.107569721115539</v>
      </c>
      <c r="S144" s="55">
        <v>6.8924302788844631</v>
      </c>
      <c r="T144" s="82">
        <v>72</v>
      </c>
      <c r="U144" s="82" t="s">
        <v>341</v>
      </c>
      <c r="V144" s="83">
        <v>5.7678989999999999</v>
      </c>
      <c r="W144" s="83">
        <v>1468.2645382116266</v>
      </c>
      <c r="X144" s="81">
        <v>2.8299829999999999</v>
      </c>
      <c r="Y144" s="81">
        <v>12.550341327016069</v>
      </c>
      <c r="Z144" s="154" t="s">
        <v>54</v>
      </c>
      <c r="AA144" s="75">
        <v>2.9111787500000004</v>
      </c>
      <c r="AB144" s="75">
        <v>7.1289713486518078</v>
      </c>
      <c r="AC144" s="75">
        <v>2.0592423593750002</v>
      </c>
      <c r="AD144" s="75">
        <v>-26.716135928040213</v>
      </c>
      <c r="AE144" s="75">
        <v>2.375375</v>
      </c>
      <c r="AF144" s="75">
        <v>2.375375</v>
      </c>
      <c r="AG144" s="32">
        <f t="shared" si="86"/>
        <v>2.3009777396870598E-2</v>
      </c>
      <c r="AH144" s="32">
        <f t="shared" si="87"/>
        <v>0.53073405008612418</v>
      </c>
      <c r="AI144" s="33">
        <f t="shared" si="88"/>
        <v>0.13271807203763253</v>
      </c>
      <c r="AJ144" s="34">
        <f t="shared" si="89"/>
        <v>1.5019683392648799</v>
      </c>
      <c r="AK144" s="16">
        <f t="shared" si="90"/>
        <v>6.9340956956512869E-3</v>
      </c>
      <c r="AL144" s="16">
        <f t="shared" si="91"/>
        <v>7.8473052210613611E-2</v>
      </c>
      <c r="AM144" s="27">
        <f t="shared" si="92"/>
        <v>6.9340956956512869</v>
      </c>
      <c r="AN144" s="27">
        <f t="shared" si="93"/>
        <v>78.473052210613616</v>
      </c>
      <c r="AO144" s="29" t="e">
        <f t="shared" si="94"/>
        <v>#VALUE!</v>
      </c>
      <c r="AP144" s="29" t="e">
        <f t="shared" si="95"/>
        <v>#VALUE!</v>
      </c>
      <c r="AQ144" s="27">
        <f t="shared" si="96"/>
        <v>11.316984312724141</v>
      </c>
      <c r="AR144" s="14">
        <f t="shared" si="97"/>
        <v>1463.1155668629747</v>
      </c>
      <c r="AS144" s="25">
        <v>0.3678691314984826</v>
      </c>
      <c r="AT144" s="22">
        <f t="shared" si="98"/>
        <v>0.89731660738195196</v>
      </c>
      <c r="AU144" s="22">
        <f t="shared" si="99"/>
        <v>0.5294474758834693</v>
      </c>
      <c r="AV144" s="64"/>
      <c r="AW144" s="64"/>
      <c r="AX144" s="116">
        <f t="shared" si="100"/>
        <v>5294.4747588346927</v>
      </c>
      <c r="AY144" s="64"/>
      <c r="AZ144" s="64"/>
      <c r="BA144" s="64"/>
      <c r="BB144" s="64"/>
      <c r="BC144" s="64"/>
      <c r="BD144" s="64"/>
      <c r="BE144" s="14">
        <f t="shared" si="101"/>
        <v>13.236477255056281</v>
      </c>
      <c r="BF144" s="25">
        <v>1.0824781751878776</v>
      </c>
      <c r="BG144" s="22">
        <f t="shared" si="84"/>
        <v>1.1257562632937828</v>
      </c>
      <c r="BH144" s="38">
        <f t="shared" si="102"/>
        <v>4.3278088105905166E-2</v>
      </c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</row>
    <row r="145" spans="1:74" ht="15">
      <c r="A145" s="138">
        <v>95</v>
      </c>
      <c r="B145" s="140">
        <v>6</v>
      </c>
      <c r="C145" s="140" t="s">
        <v>423</v>
      </c>
      <c r="D145" s="140" t="s">
        <v>420</v>
      </c>
      <c r="E145" s="140" t="s">
        <v>410</v>
      </c>
      <c r="F145" s="140" t="s">
        <v>480</v>
      </c>
      <c r="G145" s="140"/>
      <c r="H145" s="140" t="s">
        <v>486</v>
      </c>
      <c r="I145" s="140">
        <v>100</v>
      </c>
      <c r="J145" s="141">
        <v>9.94</v>
      </c>
      <c r="K145" s="140">
        <v>15</v>
      </c>
      <c r="L145" s="140" t="s">
        <v>435</v>
      </c>
      <c r="M145" s="140">
        <v>3</v>
      </c>
      <c r="Q145" s="141">
        <v>9.94</v>
      </c>
      <c r="R145">
        <v>13.237841439040638</v>
      </c>
      <c r="S145" s="55">
        <v>6.7621585609593602</v>
      </c>
      <c r="T145" s="80">
        <v>73</v>
      </c>
      <c r="U145" s="80" t="s">
        <v>342</v>
      </c>
      <c r="V145" s="81">
        <v>6.1623844999999999</v>
      </c>
      <c r="W145" s="81">
        <v>1822.1203564735963</v>
      </c>
      <c r="X145" s="83">
        <v>4.5126739999999996</v>
      </c>
      <c r="Y145" s="83">
        <v>-7.0109828899778792</v>
      </c>
      <c r="Z145" s="154" t="s">
        <v>54</v>
      </c>
      <c r="AA145" s="75">
        <v>2.9111787500000004</v>
      </c>
      <c r="AB145" s="75">
        <v>7.1289713486518078</v>
      </c>
      <c r="AC145" s="75">
        <v>2.0592423593750002</v>
      </c>
      <c r="AD145" s="75">
        <v>-26.716135928040213</v>
      </c>
      <c r="AE145" s="75">
        <v>2.375375</v>
      </c>
      <c r="AF145" s="75">
        <v>2.375375</v>
      </c>
      <c r="AG145" s="32">
        <f t="shared" si="86"/>
        <v>2.3009777396870598E-2</v>
      </c>
      <c r="AH145" s="32">
        <f t="shared" si="87"/>
        <v>0.53073405008612418</v>
      </c>
      <c r="AI145" s="33">
        <f t="shared" si="88"/>
        <v>0.14179509557892572</v>
      </c>
      <c r="AJ145" s="34">
        <f t="shared" si="89"/>
        <v>2.3950297487383501</v>
      </c>
      <c r="AK145" s="16">
        <f t="shared" si="90"/>
        <v>1.1926839585498856E-2</v>
      </c>
      <c r="AL145" s="16">
        <f t="shared" si="91"/>
        <v>0.2014536222079702</v>
      </c>
      <c r="AM145" s="27">
        <f t="shared" si="92"/>
        <v>11.926839585498856</v>
      </c>
      <c r="AN145" s="27">
        <f t="shared" si="93"/>
        <v>201.4536222079702</v>
      </c>
      <c r="AO145" s="29" t="e">
        <f t="shared" si="94"/>
        <v>#VALUE!</v>
      </c>
      <c r="AP145" s="29" t="e">
        <f t="shared" si="95"/>
        <v>#VALUE!</v>
      </c>
      <c r="AQ145" s="27">
        <f t="shared" si="96"/>
        <v>16.89077988882368</v>
      </c>
      <c r="AR145" s="14">
        <f t="shared" si="97"/>
        <v>1816.9713851249444</v>
      </c>
      <c r="AS145" s="25">
        <v>0.3678691314984826</v>
      </c>
      <c r="AT145" s="22">
        <f t="shared" si="98"/>
        <v>1.0249055922992945</v>
      </c>
      <c r="AU145" s="22">
        <f t="shared" si="99"/>
        <v>0.65703646080081191</v>
      </c>
      <c r="AV145" s="64"/>
      <c r="AW145" s="64"/>
      <c r="AX145" s="116">
        <f t="shared" si="100"/>
        <v>6570.3646080081189</v>
      </c>
      <c r="AY145" s="64"/>
      <c r="AZ145" s="64"/>
      <c r="BA145" s="64"/>
      <c r="BB145" s="64"/>
      <c r="BC145" s="64"/>
      <c r="BD145" s="64"/>
      <c r="BE145" s="14">
        <f t="shared" si="101"/>
        <v>-6.3248469619376673</v>
      </c>
      <c r="BF145" s="25">
        <v>1.0824781751878776</v>
      </c>
      <c r="BG145" s="22">
        <f t="shared" si="84"/>
        <v>1.1042626525347228</v>
      </c>
      <c r="BH145" s="38">
        <f t="shared" si="102"/>
        <v>2.1784477346845188E-2</v>
      </c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</row>
    <row r="146" spans="1:74" ht="15">
      <c r="A146" s="138">
        <v>96</v>
      </c>
      <c r="B146" s="140">
        <v>6</v>
      </c>
      <c r="C146" s="140" t="s">
        <v>425</v>
      </c>
      <c r="D146" s="140" t="s">
        <v>418</v>
      </c>
      <c r="E146" s="140" t="s">
        <v>410</v>
      </c>
      <c r="F146" s="140" t="s">
        <v>480</v>
      </c>
      <c r="G146" s="140"/>
      <c r="H146" s="140" t="s">
        <v>486</v>
      </c>
      <c r="I146" s="140">
        <v>100</v>
      </c>
      <c r="J146" s="141">
        <v>2.27</v>
      </c>
      <c r="K146" s="140">
        <v>15</v>
      </c>
      <c r="L146" s="140" t="s">
        <v>436</v>
      </c>
      <c r="M146" s="140">
        <v>3</v>
      </c>
      <c r="Q146" s="141">
        <v>2.27</v>
      </c>
      <c r="R146">
        <v>12.006644518272424</v>
      </c>
      <c r="S146" s="55">
        <v>7.9933554817275754</v>
      </c>
      <c r="T146" s="82">
        <v>74</v>
      </c>
      <c r="U146" s="82" t="s">
        <v>343</v>
      </c>
      <c r="V146" s="83">
        <v>3.7837737499999999</v>
      </c>
      <c r="W146" s="83">
        <v>39.013315687894242</v>
      </c>
      <c r="X146" s="81">
        <v>2.3351600000000001</v>
      </c>
      <c r="Y146" s="81">
        <v>-29.644183917682593</v>
      </c>
      <c r="Z146" s="154" t="s">
        <v>54</v>
      </c>
      <c r="AA146" s="75">
        <v>2.9111787500000004</v>
      </c>
      <c r="AB146" s="75">
        <v>7.1289713486518078</v>
      </c>
      <c r="AC146" s="75">
        <v>2.0592423593750002</v>
      </c>
      <c r="AD146" s="75">
        <v>-26.716135928040213</v>
      </c>
      <c r="AE146" s="75">
        <v>2.375375</v>
      </c>
      <c r="AF146" s="75">
        <v>2.375375</v>
      </c>
      <c r="AG146" s="32">
        <f t="shared" si="86"/>
        <v>2.3009777396870598E-2</v>
      </c>
      <c r="AH146" s="32">
        <f t="shared" si="87"/>
        <v>0.53073405008612418</v>
      </c>
      <c r="AI146" s="33">
        <f t="shared" si="88"/>
        <v>8.7063791707622296E-2</v>
      </c>
      <c r="AJ146" s="34">
        <f t="shared" si="89"/>
        <v>1.2393489243991138</v>
      </c>
      <c r="AK146" s="16">
        <f t="shared" si="90"/>
        <v>4.961511894643173E-3</v>
      </c>
      <c r="AL146" s="16">
        <f t="shared" si="91"/>
        <v>7.0626885291983979E-2</v>
      </c>
      <c r="AM146" s="27">
        <f t="shared" si="92"/>
        <v>4.9615118946431727</v>
      </c>
      <c r="AN146" s="27">
        <f t="shared" si="93"/>
        <v>70.626885291983982</v>
      </c>
      <c r="AO146" s="29" t="e">
        <f t="shared" si="94"/>
        <v>#VALUE!</v>
      </c>
      <c r="AP146" s="29" t="e">
        <f t="shared" si="95"/>
        <v>#VALUE!</v>
      </c>
      <c r="AQ146" s="27">
        <f t="shared" si="96"/>
        <v>14.234952327381933</v>
      </c>
      <c r="AR146" s="14">
        <f t="shared" si="97"/>
        <v>33.864344339242436</v>
      </c>
      <c r="AS146" s="25">
        <v>0.3678691314984826</v>
      </c>
      <c r="AT146" s="22">
        <f t="shared" si="98"/>
        <v>0.37860963262459807</v>
      </c>
      <c r="AU146" s="22">
        <f t="shared" si="99"/>
        <v>1.0740501126115465E-2</v>
      </c>
      <c r="AV146" s="64"/>
      <c r="AW146" s="64"/>
      <c r="AX146" s="116">
        <f t="shared" si="100"/>
        <v>107.40501126115466</v>
      </c>
      <c r="AY146" s="64"/>
      <c r="AZ146" s="64"/>
      <c r="BA146" s="64"/>
      <c r="BB146" s="64"/>
      <c r="BC146" s="64"/>
      <c r="BD146" s="64"/>
      <c r="BE146" s="14">
        <f t="shared" si="101"/>
        <v>-28.958047989642381</v>
      </c>
      <c r="BF146" s="25">
        <v>1.0824781751878776</v>
      </c>
      <c r="BG146" s="22">
        <f t="shared" si="84"/>
        <v>1.0793820579219189</v>
      </c>
      <c r="BH146" s="38">
        <f t="shared" si="102"/>
        <v>-3.0961172659587088E-3</v>
      </c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</row>
    <row r="147" spans="1:74" ht="15">
      <c r="A147" s="138">
        <v>145</v>
      </c>
      <c r="B147" s="139">
        <v>1</v>
      </c>
      <c r="C147" s="140" t="s">
        <v>408</v>
      </c>
      <c r="D147" s="140" t="s">
        <v>409</v>
      </c>
      <c r="E147" s="140" t="s">
        <v>437</v>
      </c>
      <c r="F147" s="140" t="s">
        <v>480</v>
      </c>
      <c r="G147" s="140"/>
      <c r="H147" s="140" t="s">
        <v>481</v>
      </c>
      <c r="I147" s="140">
        <v>50</v>
      </c>
      <c r="J147" s="140">
        <v>10</v>
      </c>
      <c r="K147" s="140">
        <v>15</v>
      </c>
      <c r="L147" s="140" t="s">
        <v>438</v>
      </c>
      <c r="M147" s="140">
        <v>3</v>
      </c>
      <c r="Q147" s="140">
        <v>10</v>
      </c>
      <c r="R147">
        <v>6.4684385382059801</v>
      </c>
      <c r="S147" s="55">
        <v>3.5315614617940199</v>
      </c>
      <c r="T147" s="80">
        <v>75</v>
      </c>
      <c r="U147" s="80" t="s">
        <v>344</v>
      </c>
      <c r="V147" s="81">
        <v>6.0582364999999996</v>
      </c>
      <c r="W147" s="81">
        <v>7.3264870575441456</v>
      </c>
      <c r="X147" s="83">
        <v>2.5085082500000002</v>
      </c>
      <c r="Y147" s="83">
        <v>-25.640945510771385</v>
      </c>
      <c r="Z147" s="154" t="s">
        <v>54</v>
      </c>
      <c r="AA147" s="75">
        <v>2.9111787500000004</v>
      </c>
      <c r="AB147" s="75">
        <v>7.1289713486518078</v>
      </c>
      <c r="AC147" s="75">
        <v>2.0592423593750002</v>
      </c>
      <c r="AD147" s="75">
        <v>-26.716135928040213</v>
      </c>
      <c r="AE147" s="75">
        <v>2.375375</v>
      </c>
      <c r="AF147" s="75">
        <v>2.375375</v>
      </c>
      <c r="AG147" s="32">
        <f t="shared" si="86"/>
        <v>2.3009777396870598E-2</v>
      </c>
      <c r="AH147" s="32">
        <f t="shared" si="87"/>
        <v>0.53073405008612418</v>
      </c>
      <c r="AI147" s="33">
        <f t="shared" si="88"/>
        <v>0.13939867328259642</v>
      </c>
      <c r="AJ147" s="34">
        <f t="shared" si="89"/>
        <v>1.3313507431969558</v>
      </c>
      <c r="AK147" s="16">
        <f t="shared" si="90"/>
        <v>1.9440876434857562E-2</v>
      </c>
      <c r="AL147" s="16">
        <f t="shared" si="91"/>
        <v>0.18567339760456089</v>
      </c>
      <c r="AM147" s="27">
        <f t="shared" si="92"/>
        <v>19.440876434857561</v>
      </c>
      <c r="AN147" s="27">
        <f t="shared" si="93"/>
        <v>185.6733976045609</v>
      </c>
      <c r="AO147" s="29" t="e">
        <f t="shared" si="94"/>
        <v>#VALUE!</v>
      </c>
      <c r="AP147" s="29" t="e">
        <f t="shared" si="95"/>
        <v>#VALUE!</v>
      </c>
      <c r="AQ147" s="27">
        <f t="shared" si="96"/>
        <v>9.5506701164793046</v>
      </c>
      <c r="AR147" s="14">
        <f t="shared" si="97"/>
        <v>2.1775157088923383</v>
      </c>
      <c r="AS147" s="25">
        <v>0.3678691314984826</v>
      </c>
      <c r="AT147" s="22">
        <f t="shared" si="98"/>
        <v>0.36704824736206476</v>
      </c>
      <c r="AU147" s="22">
        <f t="shared" si="99"/>
        <v>-8.2088413641784319E-4</v>
      </c>
      <c r="AV147" s="64"/>
      <c r="AW147" s="64"/>
      <c r="AX147" s="116">
        <f t="shared" si="100"/>
        <v>-8.2088413641784328</v>
      </c>
      <c r="AY147" s="64"/>
      <c r="AZ147" s="64"/>
      <c r="BA147" s="64"/>
      <c r="BB147" s="64"/>
      <c r="BC147" s="64"/>
      <c r="BD147" s="64"/>
      <c r="BE147" s="14">
        <f t="shared" si="101"/>
        <v>-24.954809582731173</v>
      </c>
      <c r="BF147" s="25">
        <v>1.0824781751878776</v>
      </c>
      <c r="BG147" s="22">
        <f t="shared" si="84"/>
        <v>1.0837837144619766</v>
      </c>
      <c r="BH147" s="38">
        <f t="shared" si="102"/>
        <v>1.3055392740990435E-3</v>
      </c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</row>
    <row r="148" spans="1:74" customFormat="1" ht="15">
      <c r="A148" s="138">
        <v>146</v>
      </c>
      <c r="B148" s="139">
        <v>1</v>
      </c>
      <c r="C148" s="140" t="s">
        <v>413</v>
      </c>
      <c r="D148" s="140" t="s">
        <v>414</v>
      </c>
      <c r="E148" s="140" t="s">
        <v>437</v>
      </c>
      <c r="F148" s="140" t="s">
        <v>480</v>
      </c>
      <c r="G148" s="140"/>
      <c r="H148" s="140" t="s">
        <v>481</v>
      </c>
      <c r="I148" s="140">
        <v>50</v>
      </c>
      <c r="J148" s="140">
        <v>10</v>
      </c>
      <c r="K148" s="140">
        <v>15</v>
      </c>
      <c r="L148" s="140" t="s">
        <v>439</v>
      </c>
      <c r="M148" s="140">
        <v>3</v>
      </c>
      <c r="N148" s="18"/>
      <c r="O148" s="18"/>
      <c r="P148" s="18"/>
      <c r="Q148" s="140">
        <v>10</v>
      </c>
      <c r="R148">
        <v>6.4135864135864127</v>
      </c>
      <c r="S148" s="55">
        <v>3.5864135864135864</v>
      </c>
      <c r="T148" s="82">
        <v>76</v>
      </c>
      <c r="U148" s="82" t="s">
        <v>345</v>
      </c>
      <c r="V148" s="83">
        <v>2.4866212499999998</v>
      </c>
      <c r="W148" s="83">
        <v>13.817266823565378</v>
      </c>
      <c r="X148" s="81">
        <v>1.1468769999999999</v>
      </c>
      <c r="Y148" s="81">
        <v>-24.950632079540071</v>
      </c>
      <c r="Z148" s="154" t="s">
        <v>54</v>
      </c>
      <c r="AA148" s="75">
        <v>2.9111787500000004</v>
      </c>
      <c r="AB148" s="75">
        <v>7.1289713486518078</v>
      </c>
      <c r="AC148" s="75">
        <v>2.0592423593750002</v>
      </c>
      <c r="AD148" s="75">
        <v>-26.716135928040213</v>
      </c>
      <c r="AE148" s="75">
        <v>2.375375</v>
      </c>
      <c r="AF148" s="75">
        <v>2.375375</v>
      </c>
      <c r="AG148" s="32">
        <f t="shared" si="86"/>
        <v>2.3009777396870598E-2</v>
      </c>
      <c r="AH148" s="32">
        <f t="shared" si="87"/>
        <v>0.53073405008612418</v>
      </c>
      <c r="AI148" s="33">
        <f t="shared" si="88"/>
        <v>5.7216601432828106E-2</v>
      </c>
      <c r="AJ148" s="34">
        <f t="shared" si="89"/>
        <v>0.6086866751606238</v>
      </c>
      <c r="AK148" s="16">
        <f t="shared" si="90"/>
        <v>8.0804338472114465E-3</v>
      </c>
      <c r="AL148" s="16">
        <f t="shared" si="91"/>
        <v>8.5961981123411066E-2</v>
      </c>
      <c r="AM148" s="27">
        <f t="shared" si="92"/>
        <v>8.080433847211447</v>
      </c>
      <c r="AN148" s="27">
        <f t="shared" si="93"/>
        <v>85.961981123411064</v>
      </c>
      <c r="AO148" s="29" t="e">
        <f t="shared" si="94"/>
        <v>#VALUE!</v>
      </c>
      <c r="AP148" s="29" t="e">
        <f t="shared" si="95"/>
        <v>#VALUE!</v>
      </c>
      <c r="AQ148" s="27">
        <f t="shared" si="96"/>
        <v>10.638287838106178</v>
      </c>
      <c r="AR148" s="14">
        <f t="shared" si="97"/>
        <v>8.6682954749135703</v>
      </c>
      <c r="AS148" s="25">
        <v>0.3678691314984826</v>
      </c>
      <c r="AT148" s="22">
        <f t="shared" si="98"/>
        <v>0.36941671822441602</v>
      </c>
      <c r="AU148" s="22">
        <f t="shared" si="99"/>
        <v>1.5475867259334142E-3</v>
      </c>
      <c r="AV148" s="64"/>
      <c r="AW148" s="64"/>
      <c r="AX148" s="116">
        <f t="shared" si="100"/>
        <v>15.475867259334141</v>
      </c>
      <c r="AY148" s="64"/>
      <c r="AZ148" s="64"/>
      <c r="BA148" s="64"/>
      <c r="BB148" s="64"/>
      <c r="BC148" s="64"/>
      <c r="BD148" s="64"/>
      <c r="BE148" s="14">
        <f t="shared" si="101"/>
        <v>-24.264496151499859</v>
      </c>
      <c r="BF148" s="25">
        <v>1.0824781751878776</v>
      </c>
      <c r="BG148" s="22">
        <f t="shared" si="84"/>
        <v>1.0845426910210554</v>
      </c>
      <c r="BH148" s="38">
        <f t="shared" si="102"/>
        <v>2.0645158331777935E-3</v>
      </c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</row>
    <row r="149" spans="1:74" customFormat="1" ht="15">
      <c r="A149" s="138">
        <v>147</v>
      </c>
      <c r="B149" s="139">
        <v>1</v>
      </c>
      <c r="C149" s="140" t="s">
        <v>415</v>
      </c>
      <c r="D149" s="140" t="s">
        <v>416</v>
      </c>
      <c r="E149" s="140" t="s">
        <v>437</v>
      </c>
      <c r="F149" s="140" t="s">
        <v>480</v>
      </c>
      <c r="G149" s="140"/>
      <c r="H149" s="140" t="s">
        <v>481</v>
      </c>
      <c r="I149" s="140">
        <v>50</v>
      </c>
      <c r="J149" s="140">
        <v>10</v>
      </c>
      <c r="K149" s="140">
        <v>15</v>
      </c>
      <c r="L149" s="140" t="s">
        <v>440</v>
      </c>
      <c r="M149" s="140">
        <v>3</v>
      </c>
      <c r="N149" s="18"/>
      <c r="O149" s="18"/>
      <c r="P149" s="18"/>
      <c r="Q149" s="140">
        <v>10</v>
      </c>
      <c r="R149">
        <v>6.6988352745424296</v>
      </c>
      <c r="S149" s="55">
        <v>3.3011647254575713</v>
      </c>
      <c r="T149" s="80">
        <v>77</v>
      </c>
      <c r="U149" s="80" t="s">
        <v>346</v>
      </c>
      <c r="V149" s="81">
        <v>1.3193563749999999</v>
      </c>
      <c r="W149" s="81">
        <v>23.275114592734116</v>
      </c>
      <c r="X149" s="83">
        <v>0.67470412499999999</v>
      </c>
      <c r="Y149" s="83">
        <v>-25.135107865324237</v>
      </c>
      <c r="Z149" s="154" t="s">
        <v>54</v>
      </c>
      <c r="AA149" s="75">
        <v>2.9111787500000004</v>
      </c>
      <c r="AB149" s="75">
        <v>7.1289713486518078</v>
      </c>
      <c r="AC149" s="75">
        <v>2.0592423593750002</v>
      </c>
      <c r="AD149" s="75">
        <v>-26.716135928040213</v>
      </c>
      <c r="AE149" s="75">
        <v>2.375375</v>
      </c>
      <c r="AF149" s="75">
        <v>2.375375</v>
      </c>
      <c r="AG149" s="32">
        <f t="shared" si="86"/>
        <v>2.3009777396870598E-2</v>
      </c>
      <c r="AH149" s="32">
        <f t="shared" si="87"/>
        <v>0.53073405008612418</v>
      </c>
      <c r="AI149" s="33">
        <f t="shared" si="88"/>
        <v>3.0358096495892127E-2</v>
      </c>
      <c r="AJ149" s="34">
        <f t="shared" si="89"/>
        <v>0.35808845287106456</v>
      </c>
      <c r="AK149" s="16">
        <f t="shared" si="90"/>
        <v>4.0185895576777889E-3</v>
      </c>
      <c r="AL149" s="16">
        <f t="shared" si="91"/>
        <v>4.7401210336997686E-2</v>
      </c>
      <c r="AM149" s="27">
        <f t="shared" si="92"/>
        <v>4.0185895576777888</v>
      </c>
      <c r="AN149" s="27">
        <f t="shared" si="93"/>
        <v>47.401210336997686</v>
      </c>
      <c r="AO149" s="29" t="e">
        <f t="shared" si="94"/>
        <v>#VALUE!</v>
      </c>
      <c r="AP149" s="29" t="e">
        <f t="shared" si="95"/>
        <v>#VALUE!</v>
      </c>
      <c r="AQ149" s="27">
        <f t="shared" si="96"/>
        <v>11.795484374967939</v>
      </c>
      <c r="AR149" s="14">
        <f t="shared" si="97"/>
        <v>18.126143244082307</v>
      </c>
      <c r="AS149" s="25">
        <v>0.3678691314984826</v>
      </c>
      <c r="AT149" s="22">
        <f t="shared" si="98"/>
        <v>0.37286766391668857</v>
      </c>
      <c r="AU149" s="22">
        <f t="shared" si="99"/>
        <v>4.9985324182059698E-3</v>
      </c>
      <c r="AV149" s="64"/>
      <c r="AW149" s="64"/>
      <c r="AX149" s="116">
        <f t="shared" si="100"/>
        <v>49.985324182059699</v>
      </c>
      <c r="AY149" s="64"/>
      <c r="AZ149" s="64"/>
      <c r="BA149" s="64"/>
      <c r="BB149" s="64"/>
      <c r="BC149" s="64"/>
      <c r="BD149" s="64"/>
      <c r="BE149" s="14">
        <f t="shared" si="101"/>
        <v>-24.448971937284025</v>
      </c>
      <c r="BF149" s="25">
        <v>1.0824781751878776</v>
      </c>
      <c r="BG149" s="22">
        <f t="shared" si="84"/>
        <v>1.0843398671970117</v>
      </c>
      <c r="BH149" s="38">
        <f t="shared" si="102"/>
        <v>1.8616920091341083E-3</v>
      </c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</row>
    <row r="150" spans="1:74" customFormat="1" ht="15">
      <c r="A150" s="138">
        <v>148</v>
      </c>
      <c r="B150" s="139">
        <v>1</v>
      </c>
      <c r="C150" s="140" t="s">
        <v>417</v>
      </c>
      <c r="D150" s="140" t="s">
        <v>418</v>
      </c>
      <c r="E150" s="140" t="s">
        <v>437</v>
      </c>
      <c r="F150" s="140" t="s">
        <v>480</v>
      </c>
      <c r="G150" s="140"/>
      <c r="H150" s="140" t="s">
        <v>481</v>
      </c>
      <c r="I150" s="140">
        <v>50</v>
      </c>
      <c r="J150" s="140">
        <v>10</v>
      </c>
      <c r="K150" s="140">
        <v>15</v>
      </c>
      <c r="L150" s="140" t="s">
        <v>441</v>
      </c>
      <c r="M150" s="140">
        <v>3</v>
      </c>
      <c r="N150" s="18"/>
      <c r="O150" s="18"/>
      <c r="P150" s="18"/>
      <c r="Q150" s="140">
        <v>10</v>
      </c>
      <c r="R150">
        <v>6.5700965700965686</v>
      </c>
      <c r="S150" s="55">
        <v>3.4299034299034319</v>
      </c>
      <c r="T150" s="82">
        <v>78</v>
      </c>
      <c r="U150" s="82" t="s">
        <v>347</v>
      </c>
      <c r="V150" s="83">
        <v>2.29418225</v>
      </c>
      <c r="W150" s="83">
        <v>13.386351734888363</v>
      </c>
      <c r="X150" s="81">
        <v>0.99549500000000002</v>
      </c>
      <c r="Y150" s="81">
        <v>-25.109268150276193</v>
      </c>
      <c r="Z150" s="154" t="s">
        <v>54</v>
      </c>
      <c r="AA150" s="75">
        <v>2.9111787500000004</v>
      </c>
      <c r="AB150" s="75">
        <v>7.1289713486518078</v>
      </c>
      <c r="AC150" s="75">
        <v>2.0592423593750002</v>
      </c>
      <c r="AD150" s="75">
        <v>-26.716135928040213</v>
      </c>
      <c r="AE150" s="75">
        <v>2.375375</v>
      </c>
      <c r="AF150" s="75">
        <v>2.375375</v>
      </c>
      <c r="AG150" s="32">
        <f t="shared" si="86"/>
        <v>2.3009777396870598E-2</v>
      </c>
      <c r="AH150" s="32">
        <f t="shared" si="87"/>
        <v>0.53073405008612418</v>
      </c>
      <c r="AI150" s="33">
        <f t="shared" si="88"/>
        <v>5.2788622880351729E-2</v>
      </c>
      <c r="AJ150" s="34">
        <f t="shared" si="89"/>
        <v>0.52834309319048622</v>
      </c>
      <c r="AK150" s="16">
        <f t="shared" si="90"/>
        <v>7.1936650135650823E-3</v>
      </c>
      <c r="AL150" s="16">
        <f t="shared" si="91"/>
        <v>7.1998908424978275E-2</v>
      </c>
      <c r="AM150" s="27">
        <f t="shared" si="92"/>
        <v>7.1936650135650826</v>
      </c>
      <c r="AN150" s="27">
        <f t="shared" si="93"/>
        <v>71.998908424978282</v>
      </c>
      <c r="AO150" s="29" t="e">
        <f t="shared" si="94"/>
        <v>#VALUE!</v>
      </c>
      <c r="AP150" s="29" t="e">
        <f t="shared" si="95"/>
        <v>#VALUE!</v>
      </c>
      <c r="AQ150" s="27">
        <f t="shared" si="96"/>
        <v>10.008654599458001</v>
      </c>
      <c r="AR150" s="14">
        <f t="shared" si="97"/>
        <v>8.2373803862365556</v>
      </c>
      <c r="AS150" s="25">
        <v>0.3678691314984826</v>
      </c>
      <c r="AT150" s="22">
        <f t="shared" si="98"/>
        <v>0.36925948177251766</v>
      </c>
      <c r="AU150" s="22">
        <f t="shared" si="99"/>
        <v>1.3903502740350571E-3</v>
      </c>
      <c r="AV150" s="64"/>
      <c r="AW150" s="64"/>
      <c r="AX150" s="116">
        <f t="shared" si="100"/>
        <v>13.903502740350572</v>
      </c>
      <c r="AY150" s="64"/>
      <c r="AZ150" s="64"/>
      <c r="BA150" s="64"/>
      <c r="BB150" s="64"/>
      <c r="BC150" s="64"/>
      <c r="BD150" s="64"/>
      <c r="BE150" s="14">
        <f t="shared" si="101"/>
        <v>-24.423132222235981</v>
      </c>
      <c r="BF150" s="25">
        <v>1.0824781751878776</v>
      </c>
      <c r="BG150" s="22">
        <f t="shared" si="84"/>
        <v>1.0843682769909424</v>
      </c>
      <c r="BH150" s="38">
        <f t="shared" si="102"/>
        <v>1.8901018030648142E-3</v>
      </c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</row>
    <row r="151" spans="1:74" customFormat="1" ht="15">
      <c r="A151" s="138">
        <v>149</v>
      </c>
      <c r="B151" s="139">
        <v>1</v>
      </c>
      <c r="C151" s="140" t="s">
        <v>419</v>
      </c>
      <c r="D151" s="140" t="s">
        <v>420</v>
      </c>
      <c r="E151" s="140" t="s">
        <v>437</v>
      </c>
      <c r="F151" s="140" t="s">
        <v>480</v>
      </c>
      <c r="G151" s="140"/>
      <c r="H151" s="140" t="s">
        <v>481</v>
      </c>
      <c r="I151" s="140">
        <v>50</v>
      </c>
      <c r="J151" s="140">
        <v>10</v>
      </c>
      <c r="K151" s="140">
        <v>15</v>
      </c>
      <c r="L151" s="140" t="s">
        <v>442</v>
      </c>
      <c r="M151" s="140">
        <v>3</v>
      </c>
      <c r="N151" s="18"/>
      <c r="O151" s="18"/>
      <c r="P151" s="18"/>
      <c r="Q151" s="140">
        <v>10</v>
      </c>
      <c r="R151">
        <v>6.1446582614465832</v>
      </c>
      <c r="S151" s="55">
        <v>3.8553417385534172</v>
      </c>
      <c r="T151" s="80">
        <v>79</v>
      </c>
      <c r="U151" s="80" t="s">
        <v>348</v>
      </c>
      <c r="V151" s="81">
        <v>2.5504715</v>
      </c>
      <c r="W151" s="81">
        <v>14.861810109343438</v>
      </c>
      <c r="X151" s="83">
        <v>1.2854239999999999</v>
      </c>
      <c r="Y151" s="83">
        <v>-25.520493423003902</v>
      </c>
      <c r="Z151" s="154" t="s">
        <v>54</v>
      </c>
      <c r="AA151" s="75">
        <v>2.9111787500000004</v>
      </c>
      <c r="AB151" s="75">
        <v>7.1289713486518078</v>
      </c>
      <c r="AC151" s="75">
        <v>2.0592423593750002</v>
      </c>
      <c r="AD151" s="75">
        <v>-26.716135928040213</v>
      </c>
      <c r="AE151" s="75">
        <v>2.375375</v>
      </c>
      <c r="AF151" s="75">
        <v>2.375375</v>
      </c>
      <c r="AG151" s="32">
        <f t="shared" si="86"/>
        <v>2.3009777396870598E-2</v>
      </c>
      <c r="AH151" s="32">
        <f t="shared" si="87"/>
        <v>0.53073405008612418</v>
      </c>
      <c r="AI151" s="33">
        <f t="shared" si="88"/>
        <v>5.8685781472062645E-2</v>
      </c>
      <c r="AJ151" s="34">
        <f t="shared" si="89"/>
        <v>0.68221828559790598</v>
      </c>
      <c r="AK151" s="16">
        <f t="shared" si="90"/>
        <v>8.82187989299257E-3</v>
      </c>
      <c r="AL151" s="16">
        <f t="shared" si="91"/>
        <v>0.10255376388253616</v>
      </c>
      <c r="AM151" s="27">
        <f t="shared" si="92"/>
        <v>8.8218798929925697</v>
      </c>
      <c r="AN151" s="27">
        <f t="shared" si="93"/>
        <v>102.55376388253616</v>
      </c>
      <c r="AO151" s="29" t="e">
        <f t="shared" si="94"/>
        <v>#VALUE!</v>
      </c>
      <c r="AP151" s="29" t="e">
        <f t="shared" si="95"/>
        <v>#VALUE!</v>
      </c>
      <c r="AQ151" s="27">
        <f t="shared" si="96"/>
        <v>11.624933135169647</v>
      </c>
      <c r="AR151" s="14">
        <f t="shared" si="97"/>
        <v>9.7128387606916302</v>
      </c>
      <c r="AS151" s="25">
        <v>0.3678691314984826</v>
      </c>
      <c r="AT151" s="22">
        <f t="shared" si="98"/>
        <v>0.36979785918911129</v>
      </c>
      <c r="AU151" s="22">
        <f t="shared" si="99"/>
        <v>1.9287276906286843E-3</v>
      </c>
      <c r="AV151" s="64"/>
      <c r="AW151" s="64"/>
      <c r="AX151" s="116">
        <f t="shared" si="100"/>
        <v>19.287276906286845</v>
      </c>
      <c r="AY151" s="64"/>
      <c r="AZ151" s="64"/>
      <c r="BA151" s="64"/>
      <c r="BB151" s="64"/>
      <c r="BC151" s="64"/>
      <c r="BD151" s="64"/>
      <c r="BE151" s="14">
        <f t="shared" si="101"/>
        <v>-24.83435749496369</v>
      </c>
      <c r="BF151" s="25">
        <v>1.0824781751878776</v>
      </c>
      <c r="BG151" s="22">
        <f t="shared" si="84"/>
        <v>1.0839161483478594</v>
      </c>
      <c r="BH151" s="38">
        <f t="shared" si="102"/>
        <v>1.4379731599818424E-3</v>
      </c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</row>
    <row r="152" spans="1:74" customFormat="1" ht="15">
      <c r="A152" s="138">
        <v>150</v>
      </c>
      <c r="B152" s="139">
        <v>1</v>
      </c>
      <c r="C152" s="140" t="s">
        <v>421</v>
      </c>
      <c r="D152" s="140" t="s">
        <v>422</v>
      </c>
      <c r="E152" s="140" t="s">
        <v>437</v>
      </c>
      <c r="F152" s="140" t="s">
        <v>480</v>
      </c>
      <c r="G152" s="140"/>
      <c r="H152" s="140" t="s">
        <v>481</v>
      </c>
      <c r="I152" s="140">
        <v>50</v>
      </c>
      <c r="J152" s="140">
        <v>10</v>
      </c>
      <c r="K152" s="140">
        <v>15</v>
      </c>
      <c r="L152" s="140" t="s">
        <v>443</v>
      </c>
      <c r="M152" s="140">
        <v>3</v>
      </c>
      <c r="N152" s="18"/>
      <c r="O152" s="18"/>
      <c r="P152" s="18"/>
      <c r="Q152" s="140">
        <v>10</v>
      </c>
      <c r="R152">
        <v>6.2967870155680679</v>
      </c>
      <c r="S152" s="55">
        <v>3.7032129844319317</v>
      </c>
      <c r="T152" s="82">
        <v>80</v>
      </c>
      <c r="U152" s="82" t="s">
        <v>349</v>
      </c>
      <c r="V152" s="83">
        <v>3.3193917499999999</v>
      </c>
      <c r="W152" s="83">
        <v>11.761535839635888</v>
      </c>
      <c r="X152" s="81">
        <v>1.6739961249999999</v>
      </c>
      <c r="Y152" s="81">
        <v>-25.678454603552964</v>
      </c>
      <c r="Z152" s="154" t="s">
        <v>54</v>
      </c>
      <c r="AA152" s="75">
        <v>2.9111787500000004</v>
      </c>
      <c r="AB152" s="75">
        <v>7.1289713486518078</v>
      </c>
      <c r="AC152" s="75">
        <v>2.0592423593750002</v>
      </c>
      <c r="AD152" s="75">
        <v>-26.716135928040213</v>
      </c>
      <c r="AE152" s="75">
        <v>2.375375</v>
      </c>
      <c r="AF152" s="75">
        <v>2.375375</v>
      </c>
      <c r="AG152" s="32">
        <f t="shared" si="86"/>
        <v>2.3009777396870598E-2</v>
      </c>
      <c r="AH152" s="32">
        <f t="shared" si="87"/>
        <v>0.53073405008612418</v>
      </c>
      <c r="AI152" s="33">
        <f t="shared" si="88"/>
        <v>7.6378465260508732E-2</v>
      </c>
      <c r="AJ152" s="34">
        <f t="shared" si="89"/>
        <v>0.88844674324972772</v>
      </c>
      <c r="AK152" s="16">
        <f t="shared" si="90"/>
        <v>1.1081105059888645E-2</v>
      </c>
      <c r="AL152" s="16">
        <f t="shared" si="91"/>
        <v>0.12889721819477903</v>
      </c>
      <c r="AM152" s="27">
        <f t="shared" si="92"/>
        <v>11.081105059888646</v>
      </c>
      <c r="AN152" s="27">
        <f t="shared" si="93"/>
        <v>128.89721819477904</v>
      </c>
      <c r="AO152" s="29" t="e">
        <f t="shared" si="94"/>
        <v>#VALUE!</v>
      </c>
      <c r="AP152" s="29" t="e">
        <f t="shared" si="95"/>
        <v>#VALUE!</v>
      </c>
      <c r="AQ152" s="27">
        <f t="shared" si="96"/>
        <v>11.63216281211527</v>
      </c>
      <c r="AR152" s="14">
        <f t="shared" si="97"/>
        <v>6.6125644909840808</v>
      </c>
      <c r="AS152" s="25">
        <v>0.3678691314984826</v>
      </c>
      <c r="AT152" s="22">
        <f t="shared" si="98"/>
        <v>0.36866659882043828</v>
      </c>
      <c r="AU152" s="22">
        <f t="shared" si="99"/>
        <v>7.9746732195568049E-4</v>
      </c>
      <c r="AV152" s="64"/>
      <c r="AW152" s="64"/>
      <c r="AX152" s="116">
        <f t="shared" si="100"/>
        <v>7.9746732195568049</v>
      </c>
      <c r="AY152" s="64"/>
      <c r="AZ152" s="64"/>
      <c r="BA152" s="64"/>
      <c r="BB152" s="64"/>
      <c r="BC152" s="64"/>
      <c r="BD152" s="64"/>
      <c r="BE152" s="14">
        <f t="shared" si="101"/>
        <v>-24.992318675512752</v>
      </c>
      <c r="BF152" s="25">
        <v>1.0824781751878776</v>
      </c>
      <c r="BG152" s="22">
        <f t="shared" si="84"/>
        <v>1.0837424741337529</v>
      </c>
      <c r="BH152" s="38">
        <f t="shared" si="102"/>
        <v>1.2642989458753195E-3</v>
      </c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</row>
    <row r="153" spans="1:74" customFormat="1" ht="15">
      <c r="A153" s="138">
        <v>151</v>
      </c>
      <c r="B153" s="139">
        <v>1</v>
      </c>
      <c r="C153" s="140" t="s">
        <v>423</v>
      </c>
      <c r="D153" s="140" t="s">
        <v>424</v>
      </c>
      <c r="E153" s="140" t="s">
        <v>437</v>
      </c>
      <c r="F153" s="140" t="s">
        <v>480</v>
      </c>
      <c r="G153" s="140"/>
      <c r="H153" s="140" t="s">
        <v>481</v>
      </c>
      <c r="I153" s="140">
        <v>50</v>
      </c>
      <c r="J153" s="140">
        <v>10</v>
      </c>
      <c r="K153" s="140">
        <v>15</v>
      </c>
      <c r="L153" s="140" t="s">
        <v>444</v>
      </c>
      <c r="M153" s="140">
        <v>3</v>
      </c>
      <c r="N153" s="18"/>
      <c r="O153" s="18"/>
      <c r="P153" s="18"/>
      <c r="Q153" s="140">
        <v>10</v>
      </c>
      <c r="R153">
        <v>6.3482023968042611</v>
      </c>
      <c r="S153" s="55">
        <v>3.6517976031957389</v>
      </c>
      <c r="T153" s="80">
        <v>81</v>
      </c>
      <c r="U153" s="80" t="s">
        <v>350</v>
      </c>
      <c r="V153" s="81">
        <v>7.0501984999999996</v>
      </c>
      <c r="W153" s="81">
        <v>5.186349704887423</v>
      </c>
      <c r="X153" s="83">
        <v>3.1417107500000001</v>
      </c>
      <c r="Y153" s="83">
        <v>-26.124315684547394</v>
      </c>
      <c r="Z153" s="154" t="s">
        <v>54</v>
      </c>
      <c r="AA153" s="75">
        <v>2.9111787500000004</v>
      </c>
      <c r="AB153" s="75">
        <v>7.1289713486518078</v>
      </c>
      <c r="AC153" s="75">
        <v>2.0592423593750002</v>
      </c>
      <c r="AD153" s="75">
        <v>-26.716135928040213</v>
      </c>
      <c r="AE153" s="75">
        <v>2.375375</v>
      </c>
      <c r="AF153" s="75">
        <v>2.375375</v>
      </c>
      <c r="AG153" s="32">
        <f t="shared" si="86"/>
        <v>2.3009777396870598E-2</v>
      </c>
      <c r="AH153" s="32">
        <f t="shared" si="87"/>
        <v>0.53073405008612418</v>
      </c>
      <c r="AI153" s="33">
        <f t="shared" si="88"/>
        <v>0.16222349808875097</v>
      </c>
      <c r="AJ153" s="34">
        <f t="shared" si="89"/>
        <v>1.6674128705466149</v>
      </c>
      <c r="AK153" s="16">
        <f t="shared" si="90"/>
        <v>2.3257422326934722E-2</v>
      </c>
      <c r="AL153" s="16">
        <f t="shared" si="91"/>
        <v>0.23905122118901129</v>
      </c>
      <c r="AM153" s="27">
        <f t="shared" si="92"/>
        <v>23.257422326934723</v>
      </c>
      <c r="AN153" s="27">
        <f t="shared" si="93"/>
        <v>239.0512211890113</v>
      </c>
      <c r="AO153" s="29" t="e">
        <f t="shared" si="94"/>
        <v>#VALUE!</v>
      </c>
      <c r="AP153" s="29" t="e">
        <f t="shared" si="95"/>
        <v>#VALUE!</v>
      </c>
      <c r="AQ153" s="27">
        <f t="shared" si="96"/>
        <v>10.278491650046831</v>
      </c>
      <c r="AR153" s="14">
        <f t="shared" si="97"/>
        <v>3.7378356235615584E-2</v>
      </c>
      <c r="AS153" s="25">
        <v>0.3678691314984826</v>
      </c>
      <c r="AT153" s="22">
        <f t="shared" si="98"/>
        <v>0.3662672913944211</v>
      </c>
      <c r="AU153" s="22">
        <f t="shared" si="99"/>
        <v>-1.6018401040615027E-3</v>
      </c>
      <c r="AV153" s="64"/>
      <c r="AW153" s="64"/>
      <c r="AX153" s="116">
        <f t="shared" si="100"/>
        <v>-16.018401040615025</v>
      </c>
      <c r="AY153" s="64"/>
      <c r="AZ153" s="64"/>
      <c r="BA153" s="64"/>
      <c r="BB153" s="64"/>
      <c r="BC153" s="64"/>
      <c r="BD153" s="64"/>
      <c r="BE153" s="14">
        <f t="shared" si="101"/>
        <v>-25.438179756507182</v>
      </c>
      <c r="BF153" s="25">
        <v>1.0824781751878776</v>
      </c>
      <c r="BG153" s="22">
        <f t="shared" si="84"/>
        <v>1.0832522581687478</v>
      </c>
      <c r="BH153" s="38">
        <f t="shared" si="102"/>
        <v>7.7408298087022764E-4</v>
      </c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</row>
    <row r="154" spans="1:74" customFormat="1" ht="15">
      <c r="A154" s="138">
        <v>152</v>
      </c>
      <c r="B154" s="139">
        <v>1</v>
      </c>
      <c r="C154" s="140" t="s">
        <v>425</v>
      </c>
      <c r="D154" s="140" t="s">
        <v>426</v>
      </c>
      <c r="E154" s="140" t="s">
        <v>437</v>
      </c>
      <c r="F154" s="140" t="s">
        <v>480</v>
      </c>
      <c r="G154" s="140"/>
      <c r="H154" s="140" t="s">
        <v>481</v>
      </c>
      <c r="I154" s="140">
        <v>50</v>
      </c>
      <c r="J154" s="140">
        <v>10</v>
      </c>
      <c r="K154" s="140">
        <v>15</v>
      </c>
      <c r="L154" s="140" t="s">
        <v>445</v>
      </c>
      <c r="M154" s="140">
        <v>3</v>
      </c>
      <c r="N154" s="18"/>
      <c r="O154" s="18"/>
      <c r="P154" s="18"/>
      <c r="Q154" s="140">
        <v>10</v>
      </c>
      <c r="R154">
        <v>6.6788200198873042</v>
      </c>
      <c r="S154" s="55">
        <v>3.3211799801126958</v>
      </c>
      <c r="T154" s="80">
        <v>83</v>
      </c>
      <c r="U154" s="80" t="s">
        <v>352</v>
      </c>
      <c r="V154" s="81">
        <v>4.1734987500000003</v>
      </c>
      <c r="W154" s="81">
        <v>8.2264204190502248</v>
      </c>
      <c r="X154" s="83">
        <v>2.2512222500000001</v>
      </c>
      <c r="Y154" s="83">
        <v>-25.614568856335474</v>
      </c>
      <c r="Z154" s="154" t="s">
        <v>54</v>
      </c>
      <c r="AA154" s="75">
        <v>2.9111787500000004</v>
      </c>
      <c r="AB154" s="75">
        <v>7.1289713486518078</v>
      </c>
      <c r="AC154" s="75">
        <v>2.0592423593750002</v>
      </c>
      <c r="AD154" s="75">
        <v>-26.716135928040213</v>
      </c>
      <c r="AE154" s="75">
        <v>2.375375</v>
      </c>
      <c r="AF154" s="75">
        <v>2.375375</v>
      </c>
      <c r="AG154" s="32">
        <f t="shared" si="86"/>
        <v>2.3009777396870598E-2</v>
      </c>
      <c r="AH154" s="32">
        <f t="shared" si="87"/>
        <v>0.53073405008612418</v>
      </c>
      <c r="AI154" s="33">
        <f t="shared" si="88"/>
        <v>9.6031277203617704E-2</v>
      </c>
      <c r="AJ154" s="34">
        <f t="shared" si="89"/>
        <v>1.1948003023864973</v>
      </c>
      <c r="AK154" s="16">
        <f t="shared" si="90"/>
        <v>1.2769220945619178E-2</v>
      </c>
      <c r="AL154" s="16">
        <f t="shared" si="91"/>
        <v>0.15887187478217812</v>
      </c>
      <c r="AM154" s="27">
        <f t="shared" si="92"/>
        <v>12.769220945619178</v>
      </c>
      <c r="AN154" s="27">
        <f t="shared" si="93"/>
        <v>158.87187478217811</v>
      </c>
      <c r="AO154" s="29" t="e">
        <f t="shared" si="94"/>
        <v>#VALUE!</v>
      </c>
      <c r="AP154" s="29" t="e">
        <f t="shared" si="95"/>
        <v>#VALUE!</v>
      </c>
      <c r="AQ154" s="27">
        <f t="shared" si="96"/>
        <v>12.441782898014884</v>
      </c>
      <c r="AR154" s="14">
        <f t="shared" si="97"/>
        <v>3.0774490703984174</v>
      </c>
      <c r="AS154" s="25">
        <v>0.3678691314984826</v>
      </c>
      <c r="AT154" s="22">
        <f t="shared" si="98"/>
        <v>0.36737663773525164</v>
      </c>
      <c r="AU154" s="22">
        <f t="shared" si="99"/>
        <v>-4.9249376323096117E-4</v>
      </c>
      <c r="AV154" s="64"/>
      <c r="AW154" s="64"/>
      <c r="AX154" s="116">
        <f t="shared" si="100"/>
        <v>-4.9249376323096117</v>
      </c>
      <c r="AY154" s="64"/>
      <c r="AZ154" s="64"/>
      <c r="BA154" s="64"/>
      <c r="BB154" s="64"/>
      <c r="BC154" s="64"/>
      <c r="BD154" s="64"/>
      <c r="BE154" s="14">
        <f t="shared" si="101"/>
        <v>-24.928432928295262</v>
      </c>
      <c r="BF154" s="25">
        <v>1.0824781751878776</v>
      </c>
      <c r="BG154" s="22">
        <f t="shared" si="84"/>
        <v>1.0838127149264849</v>
      </c>
      <c r="BH154" s="38">
        <f t="shared" si="102"/>
        <v>1.3345397386073099E-3</v>
      </c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</row>
    <row r="155" spans="1:74" customFormat="1" ht="15">
      <c r="A155" s="138">
        <v>153</v>
      </c>
      <c r="B155" s="139">
        <v>2</v>
      </c>
      <c r="C155" s="140" t="s">
        <v>408</v>
      </c>
      <c r="D155" s="140" t="s">
        <v>426</v>
      </c>
      <c r="E155" s="140" t="s">
        <v>437</v>
      </c>
      <c r="F155" s="140" t="s">
        <v>480</v>
      </c>
      <c r="G155" s="140"/>
      <c r="H155" s="140" t="s">
        <v>482</v>
      </c>
      <c r="I155" s="140">
        <v>100</v>
      </c>
      <c r="J155" s="140">
        <v>10</v>
      </c>
      <c r="K155" s="140">
        <v>15</v>
      </c>
      <c r="L155" s="140" t="s">
        <v>446</v>
      </c>
      <c r="M155" s="140">
        <v>3</v>
      </c>
      <c r="N155" s="18"/>
      <c r="O155" s="18"/>
      <c r="P155" s="18"/>
      <c r="Q155" s="140">
        <v>10</v>
      </c>
      <c r="R155">
        <v>7.2268349385586195</v>
      </c>
      <c r="S155" s="55">
        <v>2.773165061441381</v>
      </c>
      <c r="T155" s="82">
        <v>84</v>
      </c>
      <c r="U155" s="82" t="s">
        <v>353</v>
      </c>
      <c r="V155" s="83">
        <v>0.630446375</v>
      </c>
      <c r="W155" s="83">
        <v>7257.4136827089515</v>
      </c>
      <c r="X155" s="81">
        <v>0.35023975000000002</v>
      </c>
      <c r="Y155" s="81">
        <v>351.92844193120823</v>
      </c>
      <c r="Z155" s="154" t="s">
        <v>54</v>
      </c>
      <c r="AA155" s="75">
        <v>2.9111787500000004</v>
      </c>
      <c r="AB155" s="75">
        <v>7.1289713486518078</v>
      </c>
      <c r="AC155" s="75">
        <v>2.0592423593750002</v>
      </c>
      <c r="AD155" s="75">
        <v>-26.716135928040213</v>
      </c>
      <c r="AE155" s="75">
        <v>2.375375</v>
      </c>
      <c r="AF155" s="75">
        <v>2.375375</v>
      </c>
      <c r="AG155" s="32">
        <f t="shared" si="86"/>
        <v>2.3009777396870598E-2</v>
      </c>
      <c r="AH155" s="32">
        <f t="shared" si="87"/>
        <v>0.53073405008612418</v>
      </c>
      <c r="AI155" s="33">
        <f t="shared" si="88"/>
        <v>1.4506430749414004E-2</v>
      </c>
      <c r="AJ155" s="34">
        <f t="shared" si="89"/>
        <v>0.18588416101865163</v>
      </c>
      <c r="AK155" s="16">
        <f t="shared" si="90"/>
        <v>1.7093055349952893E-3</v>
      </c>
      <c r="AL155" s="16">
        <f t="shared" si="91"/>
        <v>2.1902894708263908E-2</v>
      </c>
      <c r="AM155" s="27">
        <f t="shared" si="92"/>
        <v>1.7093055349952893</v>
      </c>
      <c r="AN155" s="27">
        <f t="shared" si="93"/>
        <v>21.902894708263908</v>
      </c>
      <c r="AO155" s="29" t="e">
        <f t="shared" si="94"/>
        <v>#VALUE!</v>
      </c>
      <c r="AP155" s="29" t="e">
        <f t="shared" si="95"/>
        <v>#VALUE!</v>
      </c>
      <c r="AQ155" s="27">
        <f t="shared" si="96"/>
        <v>12.813914341138707</v>
      </c>
      <c r="AR155" s="14">
        <f t="shared" si="97"/>
        <v>7252.2647113602998</v>
      </c>
      <c r="AS155" s="25">
        <v>0.3678691314984826</v>
      </c>
      <c r="AT155" s="22">
        <f t="shared" si="98"/>
        <v>2.9442186772190593</v>
      </c>
      <c r="AU155" s="22">
        <f t="shared" si="99"/>
        <v>2.5763495457205767</v>
      </c>
      <c r="AV155" s="64"/>
      <c r="AW155" s="64"/>
      <c r="AX155" s="116">
        <f t="shared" si="100"/>
        <v>25763.495457205769</v>
      </c>
      <c r="AY155" s="64"/>
      <c r="AZ155" s="64"/>
      <c r="BA155" s="64"/>
      <c r="BB155" s="64"/>
      <c r="BC155" s="64"/>
      <c r="BD155" s="64"/>
      <c r="BE155" s="14">
        <f t="shared" si="101"/>
        <v>352.61457785924841</v>
      </c>
      <c r="BF155" s="25">
        <v>1.0824781751878776</v>
      </c>
      <c r="BG155" s="22">
        <f t="shared" si="84"/>
        <v>1.4971769151220415</v>
      </c>
      <c r="BH155" s="38">
        <f t="shared" si="102"/>
        <v>0.41469873993416395</v>
      </c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</row>
    <row r="156" spans="1:74" customFormat="1" ht="15">
      <c r="A156" s="138">
        <v>154</v>
      </c>
      <c r="B156" s="139">
        <v>2</v>
      </c>
      <c r="C156" s="140" t="s">
        <v>413</v>
      </c>
      <c r="D156" s="140" t="s">
        <v>418</v>
      </c>
      <c r="E156" s="140" t="s">
        <v>437</v>
      </c>
      <c r="F156" s="140" t="s">
        <v>480</v>
      </c>
      <c r="G156" s="140"/>
      <c r="H156" s="140" t="s">
        <v>482</v>
      </c>
      <c r="I156" s="140">
        <v>100</v>
      </c>
      <c r="J156" s="140">
        <v>10</v>
      </c>
      <c r="K156" s="140">
        <v>15</v>
      </c>
      <c r="L156" s="140" t="s">
        <v>447</v>
      </c>
      <c r="M156" s="140">
        <v>3</v>
      </c>
      <c r="N156" s="18"/>
      <c r="O156" s="18"/>
      <c r="P156" s="18"/>
      <c r="Q156" s="140">
        <v>10</v>
      </c>
      <c r="R156">
        <v>6.7109634551495025</v>
      </c>
      <c r="S156" s="55">
        <v>3.2890365448504983</v>
      </c>
      <c r="T156" s="80">
        <v>85</v>
      </c>
      <c r="U156" s="80" t="s">
        <v>354</v>
      </c>
      <c r="V156" s="81">
        <v>0.42552071875000003</v>
      </c>
      <c r="W156" s="81">
        <v>646.5493634210726</v>
      </c>
      <c r="X156" s="83">
        <v>0.181785671875</v>
      </c>
      <c r="Y156" s="83">
        <v>8.980863660842541</v>
      </c>
      <c r="Z156" s="154" t="s">
        <v>54</v>
      </c>
      <c r="AA156" s="75">
        <v>2.9111787500000004</v>
      </c>
      <c r="AB156" s="75">
        <v>7.1289713486518078</v>
      </c>
      <c r="AC156" s="75">
        <v>2.0592423593750002</v>
      </c>
      <c r="AD156" s="75">
        <v>-26.716135928040213</v>
      </c>
      <c r="AE156" s="75">
        <v>2.375375</v>
      </c>
      <c r="AF156" s="75">
        <v>2.375375</v>
      </c>
      <c r="AG156" s="32">
        <f t="shared" si="86"/>
        <v>2.3009777396870598E-2</v>
      </c>
      <c r="AH156" s="32">
        <f t="shared" si="87"/>
        <v>0.53073405008612418</v>
      </c>
      <c r="AI156" s="33">
        <f t="shared" si="88"/>
        <v>9.7911370161938814E-3</v>
      </c>
      <c r="AJ156" s="34">
        <f t="shared" si="89"/>
        <v>9.647984588184598E-2</v>
      </c>
      <c r="AK156" s="16">
        <f t="shared" si="90"/>
        <v>1.2925593420717993E-3</v>
      </c>
      <c r="AL156" s="16">
        <f t="shared" si="91"/>
        <v>1.2736613317735441E-2</v>
      </c>
      <c r="AM156" s="27">
        <f t="shared" si="92"/>
        <v>1.2925593420717993</v>
      </c>
      <c r="AN156" s="27">
        <f t="shared" si="93"/>
        <v>12.736613317735442</v>
      </c>
      <c r="AO156" s="29" t="e">
        <f t="shared" si="94"/>
        <v>#VALUE!</v>
      </c>
      <c r="AP156" s="29" t="e">
        <f t="shared" si="95"/>
        <v>#VALUE!</v>
      </c>
      <c r="AQ156" s="27">
        <f t="shared" si="96"/>
        <v>9.8537938670733354</v>
      </c>
      <c r="AR156" s="14">
        <f t="shared" si="97"/>
        <v>641.4003920724208</v>
      </c>
      <c r="AS156" s="25">
        <v>0.3678691314984826</v>
      </c>
      <c r="AT156" s="22">
        <f t="shared" si="98"/>
        <v>0.59975995977287078</v>
      </c>
      <c r="AU156" s="22">
        <f t="shared" si="99"/>
        <v>0.23189082827438817</v>
      </c>
      <c r="AV156" s="64"/>
      <c r="AW156" s="64"/>
      <c r="AX156" s="116">
        <f t="shared" si="100"/>
        <v>2318.908282743882</v>
      </c>
      <c r="AY156" s="64"/>
      <c r="AZ156" s="64"/>
      <c r="BA156" s="64"/>
      <c r="BB156" s="64"/>
      <c r="BC156" s="64"/>
      <c r="BD156" s="64"/>
      <c r="BE156" s="14">
        <f t="shared" si="101"/>
        <v>9.6669995888827529</v>
      </c>
      <c r="BF156" s="25">
        <v>1.0824781751878776</v>
      </c>
      <c r="BG156" s="22">
        <f t="shared" si="84"/>
        <v>1.121834886059927</v>
      </c>
      <c r="BH156" s="38">
        <f t="shared" si="102"/>
        <v>3.9356710872049394E-2</v>
      </c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</row>
    <row r="157" spans="1:74" customFormat="1" ht="15">
      <c r="A157" s="138">
        <v>155</v>
      </c>
      <c r="B157" s="139">
        <v>2</v>
      </c>
      <c r="C157" s="140" t="s">
        <v>415</v>
      </c>
      <c r="D157" s="140" t="s">
        <v>416</v>
      </c>
      <c r="E157" s="140" t="s">
        <v>437</v>
      </c>
      <c r="F157" s="140" t="s">
        <v>480</v>
      </c>
      <c r="G157" s="140"/>
      <c r="H157" s="140" t="s">
        <v>482</v>
      </c>
      <c r="I157" s="140">
        <v>100</v>
      </c>
      <c r="J157" s="140">
        <v>10</v>
      </c>
      <c r="K157" s="140">
        <v>15</v>
      </c>
      <c r="L157" s="140" t="s">
        <v>448</v>
      </c>
      <c r="M157" s="140">
        <v>3</v>
      </c>
      <c r="N157" s="18"/>
      <c r="O157" s="18"/>
      <c r="P157" s="18"/>
      <c r="Q157" s="140">
        <v>10</v>
      </c>
      <c r="R157">
        <v>6.2877030162412986</v>
      </c>
      <c r="S157" s="55">
        <v>3.7122969837587014</v>
      </c>
      <c r="T157" s="82">
        <v>86</v>
      </c>
      <c r="U157" s="82" t="s">
        <v>355</v>
      </c>
      <c r="V157" s="83">
        <v>0.77774068750000003</v>
      </c>
      <c r="W157" s="83">
        <v>2654.0944566187559</v>
      </c>
      <c r="X157" s="81">
        <v>0.37642562499999999</v>
      </c>
      <c r="Y157" s="81">
        <v>96.200853864567719</v>
      </c>
      <c r="Z157" s="154" t="s">
        <v>54</v>
      </c>
      <c r="AA157" s="75">
        <v>2.9111787500000004</v>
      </c>
      <c r="AB157" s="75">
        <v>7.1289713486518078</v>
      </c>
      <c r="AC157" s="75">
        <v>2.0592423593750002</v>
      </c>
      <c r="AD157" s="75">
        <v>-26.716135928040213</v>
      </c>
      <c r="AE157" s="75">
        <v>2.375375</v>
      </c>
      <c r="AF157" s="75">
        <v>2.375375</v>
      </c>
      <c r="AG157" s="32">
        <f t="shared" si="86"/>
        <v>2.3009777396870598E-2</v>
      </c>
      <c r="AH157" s="32">
        <f t="shared" si="87"/>
        <v>0.53073405008612418</v>
      </c>
      <c r="AI157" s="33">
        <f t="shared" si="88"/>
        <v>1.7895640091864101E-2</v>
      </c>
      <c r="AJ157" s="34">
        <f t="shared" si="89"/>
        <v>0.1997818965124506</v>
      </c>
      <c r="AK157" s="16">
        <f t="shared" si="90"/>
        <v>2.6018015484112387E-3</v>
      </c>
      <c r="AL157" s="16">
        <f t="shared" si="91"/>
        <v>2.9045781264171788E-2</v>
      </c>
      <c r="AM157" s="27">
        <f t="shared" si="92"/>
        <v>2.6018015484112387</v>
      </c>
      <c r="AN157" s="27">
        <f t="shared" si="93"/>
        <v>29.045781264171787</v>
      </c>
      <c r="AO157" s="29" t="e">
        <f t="shared" si="94"/>
        <v>#VALUE!</v>
      </c>
      <c r="AP157" s="29" t="e">
        <f t="shared" si="95"/>
        <v>#VALUE!</v>
      </c>
      <c r="AQ157" s="27">
        <f t="shared" si="96"/>
        <v>11.163718955393916</v>
      </c>
      <c r="AR157" s="14">
        <f t="shared" si="97"/>
        <v>2648.9454852701042</v>
      </c>
      <c r="AS157" s="25">
        <v>0.3678691314984826</v>
      </c>
      <c r="AT157" s="22">
        <f t="shared" si="98"/>
        <v>1.3235982440960892</v>
      </c>
      <c r="AU157" s="22">
        <f t="shared" si="99"/>
        <v>0.95572911259760662</v>
      </c>
      <c r="AV157" s="64"/>
      <c r="AW157" s="64"/>
      <c r="AX157" s="116">
        <f t="shared" si="100"/>
        <v>9557.2911259760658</v>
      </c>
      <c r="AY157" s="64"/>
      <c r="AZ157" s="64"/>
      <c r="BA157" s="64"/>
      <c r="BB157" s="64"/>
      <c r="BC157" s="64"/>
      <c r="BD157" s="64"/>
      <c r="BE157" s="14">
        <f t="shared" si="101"/>
        <v>96.886989792607935</v>
      </c>
      <c r="BF157" s="25">
        <v>1.0824781751878776</v>
      </c>
      <c r="BG157" s="22">
        <f t="shared" si="84"/>
        <v>1.2175645517734419</v>
      </c>
      <c r="BH157" s="38">
        <f t="shared" si="102"/>
        <v>0.13508637658556433</v>
      </c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</row>
    <row r="158" spans="1:74" customFormat="1" ht="15">
      <c r="A158" s="138">
        <v>156</v>
      </c>
      <c r="B158" s="139">
        <v>2</v>
      </c>
      <c r="C158" s="140" t="s">
        <v>417</v>
      </c>
      <c r="D158" s="140" t="s">
        <v>422</v>
      </c>
      <c r="E158" s="140" t="s">
        <v>437</v>
      </c>
      <c r="F158" s="140" t="s">
        <v>480</v>
      </c>
      <c r="G158" s="140"/>
      <c r="H158" s="140" t="s">
        <v>482</v>
      </c>
      <c r="I158" s="140">
        <v>100</v>
      </c>
      <c r="J158" s="140">
        <v>10</v>
      </c>
      <c r="K158" s="140">
        <v>15</v>
      </c>
      <c r="L158" s="140" t="s">
        <v>449</v>
      </c>
      <c r="M158" s="140">
        <v>3</v>
      </c>
      <c r="N158" s="18"/>
      <c r="O158" s="18"/>
      <c r="P158" s="18"/>
      <c r="Q158" s="140">
        <v>10</v>
      </c>
      <c r="R158">
        <v>6.9192422731804584</v>
      </c>
      <c r="S158" s="55">
        <v>3.0807577268195416</v>
      </c>
      <c r="T158" s="80">
        <v>87</v>
      </c>
      <c r="U158" s="80" t="s">
        <v>356</v>
      </c>
      <c r="V158" s="81">
        <v>1.408279375</v>
      </c>
      <c r="W158" s="81">
        <v>1452.3555755124275</v>
      </c>
      <c r="X158" s="83">
        <v>0.69073062500000004</v>
      </c>
      <c r="Y158" s="83">
        <v>30.991483556746555</v>
      </c>
      <c r="Z158" s="154" t="s">
        <v>54</v>
      </c>
      <c r="AA158" s="75">
        <v>2.9111787500000004</v>
      </c>
      <c r="AB158" s="75">
        <v>7.1289713486518078</v>
      </c>
      <c r="AC158" s="75">
        <v>2.0592423593750002</v>
      </c>
      <c r="AD158" s="75">
        <v>-26.716135928040213</v>
      </c>
      <c r="AE158" s="75">
        <v>2.375375</v>
      </c>
      <c r="AF158" s="75">
        <v>2.375375</v>
      </c>
      <c r="AG158" s="32">
        <f t="shared" si="86"/>
        <v>2.3009777396870598E-2</v>
      </c>
      <c r="AH158" s="32">
        <f t="shared" si="87"/>
        <v>0.53073405008612418</v>
      </c>
      <c r="AI158" s="33">
        <f t="shared" si="88"/>
        <v>3.2404194931354054E-2</v>
      </c>
      <c r="AJ158" s="34">
        <f t="shared" si="89"/>
        <v>0.36659426212476987</v>
      </c>
      <c r="AK158" s="16">
        <f t="shared" si="90"/>
        <v>4.083986911617341E-3</v>
      </c>
      <c r="AL158" s="16">
        <f t="shared" si="91"/>
        <v>4.620285032734852E-2</v>
      </c>
      <c r="AM158" s="27">
        <f t="shared" si="92"/>
        <v>4.0839869116173411</v>
      </c>
      <c r="AN158" s="27">
        <f t="shared" si="93"/>
        <v>46.202850327348521</v>
      </c>
      <c r="AO158" s="29" t="e">
        <f t="shared" si="94"/>
        <v>#VALUE!</v>
      </c>
      <c r="AP158" s="29" t="e">
        <f t="shared" si="95"/>
        <v>#VALUE!</v>
      </c>
      <c r="AQ158" s="27">
        <f t="shared" si="96"/>
        <v>11.313172967307885</v>
      </c>
      <c r="AR158" s="14">
        <f t="shared" si="97"/>
        <v>1447.2066041637756</v>
      </c>
      <c r="AS158" s="25">
        <v>0.3678691314984826</v>
      </c>
      <c r="AT158" s="22">
        <f t="shared" si="98"/>
        <v>0.89157262148107452</v>
      </c>
      <c r="AU158" s="22">
        <f t="shared" si="99"/>
        <v>0.52370348998259186</v>
      </c>
      <c r="AV158" s="64"/>
      <c r="AW158" s="64"/>
      <c r="AX158" s="116">
        <f t="shared" si="100"/>
        <v>5237.0348998259178</v>
      </c>
      <c r="AY158" s="64"/>
      <c r="AZ158" s="64"/>
      <c r="BA158" s="64"/>
      <c r="BB158" s="64"/>
      <c r="BC158" s="64"/>
      <c r="BD158" s="64"/>
      <c r="BE158" s="14">
        <f t="shared" si="101"/>
        <v>31.677619484786767</v>
      </c>
      <c r="BF158" s="25">
        <v>1.0824781751878776</v>
      </c>
      <c r="BG158" s="22">
        <f t="shared" si="84"/>
        <v>1.146010485678951</v>
      </c>
      <c r="BH158" s="38">
        <f t="shared" si="102"/>
        <v>6.353231049107344E-2</v>
      </c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</row>
    <row r="159" spans="1:74" customFormat="1" ht="15">
      <c r="A159" s="138">
        <v>157</v>
      </c>
      <c r="B159" s="139">
        <v>2</v>
      </c>
      <c r="C159" s="140" t="s">
        <v>419</v>
      </c>
      <c r="D159" s="140" t="s">
        <v>409</v>
      </c>
      <c r="E159" s="140" t="s">
        <v>437</v>
      </c>
      <c r="F159" s="140" t="s">
        <v>480</v>
      </c>
      <c r="G159" s="140"/>
      <c r="H159" s="140" t="s">
        <v>482</v>
      </c>
      <c r="I159" s="140">
        <v>100</v>
      </c>
      <c r="J159" s="140">
        <v>10</v>
      </c>
      <c r="K159" s="140">
        <v>15</v>
      </c>
      <c r="L159" s="140" t="s">
        <v>450</v>
      </c>
      <c r="M159" s="140">
        <v>3</v>
      </c>
      <c r="N159" s="18"/>
      <c r="O159" s="18"/>
      <c r="P159" s="18"/>
      <c r="Q159" s="140">
        <v>10</v>
      </c>
      <c r="R159">
        <v>6.6079734219269115</v>
      </c>
      <c r="S159" s="55">
        <v>3.3920265780730894</v>
      </c>
      <c r="T159" s="82">
        <v>88</v>
      </c>
      <c r="U159" s="82" t="s">
        <v>357</v>
      </c>
      <c r="V159" s="83">
        <v>1.626209625</v>
      </c>
      <c r="W159" s="83">
        <v>2351.4572536701116</v>
      </c>
      <c r="X159" s="81">
        <v>0.70805962499999997</v>
      </c>
      <c r="Y159" s="81">
        <v>73.302566686557071</v>
      </c>
      <c r="Z159" s="154" t="s">
        <v>54</v>
      </c>
      <c r="AA159" s="75">
        <v>2.9111787500000004</v>
      </c>
      <c r="AB159" s="75">
        <v>7.1289713486518078</v>
      </c>
      <c r="AC159" s="75">
        <v>2.0592423593750002</v>
      </c>
      <c r="AD159" s="75">
        <v>-26.716135928040213</v>
      </c>
      <c r="AE159" s="75">
        <v>2.375375</v>
      </c>
      <c r="AF159" s="75">
        <v>2.375375</v>
      </c>
      <c r="AG159" s="32">
        <f t="shared" si="86"/>
        <v>2.3009777396870598E-2</v>
      </c>
      <c r="AH159" s="32">
        <f t="shared" si="87"/>
        <v>0.53073405008612418</v>
      </c>
      <c r="AI159" s="33">
        <f t="shared" si="88"/>
        <v>3.7418721471898411E-2</v>
      </c>
      <c r="AJ159" s="34">
        <f t="shared" si="89"/>
        <v>0.37579135247871226</v>
      </c>
      <c r="AK159" s="16">
        <f t="shared" si="90"/>
        <v>5.0556348668752285E-3</v>
      </c>
      <c r="AL159" s="16">
        <f t="shared" si="91"/>
        <v>5.0773083353165369E-2</v>
      </c>
      <c r="AM159" s="27">
        <f t="shared" si="92"/>
        <v>5.0556348668752289</v>
      </c>
      <c r="AN159" s="27">
        <f t="shared" si="93"/>
        <v>50.773083353165369</v>
      </c>
      <c r="AO159" s="29" t="e">
        <f t="shared" si="94"/>
        <v>#VALUE!</v>
      </c>
      <c r="AP159" s="29" t="e">
        <f t="shared" si="95"/>
        <v>#VALUE!</v>
      </c>
      <c r="AQ159" s="27">
        <f t="shared" si="96"/>
        <v>10.042869924375498</v>
      </c>
      <c r="AR159" s="14">
        <f t="shared" si="97"/>
        <v>2346.30828232146</v>
      </c>
      <c r="AS159" s="25">
        <v>0.3678691314984826</v>
      </c>
      <c r="AT159" s="22">
        <f t="shared" si="98"/>
        <v>1.2151552641389904</v>
      </c>
      <c r="AU159" s="22">
        <f t="shared" si="99"/>
        <v>0.84728613264050789</v>
      </c>
      <c r="AV159" s="64"/>
      <c r="AW159" s="64"/>
      <c r="AX159" s="116">
        <f t="shared" si="100"/>
        <v>8472.8613264050782</v>
      </c>
      <c r="AY159" s="64"/>
      <c r="AZ159" s="64"/>
      <c r="BA159" s="64"/>
      <c r="BB159" s="64"/>
      <c r="BC159" s="64"/>
      <c r="BD159" s="64"/>
      <c r="BE159" s="14">
        <f t="shared" si="101"/>
        <v>73.988702614597287</v>
      </c>
      <c r="BF159" s="25">
        <v>1.0824781751878776</v>
      </c>
      <c r="BG159" s="22">
        <f t="shared" si="84"/>
        <v>1.1924501268391767</v>
      </c>
      <c r="BH159" s="38">
        <f t="shared" si="102"/>
        <v>0.10997195165129914</v>
      </c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</row>
    <row r="160" spans="1:74" customFormat="1" ht="15">
      <c r="A160" s="138">
        <v>158</v>
      </c>
      <c r="B160" s="139">
        <v>2</v>
      </c>
      <c r="C160" s="140" t="s">
        <v>421</v>
      </c>
      <c r="D160" s="140" t="s">
        <v>424</v>
      </c>
      <c r="E160" s="140" t="s">
        <v>437</v>
      </c>
      <c r="F160" s="140" t="s">
        <v>480</v>
      </c>
      <c r="G160" s="140"/>
      <c r="H160" s="140" t="s">
        <v>482</v>
      </c>
      <c r="I160" s="140">
        <v>100</v>
      </c>
      <c r="J160" s="140">
        <v>10</v>
      </c>
      <c r="K160" s="140">
        <v>15</v>
      </c>
      <c r="L160" s="140" t="s">
        <v>451</v>
      </c>
      <c r="M160" s="140">
        <v>3</v>
      </c>
      <c r="N160" s="18"/>
      <c r="O160" s="18"/>
      <c r="P160" s="18"/>
      <c r="Q160" s="140">
        <v>10</v>
      </c>
      <c r="R160">
        <v>6.873960758230794</v>
      </c>
      <c r="S160" s="55">
        <v>3.1260392417692056</v>
      </c>
      <c r="T160" s="80">
        <v>89</v>
      </c>
      <c r="U160" s="80" t="s">
        <v>358</v>
      </c>
      <c r="V160" s="81">
        <v>1.1817314999999999</v>
      </c>
      <c r="W160" s="81">
        <v>776.61954418216953</v>
      </c>
      <c r="X160" s="83">
        <v>0.50158965624999996</v>
      </c>
      <c r="Y160" s="83">
        <v>18.455801494886799</v>
      </c>
      <c r="Z160" s="154" t="s">
        <v>54</v>
      </c>
      <c r="AA160" s="75">
        <v>2.9111787500000004</v>
      </c>
      <c r="AB160" s="75">
        <v>7.1289713486518078</v>
      </c>
      <c r="AC160" s="75">
        <v>2.0592423593750002</v>
      </c>
      <c r="AD160" s="75">
        <v>-26.716135928040213</v>
      </c>
      <c r="AE160" s="75">
        <v>2.375375</v>
      </c>
      <c r="AF160" s="75">
        <v>2.375375</v>
      </c>
      <c r="AG160" s="32">
        <f t="shared" si="86"/>
        <v>2.3009777396870598E-2</v>
      </c>
      <c r="AH160" s="32">
        <f t="shared" si="87"/>
        <v>0.53073405008612418</v>
      </c>
      <c r="AI160" s="33">
        <f t="shared" si="88"/>
        <v>2.7191378757869984E-2</v>
      </c>
      <c r="AJ160" s="34">
        <f t="shared" si="89"/>
        <v>0.26621070974286931</v>
      </c>
      <c r="AK160" s="16">
        <f t="shared" si="90"/>
        <v>3.4615182053640654E-3</v>
      </c>
      <c r="AL160" s="16">
        <f t="shared" si="91"/>
        <v>3.3889168564912288E-2</v>
      </c>
      <c r="AM160" s="27">
        <f t="shared" si="92"/>
        <v>3.4615182053640652</v>
      </c>
      <c r="AN160" s="27">
        <f t="shared" si="93"/>
        <v>33.889168564912289</v>
      </c>
      <c r="AO160" s="29" t="e">
        <f t="shared" si="94"/>
        <v>#VALUE!</v>
      </c>
      <c r="AP160" s="29" t="e">
        <f t="shared" si="95"/>
        <v>#VALUE!</v>
      </c>
      <c r="AQ160" s="27">
        <f t="shared" si="96"/>
        <v>9.7902615425788255</v>
      </c>
      <c r="AR160" s="14">
        <f t="shared" si="97"/>
        <v>771.47057283351774</v>
      </c>
      <c r="AS160" s="25">
        <v>0.3678691314984826</v>
      </c>
      <c r="AT160" s="22">
        <f t="shared" si="98"/>
        <v>0.64697950005844873</v>
      </c>
      <c r="AU160" s="22">
        <f t="shared" si="99"/>
        <v>0.27911036855996613</v>
      </c>
      <c r="AV160" s="64"/>
      <c r="AW160" s="64"/>
      <c r="AX160" s="116">
        <f t="shared" si="100"/>
        <v>2791.1036855996613</v>
      </c>
      <c r="AY160" s="64"/>
      <c r="AZ160" s="64"/>
      <c r="BA160" s="64"/>
      <c r="BB160" s="64"/>
      <c r="BC160" s="64"/>
      <c r="BD160" s="64"/>
      <c r="BE160" s="14">
        <f t="shared" si="101"/>
        <v>19.141937422927011</v>
      </c>
      <c r="BF160" s="25">
        <v>1.0824781751878776</v>
      </c>
      <c r="BG160" s="22">
        <f t="shared" si="84"/>
        <v>1.1322432346547224</v>
      </c>
      <c r="BH160" s="38">
        <f t="shared" si="102"/>
        <v>4.9765059466844841E-2</v>
      </c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</row>
    <row r="161" spans="1:74" customFormat="1" ht="15">
      <c r="A161" s="138">
        <v>159</v>
      </c>
      <c r="B161" s="139">
        <v>2</v>
      </c>
      <c r="C161" s="140" t="s">
        <v>423</v>
      </c>
      <c r="D161" s="140" t="s">
        <v>414</v>
      </c>
      <c r="E161" s="140" t="s">
        <v>437</v>
      </c>
      <c r="F161" s="140" t="s">
        <v>480</v>
      </c>
      <c r="G161" s="140"/>
      <c r="H161" s="140" t="s">
        <v>482</v>
      </c>
      <c r="I161" s="140">
        <v>100</v>
      </c>
      <c r="J161" s="140">
        <v>10</v>
      </c>
      <c r="K161" s="140">
        <v>15</v>
      </c>
      <c r="L161" s="140" t="s">
        <v>452</v>
      </c>
      <c r="M161" s="140">
        <v>3</v>
      </c>
      <c r="N161" s="18"/>
      <c r="O161" s="18"/>
      <c r="P161" s="18"/>
      <c r="Q161" s="140">
        <v>10</v>
      </c>
      <c r="R161">
        <v>6.9478578545333782</v>
      </c>
      <c r="S161" s="55">
        <v>3.0521421454666227</v>
      </c>
      <c r="T161" s="82">
        <v>90</v>
      </c>
      <c r="U161" s="82" t="s">
        <v>359</v>
      </c>
      <c r="V161" s="83">
        <v>0.54489656249999996</v>
      </c>
      <c r="W161" s="83">
        <v>3400.8175805222695</v>
      </c>
      <c r="X161" s="81">
        <v>0.29881228124999998</v>
      </c>
      <c r="Y161" s="81">
        <v>161.43237947087044</v>
      </c>
      <c r="Z161" s="154" t="s">
        <v>54</v>
      </c>
      <c r="AA161" s="75">
        <v>2.9111787500000004</v>
      </c>
      <c r="AB161" s="75">
        <v>7.1289713486518078</v>
      </c>
      <c r="AC161" s="75">
        <v>2.0592423593750002</v>
      </c>
      <c r="AD161" s="75">
        <v>-26.716135928040213</v>
      </c>
      <c r="AE161" s="75">
        <v>2.375375</v>
      </c>
      <c r="AF161" s="75">
        <v>2.375375</v>
      </c>
      <c r="AG161" s="32">
        <f t="shared" si="86"/>
        <v>2.3009777396870598E-2</v>
      </c>
      <c r="AH161" s="32">
        <f t="shared" si="87"/>
        <v>0.53073405008612418</v>
      </c>
      <c r="AI161" s="33">
        <f t="shared" si="88"/>
        <v>1.2537948607444985E-2</v>
      </c>
      <c r="AJ161" s="34">
        <f t="shared" si="89"/>
        <v>0.15858985224328651</v>
      </c>
      <c r="AK161" s="16">
        <f t="shared" si="90"/>
        <v>1.5702402175672013E-3</v>
      </c>
      <c r="AL161" s="16">
        <f t="shared" si="91"/>
        <v>1.9861635414790184E-2</v>
      </c>
      <c r="AM161" s="27">
        <f t="shared" si="92"/>
        <v>1.5702402175672012</v>
      </c>
      <c r="AN161" s="27">
        <f t="shared" si="93"/>
        <v>19.861635414790182</v>
      </c>
      <c r="AO161" s="29" t="e">
        <f t="shared" si="94"/>
        <v>#VALUE!</v>
      </c>
      <c r="AP161" s="29" t="e">
        <f t="shared" si="95"/>
        <v>#VALUE!</v>
      </c>
      <c r="AQ161" s="27">
        <f t="shared" si="96"/>
        <v>12.648787868624416</v>
      </c>
      <c r="AR161" s="14">
        <f t="shared" si="97"/>
        <v>3395.6686091736178</v>
      </c>
      <c r="AS161" s="25">
        <v>0.3678691314984826</v>
      </c>
      <c r="AT161" s="22">
        <f t="shared" si="98"/>
        <v>1.5901533235435044</v>
      </c>
      <c r="AU161" s="22">
        <f t="shared" si="99"/>
        <v>1.2222841920450218</v>
      </c>
      <c r="AV161" s="64"/>
      <c r="AW161" s="64"/>
      <c r="AX161" s="116">
        <f t="shared" si="100"/>
        <v>12222.841920450219</v>
      </c>
      <c r="AY161" s="64"/>
      <c r="AZ161" s="64"/>
      <c r="BA161" s="64"/>
      <c r="BB161" s="64"/>
      <c r="BC161" s="64"/>
      <c r="BD161" s="64"/>
      <c r="BE161" s="14">
        <f t="shared" si="101"/>
        <v>162.11851539891066</v>
      </c>
      <c r="BF161" s="25">
        <v>1.0824781751878776</v>
      </c>
      <c r="BG161" s="22">
        <f t="shared" si="84"/>
        <v>1.2890393642059204</v>
      </c>
      <c r="BH161" s="38">
        <f t="shared" si="102"/>
        <v>0.20656118901804277</v>
      </c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</row>
    <row r="162" spans="1:74" customFormat="1" ht="15">
      <c r="A162" s="138">
        <v>160</v>
      </c>
      <c r="B162" s="139">
        <v>2</v>
      </c>
      <c r="C162" s="140" t="s">
        <v>425</v>
      </c>
      <c r="D162" s="140" t="s">
        <v>420</v>
      </c>
      <c r="E162" s="140" t="s">
        <v>437</v>
      </c>
      <c r="F162" s="140" t="s">
        <v>480</v>
      </c>
      <c r="G162" s="140"/>
      <c r="H162" s="140" t="s">
        <v>482</v>
      </c>
      <c r="I162" s="140">
        <v>100</v>
      </c>
      <c r="J162" s="140">
        <v>10</v>
      </c>
      <c r="K162" s="140">
        <v>15</v>
      </c>
      <c r="L162" s="140" t="s">
        <v>453</v>
      </c>
      <c r="M162" s="140">
        <v>3</v>
      </c>
      <c r="N162" s="18"/>
      <c r="O162" s="18"/>
      <c r="P162" s="18"/>
      <c r="Q162" s="140">
        <v>10</v>
      </c>
      <c r="R162">
        <v>6.5815649867374013</v>
      </c>
      <c r="S162" s="55">
        <v>3.4184350132625987</v>
      </c>
      <c r="T162" s="80">
        <v>91</v>
      </c>
      <c r="U162" s="80" t="s">
        <v>360</v>
      </c>
      <c r="V162" s="81">
        <v>1.4272646250000001</v>
      </c>
      <c r="W162" s="81">
        <v>2004.6529135262306</v>
      </c>
      <c r="X162" s="83">
        <v>0.81350187500000004</v>
      </c>
      <c r="Y162" s="83">
        <v>56.949327744146487</v>
      </c>
      <c r="Z162" s="154" t="s">
        <v>54</v>
      </c>
      <c r="AA162" s="75">
        <v>2.9111787500000004</v>
      </c>
      <c r="AB162" s="75">
        <v>7.1289713486518078</v>
      </c>
      <c r="AC162" s="75">
        <v>2.0592423593750002</v>
      </c>
      <c r="AD162" s="75">
        <v>-26.716135928040213</v>
      </c>
      <c r="AE162" s="75">
        <v>2.375375</v>
      </c>
      <c r="AF162" s="75">
        <v>2.375375</v>
      </c>
      <c r="AG162" s="32">
        <f t="shared" si="86"/>
        <v>2.3009777396870598E-2</v>
      </c>
      <c r="AH162" s="32">
        <f t="shared" si="87"/>
        <v>0.53073405008612418</v>
      </c>
      <c r="AI162" s="33">
        <f t="shared" si="88"/>
        <v>3.2841041307677989E-2</v>
      </c>
      <c r="AJ162" s="34">
        <f t="shared" si="89"/>
        <v>0.43175314487140593</v>
      </c>
      <c r="AK162" s="16">
        <f t="shared" si="90"/>
        <v>4.4637344810133607E-3</v>
      </c>
      <c r="AL162" s="16">
        <f t="shared" si="91"/>
        <v>5.8683626441463618E-2</v>
      </c>
      <c r="AM162" s="27">
        <f t="shared" si="92"/>
        <v>4.4637344810133603</v>
      </c>
      <c r="AN162" s="27">
        <f t="shared" si="93"/>
        <v>58.683626441463616</v>
      </c>
      <c r="AO162" s="29" t="e">
        <f t="shared" si="94"/>
        <v>#VALUE!</v>
      </c>
      <c r="AP162" s="29" t="e">
        <f t="shared" si="95"/>
        <v>#VALUE!</v>
      </c>
      <c r="AQ162" s="27">
        <f t="shared" si="96"/>
        <v>13.146755635012866</v>
      </c>
      <c r="AR162" s="14">
        <f t="shared" si="97"/>
        <v>1999.5039421775787</v>
      </c>
      <c r="AS162" s="25">
        <v>0.3678691314984826</v>
      </c>
      <c r="AT162" s="22">
        <f t="shared" si="98"/>
        <v>1.0905925828457597</v>
      </c>
      <c r="AU162" s="22">
        <f t="shared" si="99"/>
        <v>0.72272345134727711</v>
      </c>
      <c r="AV162" s="64"/>
      <c r="AW162" s="64"/>
      <c r="AX162" s="116">
        <f t="shared" si="100"/>
        <v>7227.2345134727711</v>
      </c>
      <c r="AY162" s="64"/>
      <c r="AZ162" s="64"/>
      <c r="BA162" s="64"/>
      <c r="BB162" s="64"/>
      <c r="BC162" s="64"/>
      <c r="BD162" s="64"/>
      <c r="BE162" s="14">
        <f t="shared" si="101"/>
        <v>57.635463672186702</v>
      </c>
      <c r="BF162" s="25">
        <v>1.0824781751878776</v>
      </c>
      <c r="BG162" s="22">
        <f t="shared" si="84"/>
        <v>1.1745063737003836</v>
      </c>
      <c r="BH162" s="38">
        <f t="shared" si="102"/>
        <v>9.2028198512505988E-2</v>
      </c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</row>
    <row r="163" spans="1:74" customFormat="1" ht="15">
      <c r="A163" s="138">
        <v>161</v>
      </c>
      <c r="B163" s="139">
        <v>3</v>
      </c>
      <c r="C163" s="140" t="s">
        <v>408</v>
      </c>
      <c r="D163" s="140" t="s">
        <v>418</v>
      </c>
      <c r="E163" s="140" t="s">
        <v>437</v>
      </c>
      <c r="F163" s="140" t="s">
        <v>480</v>
      </c>
      <c r="G163" s="140"/>
      <c r="H163" s="140" t="s">
        <v>483</v>
      </c>
      <c r="I163" s="140">
        <v>50</v>
      </c>
      <c r="J163" s="140">
        <v>10</v>
      </c>
      <c r="K163" s="140">
        <v>15</v>
      </c>
      <c r="L163" s="140" t="s">
        <v>454</v>
      </c>
      <c r="M163" s="140">
        <v>3</v>
      </c>
      <c r="N163" s="18"/>
      <c r="O163" s="18"/>
      <c r="P163" s="18"/>
      <c r="Q163" s="140">
        <v>10</v>
      </c>
      <c r="R163">
        <v>6.2800000000000011</v>
      </c>
      <c r="S163" s="55">
        <v>3.7199999999999989</v>
      </c>
      <c r="T163" s="82">
        <v>92</v>
      </c>
      <c r="U163" s="82" t="s">
        <v>361</v>
      </c>
      <c r="V163" s="83">
        <v>2.5942177499999999</v>
      </c>
      <c r="W163" s="83">
        <v>430.78063830501804</v>
      </c>
      <c r="X163" s="81">
        <v>1.208936875</v>
      </c>
      <c r="Y163" s="81">
        <v>-8.3298846358997665</v>
      </c>
      <c r="Z163" s="154" t="s">
        <v>54</v>
      </c>
      <c r="AA163" s="75">
        <v>2.9111787500000004</v>
      </c>
      <c r="AB163" s="75">
        <v>7.1289713486518078</v>
      </c>
      <c r="AC163" s="75">
        <v>2.0592423593750002</v>
      </c>
      <c r="AD163" s="75">
        <v>-26.716135928040213</v>
      </c>
      <c r="AE163" s="75">
        <v>2.375375</v>
      </c>
      <c r="AF163" s="75">
        <v>2.375375</v>
      </c>
      <c r="AG163" s="32">
        <f t="shared" si="86"/>
        <v>2.3009777396870598E-2</v>
      </c>
      <c r="AH163" s="32">
        <f t="shared" si="87"/>
        <v>0.53073405008612418</v>
      </c>
      <c r="AI163" s="33">
        <f t="shared" si="88"/>
        <v>5.9692372946510495E-2</v>
      </c>
      <c r="AJ163" s="34">
        <f t="shared" si="89"/>
        <v>0.64162396396721244</v>
      </c>
      <c r="AK163" s="16">
        <f t="shared" si="90"/>
        <v>8.6940483739503579E-3</v>
      </c>
      <c r="AL163" s="16">
        <f t="shared" si="91"/>
        <v>9.3450963754035582E-2</v>
      </c>
      <c r="AM163" s="27">
        <f t="shared" si="92"/>
        <v>8.6940483739503573</v>
      </c>
      <c r="AN163" s="27">
        <f t="shared" si="93"/>
        <v>93.450963754035584</v>
      </c>
      <c r="AO163" s="29" t="e">
        <f t="shared" si="94"/>
        <v>#VALUE!</v>
      </c>
      <c r="AP163" s="29" t="e">
        <f t="shared" si="95"/>
        <v>#VALUE!</v>
      </c>
      <c r="AQ163" s="27">
        <f t="shared" si="96"/>
        <v>10.748843316082654</v>
      </c>
      <c r="AR163" s="14">
        <f t="shared" si="97"/>
        <v>425.63166695636625</v>
      </c>
      <c r="AS163" s="25">
        <v>0.3678691314984826</v>
      </c>
      <c r="AT163" s="22">
        <f t="shared" si="98"/>
        <v>0.52133010674247249</v>
      </c>
      <c r="AU163" s="22">
        <f t="shared" si="99"/>
        <v>0.15346097524398988</v>
      </c>
      <c r="AV163" s="64"/>
      <c r="AW163" s="64"/>
      <c r="AX163" s="116">
        <f t="shared" si="100"/>
        <v>1534.6097524398988</v>
      </c>
      <c r="AY163" s="64"/>
      <c r="AZ163" s="64"/>
      <c r="BA163" s="64"/>
      <c r="BB163" s="64"/>
      <c r="BC163" s="64"/>
      <c r="BD163" s="64"/>
      <c r="BE163" s="14">
        <f t="shared" si="101"/>
        <v>-7.6437487078595545</v>
      </c>
      <c r="BF163" s="25">
        <v>1.0824781751878776</v>
      </c>
      <c r="BG163" s="22">
        <f t="shared" ref="BG163:BG194" si="103">100*0.011237*(BE163/1000+1)/(1+0.011237*(BE163/1000+1))</f>
        <v>1.1028131321237635</v>
      </c>
      <c r="BH163" s="38">
        <f t="shared" si="102"/>
        <v>2.0334956935885939E-2</v>
      </c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</row>
    <row r="164" spans="1:74" customFormat="1" ht="15">
      <c r="A164" s="138">
        <v>162</v>
      </c>
      <c r="B164" s="139">
        <v>3</v>
      </c>
      <c r="C164" s="140" t="s">
        <v>413</v>
      </c>
      <c r="D164" s="140" t="s">
        <v>416</v>
      </c>
      <c r="E164" s="140" t="s">
        <v>437</v>
      </c>
      <c r="F164" s="140" t="s">
        <v>480</v>
      </c>
      <c r="G164" s="140"/>
      <c r="H164" s="140" t="s">
        <v>483</v>
      </c>
      <c r="I164" s="140">
        <v>50</v>
      </c>
      <c r="J164" s="140">
        <v>10</v>
      </c>
      <c r="K164" s="140">
        <v>15</v>
      </c>
      <c r="L164" s="140" t="s">
        <v>455</v>
      </c>
      <c r="M164" s="140">
        <v>3</v>
      </c>
      <c r="N164" s="18"/>
      <c r="O164" s="18"/>
      <c r="P164" s="18"/>
      <c r="Q164" s="140">
        <v>10</v>
      </c>
      <c r="R164">
        <v>6.7053364269141529</v>
      </c>
      <c r="S164" s="55">
        <v>3.2946635730858471</v>
      </c>
      <c r="T164" s="80">
        <v>93</v>
      </c>
      <c r="U164" s="80" t="s">
        <v>362</v>
      </c>
      <c r="V164" s="81">
        <v>1.2364833749999999</v>
      </c>
      <c r="W164" s="81">
        <v>3599.1053261193329</v>
      </c>
      <c r="X164" s="83">
        <v>0.65517499999999995</v>
      </c>
      <c r="Y164" s="83">
        <v>148.10941166264863</v>
      </c>
      <c r="Z164" s="154" t="s">
        <v>54</v>
      </c>
      <c r="AA164" s="75">
        <v>2.9111787500000004</v>
      </c>
      <c r="AB164" s="75">
        <v>7.1289713486518078</v>
      </c>
      <c r="AC164" s="75">
        <v>2.0592423593750002</v>
      </c>
      <c r="AD164" s="75">
        <v>-26.716135928040213</v>
      </c>
      <c r="AE164" s="75">
        <v>2.375375</v>
      </c>
      <c r="AF164" s="75">
        <v>2.375375</v>
      </c>
      <c r="AG164" s="32">
        <f t="shared" si="86"/>
        <v>2.3009777396870598E-2</v>
      </c>
      <c r="AH164" s="32">
        <f t="shared" si="87"/>
        <v>0.53073405008612418</v>
      </c>
      <c r="AI164" s="33">
        <f t="shared" si="88"/>
        <v>2.845120721368127E-2</v>
      </c>
      <c r="AJ164" s="34">
        <f t="shared" si="89"/>
        <v>0.34772368126517639</v>
      </c>
      <c r="AK164" s="16">
        <f t="shared" ref="AK164:AK194" si="104">((AI164/K164)*(J164+S164))/(R164)</f>
        <v>3.7606786005627149E-3</v>
      </c>
      <c r="AL164" s="16">
        <f t="shared" ref="AL164:AL194" si="105">((AJ164/K164)*(J164+S164))/(R164)</f>
        <v>4.5962092125708433E-2</v>
      </c>
      <c r="AM164" s="27">
        <f t="shared" si="92"/>
        <v>3.7606786005627151</v>
      </c>
      <c r="AN164" s="27">
        <f t="shared" si="93"/>
        <v>45.962092125708431</v>
      </c>
      <c r="AO164" s="29" t="e">
        <f t="shared" si="94"/>
        <v>#VALUE!</v>
      </c>
      <c r="AP164" s="29" t="e">
        <f t="shared" si="95"/>
        <v>#VALUE!</v>
      </c>
      <c r="AQ164" s="27">
        <f t="shared" si="96"/>
        <v>12.221754903179196</v>
      </c>
      <c r="AR164" s="14">
        <f t="shared" si="97"/>
        <v>3593.9563547706812</v>
      </c>
      <c r="AS164" s="25">
        <v>0.3678691314984826</v>
      </c>
      <c r="AT164" s="22">
        <f t="shared" si="98"/>
        <v>1.6606935864435699</v>
      </c>
      <c r="AU164" s="22">
        <f t="shared" si="99"/>
        <v>1.2928244549450874</v>
      </c>
      <c r="AV164" s="64"/>
      <c r="AW164" s="64"/>
      <c r="AX164" s="116">
        <f t="shared" si="100"/>
        <v>12928.244549450874</v>
      </c>
      <c r="AY164" s="64"/>
      <c r="AZ164" s="64"/>
      <c r="BA164" s="64"/>
      <c r="BB164" s="64"/>
      <c r="BC164" s="64"/>
      <c r="BD164" s="64"/>
      <c r="BE164" s="14">
        <f t="shared" si="101"/>
        <v>148.79554759068884</v>
      </c>
      <c r="BF164" s="25">
        <v>1.0824781751878776</v>
      </c>
      <c r="BG164" s="22">
        <f t="shared" si="103"/>
        <v>1.2744496662451141</v>
      </c>
      <c r="BH164" s="38">
        <f t="shared" si="102"/>
        <v>0.19197149105723654</v>
      </c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</row>
    <row r="165" spans="1:74" customFormat="1" ht="15">
      <c r="A165" s="138">
        <v>163</v>
      </c>
      <c r="B165" s="139">
        <v>3</v>
      </c>
      <c r="C165" s="140" t="s">
        <v>415</v>
      </c>
      <c r="D165" s="140" t="s">
        <v>426</v>
      </c>
      <c r="E165" s="140" t="s">
        <v>437</v>
      </c>
      <c r="F165" s="140" t="s">
        <v>480</v>
      </c>
      <c r="G165" s="140"/>
      <c r="H165" s="140" t="s">
        <v>483</v>
      </c>
      <c r="I165" s="140">
        <v>50</v>
      </c>
      <c r="J165" s="140">
        <v>10</v>
      </c>
      <c r="K165" s="140">
        <v>15</v>
      </c>
      <c r="L165" s="140" t="s">
        <v>456</v>
      </c>
      <c r="M165" s="140">
        <v>3</v>
      </c>
      <c r="N165" s="18"/>
      <c r="O165" s="18"/>
      <c r="P165" s="18"/>
      <c r="Q165" s="140">
        <v>10</v>
      </c>
      <c r="R165">
        <v>6.8889629876625538</v>
      </c>
      <c r="S165" s="55">
        <v>3.1110370123374462</v>
      </c>
      <c r="T165" s="80">
        <v>95</v>
      </c>
      <c r="U165" s="80" t="s">
        <v>364</v>
      </c>
      <c r="V165" s="81">
        <v>1.670666</v>
      </c>
      <c r="W165" s="81">
        <v>721.44276714058572</v>
      </c>
      <c r="X165" s="83">
        <v>1.08153875</v>
      </c>
      <c r="Y165" s="83">
        <v>-1.1770561817182525</v>
      </c>
      <c r="Z165" s="154" t="s">
        <v>54</v>
      </c>
      <c r="AA165" s="75">
        <v>2.9111787500000004</v>
      </c>
      <c r="AB165" s="75">
        <v>7.1289713486518078</v>
      </c>
      <c r="AC165" s="75">
        <v>2.0592423593750002</v>
      </c>
      <c r="AD165" s="75">
        <v>-26.716135928040213</v>
      </c>
      <c r="AE165" s="75">
        <v>2.375375</v>
      </c>
      <c r="AF165" s="75">
        <v>2.375375</v>
      </c>
      <c r="AG165" s="32">
        <f t="shared" si="86"/>
        <v>2.3009777396870598E-2</v>
      </c>
      <c r="AH165" s="32">
        <f t="shared" si="87"/>
        <v>0.53073405008612418</v>
      </c>
      <c r="AI165" s="33">
        <f t="shared" si="88"/>
        <v>3.8441652764520211E-2</v>
      </c>
      <c r="AJ165" s="34">
        <f t="shared" si="89"/>
        <v>0.57400944111258412</v>
      </c>
      <c r="AK165" s="16">
        <f t="shared" si="104"/>
        <v>4.8774630096835589E-3</v>
      </c>
      <c r="AL165" s="16">
        <f t="shared" si="105"/>
        <v>7.2830110437388865E-2</v>
      </c>
      <c r="AM165" s="27">
        <f t="shared" si="92"/>
        <v>4.8774630096835585</v>
      </c>
      <c r="AN165" s="27">
        <f t="shared" si="93"/>
        <v>72.830110437388868</v>
      </c>
      <c r="AO165" s="29" t="e">
        <f t="shared" si="94"/>
        <v>#VALUE!</v>
      </c>
      <c r="AP165" s="29" t="e">
        <f t="shared" si="95"/>
        <v>#VALUE!</v>
      </c>
      <c r="AQ165" s="27">
        <f t="shared" si="96"/>
        <v>14.931965715125733</v>
      </c>
      <c r="AR165" s="14">
        <f t="shared" si="97"/>
        <v>716.29379579193392</v>
      </c>
      <c r="AS165" s="25">
        <v>0.3678691314984826</v>
      </c>
      <c r="AT165" s="22">
        <f t="shared" si="98"/>
        <v>0.62695408582225109</v>
      </c>
      <c r="AU165" s="22">
        <f t="shared" si="99"/>
        <v>0.25908495432376849</v>
      </c>
      <c r="AV165" s="64"/>
      <c r="AW165" s="64"/>
      <c r="AX165" s="116">
        <f t="shared" si="100"/>
        <v>2590.8495432376849</v>
      </c>
      <c r="AY165" s="64"/>
      <c r="AZ165" s="64"/>
      <c r="BA165" s="64"/>
      <c r="BB165" s="64"/>
      <c r="BC165" s="64"/>
      <c r="BD165" s="64"/>
      <c r="BE165" s="14">
        <f t="shared" si="101"/>
        <v>-0.4909202536780406</v>
      </c>
      <c r="BF165" s="25">
        <v>1.0824781751878776</v>
      </c>
      <c r="BG165" s="22">
        <f t="shared" si="103"/>
        <v>1.1106738379933074</v>
      </c>
      <c r="BH165" s="38">
        <f t="shared" si="102"/>
        <v>2.8195662805429844E-2</v>
      </c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</row>
    <row r="166" spans="1:74" customFormat="1" ht="15">
      <c r="A166" s="138">
        <v>164</v>
      </c>
      <c r="B166" s="139">
        <v>3</v>
      </c>
      <c r="C166" s="140" t="s">
        <v>417</v>
      </c>
      <c r="D166" s="140" t="s">
        <v>420</v>
      </c>
      <c r="E166" s="140" t="s">
        <v>437</v>
      </c>
      <c r="F166" s="140" t="s">
        <v>480</v>
      </c>
      <c r="G166" s="140"/>
      <c r="H166" s="140" t="s">
        <v>483</v>
      </c>
      <c r="I166" s="140">
        <v>50</v>
      </c>
      <c r="J166" s="140">
        <v>10</v>
      </c>
      <c r="K166" s="140">
        <v>15</v>
      </c>
      <c r="L166" s="140" t="s">
        <v>457</v>
      </c>
      <c r="M166" s="140">
        <v>3</v>
      </c>
      <c r="N166" s="18"/>
      <c r="O166" s="18"/>
      <c r="P166" s="18"/>
      <c r="Q166" s="140">
        <v>10</v>
      </c>
      <c r="R166">
        <v>5.6771180787191469</v>
      </c>
      <c r="S166" s="55">
        <v>4.3228819212808531</v>
      </c>
      <c r="T166" s="82">
        <v>96</v>
      </c>
      <c r="U166" s="82" t="s">
        <v>365</v>
      </c>
      <c r="V166" s="83">
        <v>4.7670320000000004</v>
      </c>
      <c r="W166" s="83">
        <v>708.61354447268729</v>
      </c>
      <c r="X166" s="81">
        <v>2.094391125</v>
      </c>
      <c r="Y166" s="81">
        <v>0.4968136537177818</v>
      </c>
      <c r="Z166" s="154" t="s">
        <v>54</v>
      </c>
      <c r="AA166" s="75">
        <v>2.9111787500000004</v>
      </c>
      <c r="AB166" s="75">
        <v>7.1289713486518078</v>
      </c>
      <c r="AC166" s="75">
        <v>2.0592423593750002</v>
      </c>
      <c r="AD166" s="75">
        <v>-26.716135928040213</v>
      </c>
      <c r="AE166" s="75">
        <v>2.375375</v>
      </c>
      <c r="AF166" s="75">
        <v>2.375375</v>
      </c>
      <c r="AG166" s="32">
        <f t="shared" si="86"/>
        <v>2.3009777396870598E-2</v>
      </c>
      <c r="AH166" s="32">
        <f t="shared" si="87"/>
        <v>0.53073405008612418</v>
      </c>
      <c r="AI166" s="33">
        <f t="shared" si="88"/>
        <v>0.10968834516375885</v>
      </c>
      <c r="AJ166" s="34">
        <f t="shared" si="89"/>
        <v>1.1115646842356839</v>
      </c>
      <c r="AK166" s="16">
        <f t="shared" si="104"/>
        <v>1.8448952374977689E-2</v>
      </c>
      <c r="AL166" s="16">
        <f t="shared" si="105"/>
        <v>0.1869588231142979</v>
      </c>
      <c r="AM166" s="27">
        <f t="shared" si="92"/>
        <v>18.44895237497769</v>
      </c>
      <c r="AN166" s="27">
        <f t="shared" si="93"/>
        <v>186.9588231142979</v>
      </c>
      <c r="AO166" s="29" t="e">
        <f t="shared" si="94"/>
        <v>#VALUE!</v>
      </c>
      <c r="AP166" s="29" t="e">
        <f t="shared" si="95"/>
        <v>#VALUE!</v>
      </c>
      <c r="AQ166" s="27">
        <f t="shared" si="96"/>
        <v>10.133844963894543</v>
      </c>
      <c r="AR166" s="14">
        <f t="shared" si="97"/>
        <v>703.4645731240355</v>
      </c>
      <c r="AS166" s="25">
        <v>0.3678691314984826</v>
      </c>
      <c r="AT166" s="22">
        <f t="shared" si="98"/>
        <v>0.62229679452271702</v>
      </c>
      <c r="AU166" s="22">
        <f t="shared" si="99"/>
        <v>0.25442766302423442</v>
      </c>
      <c r="AV166" s="64"/>
      <c r="AW166" s="64"/>
      <c r="AX166" s="116">
        <f t="shared" si="100"/>
        <v>2544.2766302423443</v>
      </c>
      <c r="AY166" s="64"/>
      <c r="AZ166" s="64"/>
      <c r="BA166" s="64"/>
      <c r="BB166" s="64"/>
      <c r="BC166" s="64"/>
      <c r="BD166" s="64"/>
      <c r="BE166" s="14">
        <f t="shared" si="101"/>
        <v>1.1829495817579938</v>
      </c>
      <c r="BF166" s="25">
        <v>1.0824781751878776</v>
      </c>
      <c r="BG166" s="22">
        <f t="shared" si="103"/>
        <v>1.1125131814054003</v>
      </c>
      <c r="BH166" s="38">
        <f t="shared" si="102"/>
        <v>3.0035006217522753E-2</v>
      </c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</row>
    <row r="167" spans="1:74" customFormat="1" ht="15">
      <c r="A167" s="138">
        <v>165</v>
      </c>
      <c r="B167" s="139">
        <v>3</v>
      </c>
      <c r="C167" s="140" t="s">
        <v>419</v>
      </c>
      <c r="D167" s="140" t="s">
        <v>422</v>
      </c>
      <c r="E167" s="140" t="s">
        <v>437</v>
      </c>
      <c r="F167" s="140" t="s">
        <v>480</v>
      </c>
      <c r="G167" s="140"/>
      <c r="H167" s="140" t="s">
        <v>483</v>
      </c>
      <c r="I167" s="140">
        <v>50</v>
      </c>
      <c r="J167" s="140">
        <v>10</v>
      </c>
      <c r="K167" s="140">
        <v>15</v>
      </c>
      <c r="L167" s="140" t="s">
        <v>458</v>
      </c>
      <c r="M167" s="140">
        <v>3</v>
      </c>
      <c r="N167" s="18"/>
      <c r="O167" s="18"/>
      <c r="P167" s="18"/>
      <c r="Q167" s="140">
        <v>10</v>
      </c>
      <c r="R167">
        <v>6.8053244592346083</v>
      </c>
      <c r="S167" s="55">
        <v>3.1946755407653904</v>
      </c>
      <c r="T167" s="80">
        <v>97</v>
      </c>
      <c r="U167" s="80" t="s">
        <v>366</v>
      </c>
      <c r="V167" s="81">
        <v>2.6004999999999998</v>
      </c>
      <c r="W167" s="81">
        <v>1988.1577616420616</v>
      </c>
      <c r="X167" s="83">
        <v>1.38263475</v>
      </c>
      <c r="Y167" s="83">
        <v>34.665813444253402</v>
      </c>
      <c r="Z167" s="154" t="s">
        <v>54</v>
      </c>
      <c r="AA167" s="75">
        <v>2.9111787500000004</v>
      </c>
      <c r="AB167" s="75">
        <v>7.1289713486518078</v>
      </c>
      <c r="AC167" s="75">
        <v>2.0592423593750002</v>
      </c>
      <c r="AD167" s="75">
        <v>-26.716135928040213</v>
      </c>
      <c r="AE167" s="75">
        <v>2.375375</v>
      </c>
      <c r="AF167" s="75">
        <v>2.375375</v>
      </c>
      <c r="AG167" s="32">
        <f t="shared" si="86"/>
        <v>2.3009777396870598E-2</v>
      </c>
      <c r="AH167" s="32">
        <f t="shared" si="87"/>
        <v>0.53073405008612418</v>
      </c>
      <c r="AI167" s="33">
        <f t="shared" si="88"/>
        <v>5.9836926120561983E-2</v>
      </c>
      <c r="AJ167" s="34">
        <f t="shared" si="89"/>
        <v>0.73381134065731579</v>
      </c>
      <c r="AK167" s="16">
        <f t="shared" si="104"/>
        <v>7.7344225613049144E-3</v>
      </c>
      <c r="AL167" s="16">
        <f t="shared" si="105"/>
        <v>9.485124582579485E-2</v>
      </c>
      <c r="AM167" s="27">
        <f t="shared" si="92"/>
        <v>7.734422561304914</v>
      </c>
      <c r="AN167" s="27">
        <f t="shared" si="93"/>
        <v>94.851245825794848</v>
      </c>
      <c r="AO167" s="29" t="e">
        <f t="shared" si="94"/>
        <v>#VALUE!</v>
      </c>
      <c r="AP167" s="29" t="e">
        <f t="shared" si="95"/>
        <v>#VALUE!</v>
      </c>
      <c r="AQ167" s="27">
        <f t="shared" si="96"/>
        <v>12.263520007341311</v>
      </c>
      <c r="AR167" s="14">
        <f t="shared" si="97"/>
        <v>1983.0087902934097</v>
      </c>
      <c r="AS167" s="25">
        <v>0.3678691314984826</v>
      </c>
      <c r="AT167" s="22">
        <f t="shared" si="98"/>
        <v>1.0846601467466737</v>
      </c>
      <c r="AU167" s="22">
        <f t="shared" si="99"/>
        <v>0.71679101524819111</v>
      </c>
      <c r="AV167" s="64"/>
      <c r="AW167" s="64"/>
      <c r="AX167" s="116">
        <f t="shared" si="100"/>
        <v>7167.9101524819116</v>
      </c>
      <c r="AY167" s="64"/>
      <c r="AZ167" s="64"/>
      <c r="BA167" s="64"/>
      <c r="BB167" s="64"/>
      <c r="BC167" s="64"/>
      <c r="BD167" s="64"/>
      <c r="BE167" s="14">
        <f t="shared" si="101"/>
        <v>35.351949372293618</v>
      </c>
      <c r="BF167" s="25">
        <v>1.0824781751878776</v>
      </c>
      <c r="BG167" s="22">
        <f t="shared" si="103"/>
        <v>1.1500450737767052</v>
      </c>
      <c r="BH167" s="38">
        <f t="shared" si="102"/>
        <v>6.7566898588827584E-2</v>
      </c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</row>
    <row r="168" spans="1:74" customFormat="1" ht="15">
      <c r="A168" s="138">
        <v>166</v>
      </c>
      <c r="B168" s="139">
        <v>3</v>
      </c>
      <c r="C168" s="140" t="s">
        <v>421</v>
      </c>
      <c r="D168" s="140" t="s">
        <v>424</v>
      </c>
      <c r="E168" s="140" t="s">
        <v>437</v>
      </c>
      <c r="F168" s="140" t="s">
        <v>480</v>
      </c>
      <c r="G168" s="140"/>
      <c r="H168" s="140" t="s">
        <v>483</v>
      </c>
      <c r="I168" s="140">
        <v>50</v>
      </c>
      <c r="J168" s="140">
        <v>10</v>
      </c>
      <c r="K168" s="140">
        <v>15</v>
      </c>
      <c r="L168" s="140" t="s">
        <v>459</v>
      </c>
      <c r="M168" s="140">
        <v>3</v>
      </c>
      <c r="N168" s="18"/>
      <c r="O168" s="18"/>
      <c r="P168" s="18"/>
      <c r="Q168" s="140">
        <v>10</v>
      </c>
      <c r="R168">
        <v>6.6199999999999992</v>
      </c>
      <c r="S168" s="55">
        <v>3.3800000000000003</v>
      </c>
      <c r="T168" s="82">
        <v>98</v>
      </c>
      <c r="U168" s="82" t="s">
        <v>367</v>
      </c>
      <c r="V168" s="83">
        <v>1.343141125</v>
      </c>
      <c r="W168" s="83">
        <v>2480.9982373276448</v>
      </c>
      <c r="X168" s="81">
        <v>0.80991181249999999</v>
      </c>
      <c r="Y168" s="81">
        <v>66.937033265026813</v>
      </c>
      <c r="Z168" s="154" t="s">
        <v>54</v>
      </c>
      <c r="AA168" s="75">
        <v>2.9111787500000004</v>
      </c>
      <c r="AB168" s="75">
        <v>7.1289713486518078</v>
      </c>
      <c r="AC168" s="75">
        <v>2.0592423593750002</v>
      </c>
      <c r="AD168" s="75">
        <v>-26.716135928040213</v>
      </c>
      <c r="AE168" s="75">
        <v>2.375375</v>
      </c>
      <c r="AF168" s="75">
        <v>2.375375</v>
      </c>
      <c r="AG168" s="32">
        <f t="shared" si="86"/>
        <v>2.3009777396870598E-2</v>
      </c>
      <c r="AH168" s="32">
        <f t="shared" si="87"/>
        <v>0.53073405008612418</v>
      </c>
      <c r="AI168" s="33">
        <f t="shared" si="88"/>
        <v>3.0905378298832348E-2</v>
      </c>
      <c r="AJ168" s="34">
        <f t="shared" si="89"/>
        <v>0.42984777646071859</v>
      </c>
      <c r="AK168" s="16">
        <f t="shared" si="104"/>
        <v>4.1642896438910063E-3</v>
      </c>
      <c r="AL168" s="16">
        <f t="shared" si="105"/>
        <v>5.7919065952108918E-2</v>
      </c>
      <c r="AM168" s="27">
        <f t="shared" si="92"/>
        <v>4.1642896438910064</v>
      </c>
      <c r="AN168" s="27">
        <f t="shared" si="93"/>
        <v>57.919065952108916</v>
      </c>
      <c r="AO168" s="29" t="e">
        <f t="shared" si="94"/>
        <v>#VALUE!</v>
      </c>
      <c r="AP168" s="29" t="e">
        <f t="shared" si="95"/>
        <v>#VALUE!</v>
      </c>
      <c r="AQ168" s="27">
        <f t="shared" si="96"/>
        <v>13.908510431563263</v>
      </c>
      <c r="AR168" s="14">
        <f t="shared" si="97"/>
        <v>2475.8492659789931</v>
      </c>
      <c r="AS168" s="25">
        <v>0.3678691314984826</v>
      </c>
      <c r="AT168" s="22">
        <f t="shared" si="98"/>
        <v>1.2616024161509474</v>
      </c>
      <c r="AU168" s="22">
        <f t="shared" si="99"/>
        <v>0.89373328465246482</v>
      </c>
      <c r="AV168" s="64"/>
      <c r="AW168" s="64"/>
      <c r="AX168" s="116">
        <f t="shared" si="100"/>
        <v>8937.3328465246468</v>
      </c>
      <c r="AY168" s="64"/>
      <c r="AZ168" s="64"/>
      <c r="BA168" s="64"/>
      <c r="BB168" s="64"/>
      <c r="BC168" s="64"/>
      <c r="BD168" s="64"/>
      <c r="BE168" s="14">
        <f t="shared" si="101"/>
        <v>67.623169193067028</v>
      </c>
      <c r="BF168" s="25">
        <v>1.0824781751878776</v>
      </c>
      <c r="BG168" s="22">
        <f t="shared" si="103"/>
        <v>1.1854662569534229</v>
      </c>
      <c r="BH168" s="38">
        <f t="shared" si="102"/>
        <v>0.1029880817655453</v>
      </c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</row>
    <row r="169" spans="1:74" customFormat="1" ht="15">
      <c r="A169" s="138">
        <v>167</v>
      </c>
      <c r="B169" s="139">
        <v>3</v>
      </c>
      <c r="C169" s="140" t="s">
        <v>423</v>
      </c>
      <c r="D169" s="140" t="s">
        <v>414</v>
      </c>
      <c r="E169" s="140" t="s">
        <v>437</v>
      </c>
      <c r="F169" s="140" t="s">
        <v>480</v>
      </c>
      <c r="G169" s="140"/>
      <c r="H169" s="140" t="s">
        <v>483</v>
      </c>
      <c r="I169" s="140">
        <v>50</v>
      </c>
      <c r="J169" s="140">
        <v>10</v>
      </c>
      <c r="K169" s="140">
        <v>15</v>
      </c>
      <c r="L169" s="140" t="s">
        <v>460</v>
      </c>
      <c r="M169" s="140">
        <v>3</v>
      </c>
      <c r="N169" s="18"/>
      <c r="O169" s="18"/>
      <c r="P169" s="18"/>
      <c r="Q169" s="140">
        <v>10</v>
      </c>
      <c r="R169">
        <v>6.507671781187458</v>
      </c>
      <c r="S169" s="55">
        <v>3.4923282188125415</v>
      </c>
      <c r="T169" s="80">
        <v>99</v>
      </c>
      <c r="U169" s="80" t="s">
        <v>368</v>
      </c>
      <c r="V169" s="81">
        <v>1.5980848750000001</v>
      </c>
      <c r="W169" s="81">
        <v>1135.527255781833</v>
      </c>
      <c r="X169" s="83">
        <v>0.98998275000000002</v>
      </c>
      <c r="Y169" s="83">
        <v>13.712621920449296</v>
      </c>
      <c r="Z169" s="154" t="s">
        <v>54</v>
      </c>
      <c r="AA169" s="75">
        <v>2.9111787500000004</v>
      </c>
      <c r="AB169" s="75">
        <v>7.1289713486518078</v>
      </c>
      <c r="AC169" s="75">
        <v>2.0592423593750002</v>
      </c>
      <c r="AD169" s="75">
        <v>-26.716135928040213</v>
      </c>
      <c r="AE169" s="75">
        <v>2.375375</v>
      </c>
      <c r="AF169" s="75">
        <v>2.375375</v>
      </c>
      <c r="AG169" s="32">
        <f t="shared" si="86"/>
        <v>2.3009777396870598E-2</v>
      </c>
      <c r="AH169" s="32">
        <f t="shared" si="87"/>
        <v>0.53073405008612418</v>
      </c>
      <c r="AI169" s="33">
        <f t="shared" si="88"/>
        <v>3.6771577235055773E-2</v>
      </c>
      <c r="AJ169" s="34">
        <f t="shared" si="89"/>
        <v>0.52541755442289895</v>
      </c>
      <c r="AK169" s="16">
        <f t="shared" si="104"/>
        <v>5.0825569764497052E-3</v>
      </c>
      <c r="AL169" s="16">
        <f t="shared" si="105"/>
        <v>7.2623065355907276E-2</v>
      </c>
      <c r="AM169" s="27">
        <f t="shared" si="92"/>
        <v>5.0825569764497054</v>
      </c>
      <c r="AN169" s="27">
        <f t="shared" si="93"/>
        <v>72.623065355907272</v>
      </c>
      <c r="AO169" s="29" t="e">
        <f t="shared" si="94"/>
        <v>#VALUE!</v>
      </c>
      <c r="AP169" s="29" t="e">
        <f t="shared" si="95"/>
        <v>#VALUE!</v>
      </c>
      <c r="AQ169" s="27">
        <f t="shared" si="96"/>
        <v>14.288686913380424</v>
      </c>
      <c r="AR169" s="14">
        <f t="shared" si="97"/>
        <v>1130.3782844331811</v>
      </c>
      <c r="AS169" s="25">
        <v>0.3678691314984826</v>
      </c>
      <c r="AT169" s="22">
        <f t="shared" si="98"/>
        <v>0.77704183252018422</v>
      </c>
      <c r="AU169" s="22">
        <f t="shared" si="99"/>
        <v>0.40917270102170161</v>
      </c>
      <c r="AV169" s="64"/>
      <c r="AW169" s="64"/>
      <c r="AX169" s="116">
        <f t="shared" si="100"/>
        <v>4091.7270102170164</v>
      </c>
      <c r="AY169" s="64"/>
      <c r="AZ169" s="64"/>
      <c r="BA169" s="64"/>
      <c r="BB169" s="64"/>
      <c r="BC169" s="64"/>
      <c r="BD169" s="64"/>
      <c r="BE169" s="14">
        <f t="shared" si="101"/>
        <v>14.398757848489508</v>
      </c>
      <c r="BF169" s="25">
        <v>1.0824781751878776</v>
      </c>
      <c r="BG169" s="22">
        <f t="shared" si="103"/>
        <v>1.1270330610432955</v>
      </c>
      <c r="BH169" s="38">
        <f t="shared" si="102"/>
        <v>4.4554885855417892E-2</v>
      </c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</row>
    <row r="170" spans="1:74" customFormat="1" ht="15">
      <c r="A170" s="138">
        <v>168</v>
      </c>
      <c r="B170" s="139">
        <v>3</v>
      </c>
      <c r="C170" s="140" t="s">
        <v>425</v>
      </c>
      <c r="D170" s="140" t="s">
        <v>409</v>
      </c>
      <c r="E170" s="140" t="s">
        <v>437</v>
      </c>
      <c r="F170" s="140" t="s">
        <v>480</v>
      </c>
      <c r="G170" s="140"/>
      <c r="H170" s="140" t="s">
        <v>483</v>
      </c>
      <c r="I170" s="140">
        <v>50</v>
      </c>
      <c r="J170" s="140">
        <v>10</v>
      </c>
      <c r="K170" s="140">
        <v>15</v>
      </c>
      <c r="L170" s="140" t="s">
        <v>461</v>
      </c>
      <c r="M170" s="140">
        <v>3</v>
      </c>
      <c r="N170" s="18"/>
      <c r="O170" s="18"/>
      <c r="P170" s="18"/>
      <c r="Q170" s="140">
        <v>10</v>
      </c>
      <c r="R170">
        <v>6.8097139055222904</v>
      </c>
      <c r="S170" s="55">
        <v>3.1902860944777101</v>
      </c>
      <c r="T170" s="82">
        <v>100</v>
      </c>
      <c r="U170" s="82" t="s">
        <v>369</v>
      </c>
      <c r="V170" s="83">
        <v>1.9032770000000001</v>
      </c>
      <c r="W170" s="83">
        <v>1612.9911391047087</v>
      </c>
      <c r="X170" s="81">
        <v>1.194954375</v>
      </c>
      <c r="Y170" s="81">
        <v>31.96433914939055</v>
      </c>
      <c r="Z170" s="154" t="s">
        <v>54</v>
      </c>
      <c r="AA170" s="75">
        <v>2.9111787500000004</v>
      </c>
      <c r="AB170" s="75">
        <v>7.1289713486518078</v>
      </c>
      <c r="AC170" s="75">
        <v>2.0592423593750002</v>
      </c>
      <c r="AD170" s="75">
        <v>-26.716135928040213</v>
      </c>
      <c r="AE170" s="75">
        <v>2.375375</v>
      </c>
      <c r="AF170" s="75">
        <v>2.375375</v>
      </c>
      <c r="AG170" s="32">
        <f t="shared" si="86"/>
        <v>2.3009777396870598E-2</v>
      </c>
      <c r="AH170" s="32">
        <f t="shared" si="87"/>
        <v>0.53073405008612418</v>
      </c>
      <c r="AI170" s="33">
        <f t="shared" si="88"/>
        <v>4.3793980094583684E-2</v>
      </c>
      <c r="AJ170" s="34">
        <f t="shared" si="89"/>
        <v>0.63420297511188317</v>
      </c>
      <c r="AK170" s="16">
        <f t="shared" si="104"/>
        <v>5.6552070045603068E-3</v>
      </c>
      <c r="AL170" s="16">
        <f t="shared" si="105"/>
        <v>8.189593865229168E-2</v>
      </c>
      <c r="AM170" s="27">
        <f t="shared" si="92"/>
        <v>5.6552070045603067</v>
      </c>
      <c r="AN170" s="27">
        <f t="shared" si="93"/>
        <v>81.895938652291676</v>
      </c>
      <c r="AO170" s="29" t="e">
        <f t="shared" si="94"/>
        <v>#VALUE!</v>
      </c>
      <c r="AP170" s="29" t="e">
        <f t="shared" si="95"/>
        <v>#VALUE!</v>
      </c>
      <c r="AQ170" s="27">
        <f t="shared" si="96"/>
        <v>14.481510329551426</v>
      </c>
      <c r="AR170" s="14">
        <f t="shared" si="97"/>
        <v>1607.8421677560568</v>
      </c>
      <c r="AS170" s="25">
        <v>0.3678691314984826</v>
      </c>
      <c r="AT170" s="22">
        <f t="shared" si="98"/>
        <v>0.94954008340611396</v>
      </c>
      <c r="AU170" s="22">
        <f t="shared" si="99"/>
        <v>0.5816709519076313</v>
      </c>
      <c r="AV170" s="64"/>
      <c r="AW170" s="64"/>
      <c r="AX170" s="116">
        <f t="shared" si="100"/>
        <v>5816.709519076313</v>
      </c>
      <c r="AY170" s="64"/>
      <c r="AZ170" s="64"/>
      <c r="BA170" s="64"/>
      <c r="BB170" s="64"/>
      <c r="BC170" s="64"/>
      <c r="BD170" s="64"/>
      <c r="BE170" s="14">
        <f t="shared" si="101"/>
        <v>32.650475077430762</v>
      </c>
      <c r="BF170" s="25">
        <v>1.0824781751878776</v>
      </c>
      <c r="BG170" s="22">
        <f t="shared" si="103"/>
        <v>1.1470787592144351</v>
      </c>
      <c r="BH170" s="38">
        <f t="shared" si="102"/>
        <v>6.460058402655755E-2</v>
      </c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</row>
    <row r="171" spans="1:74" customFormat="1" ht="15">
      <c r="A171" s="138">
        <v>169</v>
      </c>
      <c r="B171" s="139">
        <v>4</v>
      </c>
      <c r="C171" s="140" t="s">
        <v>408</v>
      </c>
      <c r="D171" s="140" t="s">
        <v>416</v>
      </c>
      <c r="E171" s="140" t="s">
        <v>437</v>
      </c>
      <c r="F171" s="140" t="s">
        <v>480</v>
      </c>
      <c r="G171" s="140"/>
      <c r="H171" s="140" t="s">
        <v>484</v>
      </c>
      <c r="I171" s="140">
        <v>50</v>
      </c>
      <c r="J171" s="140">
        <v>10</v>
      </c>
      <c r="K171" s="140">
        <v>15</v>
      </c>
      <c r="L171" s="140" t="s">
        <v>462</v>
      </c>
      <c r="M171" s="140">
        <v>3</v>
      </c>
      <c r="N171" s="18"/>
      <c r="O171" s="18"/>
      <c r="P171" s="18"/>
      <c r="Q171" s="140">
        <v>10</v>
      </c>
      <c r="R171">
        <v>5.9620505992010653</v>
      </c>
      <c r="S171" s="55">
        <v>4.0379494007989356</v>
      </c>
      <c r="T171" s="80">
        <v>101</v>
      </c>
      <c r="U171" s="80" t="s">
        <v>370</v>
      </c>
      <c r="V171" s="81">
        <v>3.0500335000000001</v>
      </c>
      <c r="W171" s="81">
        <v>3174.6704271666717</v>
      </c>
      <c r="X171" s="83">
        <v>1.3848525</v>
      </c>
      <c r="Y171" s="83">
        <v>122.59815991421837</v>
      </c>
      <c r="Z171" s="154" t="s">
        <v>54</v>
      </c>
      <c r="AA171" s="75">
        <v>2.9111787500000004</v>
      </c>
      <c r="AB171" s="75">
        <v>7.1289713486518078</v>
      </c>
      <c r="AC171" s="75">
        <v>2.0592423593750002</v>
      </c>
      <c r="AD171" s="75">
        <v>-26.716135928040213</v>
      </c>
      <c r="AE171" s="75">
        <v>2.375375</v>
      </c>
      <c r="AF171" s="75">
        <v>2.375375</v>
      </c>
      <c r="AG171" s="32">
        <f t="shared" si="86"/>
        <v>2.3009777396870598E-2</v>
      </c>
      <c r="AH171" s="32">
        <f t="shared" si="87"/>
        <v>0.53073405008612418</v>
      </c>
      <c r="AI171" s="33">
        <f t="shared" si="88"/>
        <v>7.018059188799812E-2</v>
      </c>
      <c r="AJ171" s="34">
        <f t="shared" si="89"/>
        <v>0.73498837609689427</v>
      </c>
      <c r="AK171" s="16">
        <f t="shared" si="104"/>
        <v>1.1016249990384816E-2</v>
      </c>
      <c r="AL171" s="16">
        <f t="shared" si="105"/>
        <v>0.11537115138658491</v>
      </c>
      <c r="AM171" s="27">
        <f t="shared" si="92"/>
        <v>11.016249990384816</v>
      </c>
      <c r="AN171" s="27">
        <f t="shared" si="93"/>
        <v>115.37115138658491</v>
      </c>
      <c r="AO171" s="29" t="e">
        <f t="shared" si="94"/>
        <v>#VALUE!</v>
      </c>
      <c r="AP171" s="29" t="e">
        <f t="shared" si="95"/>
        <v>#VALUE!</v>
      </c>
      <c r="AQ171" s="27">
        <f t="shared" si="96"/>
        <v>10.472815294431674</v>
      </c>
      <c r="AR171" s="14">
        <f t="shared" si="97"/>
        <v>3169.5214558180201</v>
      </c>
      <c r="AS171" s="25">
        <v>0.3678691314984826</v>
      </c>
      <c r="AT171" s="22">
        <f t="shared" si="98"/>
        <v>1.5095785341179833</v>
      </c>
      <c r="AU171" s="22">
        <f t="shared" si="99"/>
        <v>1.1417094026195007</v>
      </c>
      <c r="AV171" s="64"/>
      <c r="AW171" s="64"/>
      <c r="AX171" s="116">
        <f t="shared" si="100"/>
        <v>11417.094026195007</v>
      </c>
      <c r="AY171" s="64"/>
      <c r="AZ171" s="64"/>
      <c r="BA171" s="64"/>
      <c r="BB171" s="64"/>
      <c r="BC171" s="64"/>
      <c r="BD171" s="64"/>
      <c r="BE171" s="14">
        <f t="shared" si="101"/>
        <v>123.28429584225859</v>
      </c>
      <c r="BF171" s="25">
        <v>1.0824781751878776</v>
      </c>
      <c r="BG171" s="22">
        <f t="shared" si="103"/>
        <v>1.246500799317918</v>
      </c>
      <c r="BH171" s="38">
        <f t="shared" si="102"/>
        <v>0.16402262413004043</v>
      </c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</row>
    <row r="172" spans="1:74" customFormat="1" ht="15">
      <c r="A172" s="138">
        <v>170</v>
      </c>
      <c r="B172" s="139">
        <v>4</v>
      </c>
      <c r="C172" s="140" t="s">
        <v>413</v>
      </c>
      <c r="D172" s="140" t="s">
        <v>409</v>
      </c>
      <c r="E172" s="140" t="s">
        <v>437</v>
      </c>
      <c r="F172" s="140" t="s">
        <v>480</v>
      </c>
      <c r="G172" s="140"/>
      <c r="H172" s="140" t="s">
        <v>484</v>
      </c>
      <c r="I172" s="140">
        <v>50</v>
      </c>
      <c r="J172" s="140">
        <v>10</v>
      </c>
      <c r="K172" s="140">
        <v>15</v>
      </c>
      <c r="L172" s="140" t="s">
        <v>463</v>
      </c>
      <c r="M172" s="140">
        <v>3</v>
      </c>
      <c r="N172" s="18"/>
      <c r="O172" s="18"/>
      <c r="P172" s="18"/>
      <c r="Q172" s="140">
        <v>10</v>
      </c>
      <c r="R172">
        <v>6.0935944241619655</v>
      </c>
      <c r="S172" s="55">
        <v>3.9064055758380349</v>
      </c>
      <c r="T172" s="82">
        <v>102</v>
      </c>
      <c r="U172" s="82" t="s">
        <v>371</v>
      </c>
      <c r="V172" s="83">
        <v>4.4292685000000001</v>
      </c>
      <c r="W172" s="83">
        <v>1585.397596320199</v>
      </c>
      <c r="X172" s="81">
        <v>2.0564260000000001</v>
      </c>
      <c r="Y172" s="81">
        <v>18.333963226024718</v>
      </c>
      <c r="Z172" s="154" t="s">
        <v>54</v>
      </c>
      <c r="AA172" s="75">
        <v>2.9111787500000004</v>
      </c>
      <c r="AB172" s="75">
        <v>7.1289713486518078</v>
      </c>
      <c r="AC172" s="75">
        <v>2.0592423593750002</v>
      </c>
      <c r="AD172" s="75">
        <v>-26.716135928040213</v>
      </c>
      <c r="AE172" s="75">
        <v>2.375375</v>
      </c>
      <c r="AF172" s="75">
        <v>2.375375</v>
      </c>
      <c r="AG172" s="32">
        <f t="shared" si="86"/>
        <v>2.3009777396870598E-2</v>
      </c>
      <c r="AH172" s="32">
        <f t="shared" si="87"/>
        <v>0.53073405008612418</v>
      </c>
      <c r="AI172" s="33">
        <f t="shared" si="88"/>
        <v>0.10191648221597094</v>
      </c>
      <c r="AJ172" s="34">
        <f t="shared" si="89"/>
        <v>1.091415299682408</v>
      </c>
      <c r="AK172" s="16">
        <f t="shared" si="104"/>
        <v>1.5505811927556942E-2</v>
      </c>
      <c r="AL172" s="16">
        <f t="shared" si="105"/>
        <v>0.16605047587760671</v>
      </c>
      <c r="AM172" s="27">
        <f t="shared" si="92"/>
        <v>15.505811927556943</v>
      </c>
      <c r="AN172" s="27">
        <f t="shared" si="93"/>
        <v>166.05047587760671</v>
      </c>
      <c r="AO172" s="29" t="e">
        <f t="shared" si="94"/>
        <v>#VALUE!</v>
      </c>
      <c r="AP172" s="29" t="e">
        <f t="shared" si="95"/>
        <v>#VALUE!</v>
      </c>
      <c r="AQ172" s="27">
        <f t="shared" si="96"/>
        <v>10.708918478657779</v>
      </c>
      <c r="AR172" s="14">
        <f t="shared" si="97"/>
        <v>1580.2486249715471</v>
      </c>
      <c r="AS172" s="25">
        <v>0.3678691314984826</v>
      </c>
      <c r="AT172" s="22">
        <f t="shared" si="98"/>
        <v>0.93958741361027753</v>
      </c>
      <c r="AU172" s="22">
        <f t="shared" si="99"/>
        <v>0.57171828211179498</v>
      </c>
      <c r="AV172" s="64"/>
      <c r="AW172" s="64"/>
      <c r="AX172" s="116">
        <f t="shared" si="100"/>
        <v>5717.18282111795</v>
      </c>
      <c r="AY172" s="64"/>
      <c r="AZ172" s="64"/>
      <c r="BA172" s="64"/>
      <c r="BB172" s="64"/>
      <c r="BC172" s="64"/>
      <c r="BD172" s="64"/>
      <c r="BE172" s="14">
        <f t="shared" si="101"/>
        <v>19.02009915406493</v>
      </c>
      <c r="BF172" s="25">
        <v>1.0824781751878776</v>
      </c>
      <c r="BG172" s="22">
        <f t="shared" si="103"/>
        <v>1.132109407560169</v>
      </c>
      <c r="BH172" s="38">
        <f t="shared" si="102"/>
        <v>4.963123237229139E-2</v>
      </c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</row>
    <row r="173" spans="1:74" customFormat="1" ht="15">
      <c r="A173" s="138">
        <v>171</v>
      </c>
      <c r="B173" s="139">
        <v>4</v>
      </c>
      <c r="C173" s="140" t="s">
        <v>415</v>
      </c>
      <c r="D173" s="140" t="s">
        <v>418</v>
      </c>
      <c r="E173" s="140" t="s">
        <v>437</v>
      </c>
      <c r="F173" s="140" t="s">
        <v>480</v>
      </c>
      <c r="G173" s="140"/>
      <c r="H173" s="140" t="s">
        <v>484</v>
      </c>
      <c r="I173" s="140">
        <v>50</v>
      </c>
      <c r="J173" s="140">
        <v>10</v>
      </c>
      <c r="K173" s="140">
        <v>15</v>
      </c>
      <c r="L173" s="140" t="s">
        <v>464</v>
      </c>
      <c r="M173" s="140">
        <v>3</v>
      </c>
      <c r="N173" s="18"/>
      <c r="O173" s="18"/>
      <c r="P173" s="18"/>
      <c r="Q173" s="140">
        <v>10</v>
      </c>
      <c r="R173">
        <v>6.1387129043014346</v>
      </c>
      <c r="S173" s="55">
        <v>3.8612870956985663</v>
      </c>
      <c r="T173" s="80">
        <v>103</v>
      </c>
      <c r="U173" s="80" t="s">
        <v>372</v>
      </c>
      <c r="V173" s="81">
        <v>2.66353975</v>
      </c>
      <c r="W173" s="81">
        <v>2731.8936550468984</v>
      </c>
      <c r="X173" s="83">
        <v>1.395845625</v>
      </c>
      <c r="Y173" s="83">
        <v>80.351429930506569</v>
      </c>
      <c r="Z173" s="154" t="s">
        <v>54</v>
      </c>
      <c r="AA173" s="75">
        <v>2.9111787500000004</v>
      </c>
      <c r="AB173" s="75">
        <v>7.1289713486518078</v>
      </c>
      <c r="AC173" s="75">
        <v>2.0592423593750002</v>
      </c>
      <c r="AD173" s="75">
        <v>-26.716135928040213</v>
      </c>
      <c r="AE173" s="75">
        <v>2.375375</v>
      </c>
      <c r="AF173" s="75">
        <v>2.375375</v>
      </c>
      <c r="AG173" s="32">
        <f t="shared" si="86"/>
        <v>2.3009777396870598E-2</v>
      </c>
      <c r="AH173" s="32">
        <f t="shared" si="87"/>
        <v>0.53073405008612418</v>
      </c>
      <c r="AI173" s="33">
        <f t="shared" si="88"/>
        <v>6.1287456735216364E-2</v>
      </c>
      <c r="AJ173" s="34">
        <f t="shared" si="89"/>
        <v>0.74082280185124727</v>
      </c>
      <c r="AK173" s="16">
        <f t="shared" si="104"/>
        <v>9.2258539796594013E-3</v>
      </c>
      <c r="AL173" s="16">
        <f t="shared" si="105"/>
        <v>0.11151911596218123</v>
      </c>
      <c r="AM173" s="27">
        <f t="shared" si="92"/>
        <v>9.2258539796594015</v>
      </c>
      <c r="AN173" s="27">
        <f t="shared" si="93"/>
        <v>111.51911596218123</v>
      </c>
      <c r="AO173" s="29" t="e">
        <f t="shared" si="94"/>
        <v>#VALUE!</v>
      </c>
      <c r="AP173" s="29" t="e">
        <f t="shared" si="95"/>
        <v>#VALUE!</v>
      </c>
      <c r="AQ173" s="27">
        <f t="shared" si="96"/>
        <v>12.087674074188877</v>
      </c>
      <c r="AR173" s="14">
        <f t="shared" si="97"/>
        <v>2726.7446836982467</v>
      </c>
      <c r="AS173" s="25">
        <v>0.3678691314984826</v>
      </c>
      <c r="AT173" s="22">
        <f t="shared" si="98"/>
        <v>1.3514373120839185</v>
      </c>
      <c r="AU173" s="22">
        <f t="shared" si="99"/>
        <v>0.98356818058543594</v>
      </c>
      <c r="AV173" s="64"/>
      <c r="AW173" s="64"/>
      <c r="AX173" s="116">
        <f t="shared" si="100"/>
        <v>9835.6818058543595</v>
      </c>
      <c r="AY173" s="64"/>
      <c r="AZ173" s="64"/>
      <c r="BA173" s="64"/>
      <c r="BB173" s="64"/>
      <c r="BC173" s="64"/>
      <c r="BD173" s="64"/>
      <c r="BE173" s="14">
        <f t="shared" si="101"/>
        <v>81.037565858546785</v>
      </c>
      <c r="BF173" s="25">
        <v>1.0824781751878776</v>
      </c>
      <c r="BG173" s="22">
        <f t="shared" si="103"/>
        <v>1.2001825522272584</v>
      </c>
      <c r="BH173" s="38">
        <f t="shared" si="102"/>
        <v>0.11770437703938086</v>
      </c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</row>
    <row r="174" spans="1:74" customFormat="1" ht="15">
      <c r="A174" s="138">
        <v>172</v>
      </c>
      <c r="B174" s="139">
        <v>4</v>
      </c>
      <c r="C174" s="140" t="s">
        <v>417</v>
      </c>
      <c r="D174" s="140" t="s">
        <v>424</v>
      </c>
      <c r="E174" s="140" t="s">
        <v>437</v>
      </c>
      <c r="F174" s="140" t="s">
        <v>480</v>
      </c>
      <c r="G174" s="140"/>
      <c r="H174" s="140" t="s">
        <v>484</v>
      </c>
      <c r="I174" s="140">
        <v>50</v>
      </c>
      <c r="J174" s="140">
        <v>10</v>
      </c>
      <c r="K174" s="140">
        <v>15</v>
      </c>
      <c r="L174" s="140" t="s">
        <v>465</v>
      </c>
      <c r="M174" s="140">
        <v>3</v>
      </c>
      <c r="N174" s="18"/>
      <c r="O174" s="18"/>
      <c r="P174" s="18"/>
      <c r="Q174" s="140">
        <v>10</v>
      </c>
      <c r="R174">
        <v>6.896896896896898</v>
      </c>
      <c r="S174" s="55">
        <v>3.103103103103102</v>
      </c>
      <c r="T174" s="82">
        <v>104</v>
      </c>
      <c r="U174" s="82" t="s">
        <v>373</v>
      </c>
      <c r="V174" s="83">
        <v>1.554033</v>
      </c>
      <c r="W174" s="83">
        <v>3126.9188855715879</v>
      </c>
      <c r="X174" s="81">
        <v>0.924697875</v>
      </c>
      <c r="Y174" s="81">
        <v>107.05002475539034</v>
      </c>
      <c r="Z174" s="154" t="s">
        <v>54</v>
      </c>
      <c r="AA174" s="75">
        <v>2.9111787500000004</v>
      </c>
      <c r="AB174" s="75">
        <v>7.1289713486518078</v>
      </c>
      <c r="AC174" s="75">
        <v>2.0592423593750002</v>
      </c>
      <c r="AD174" s="75">
        <v>-26.716135928040213</v>
      </c>
      <c r="AE174" s="75">
        <v>2.375375</v>
      </c>
      <c r="AF174" s="75">
        <v>2.375375</v>
      </c>
      <c r="AG174" s="32">
        <f t="shared" si="86"/>
        <v>2.3009777396870598E-2</v>
      </c>
      <c r="AH174" s="32">
        <f t="shared" si="87"/>
        <v>0.53073405008612418</v>
      </c>
      <c r="AI174" s="33">
        <f t="shared" si="88"/>
        <v>3.5757953397391004E-2</v>
      </c>
      <c r="AJ174" s="34">
        <f t="shared" si="89"/>
        <v>0.49076864830478262</v>
      </c>
      <c r="AK174" s="16">
        <f t="shared" si="104"/>
        <v>4.5289947747638908E-3</v>
      </c>
      <c r="AL174" s="16">
        <f t="shared" si="105"/>
        <v>6.2159280177161137E-2</v>
      </c>
      <c r="AM174" s="27">
        <f t="shared" si="92"/>
        <v>4.5289947747638912</v>
      </c>
      <c r="AN174" s="27">
        <f t="shared" si="93"/>
        <v>62.159280177161136</v>
      </c>
      <c r="AO174" s="29" t="e">
        <f t="shared" si="94"/>
        <v>#VALUE!</v>
      </c>
      <c r="AP174" s="29" t="e">
        <f t="shared" si="95"/>
        <v>#VALUE!</v>
      </c>
      <c r="AQ174" s="27">
        <f t="shared" si="96"/>
        <v>13.724740978620728</v>
      </c>
      <c r="AR174" s="14">
        <f t="shared" si="97"/>
        <v>3121.7699142229362</v>
      </c>
      <c r="AS174" s="25">
        <v>0.3678691314984826</v>
      </c>
      <c r="AT174" s="22">
        <f t="shared" si="98"/>
        <v>1.4925480897203933</v>
      </c>
      <c r="AU174" s="22">
        <f t="shared" si="99"/>
        <v>1.1246789582219108</v>
      </c>
      <c r="AV174" s="64"/>
      <c r="AW174" s="64"/>
      <c r="AX174" s="116">
        <f t="shared" si="100"/>
        <v>11246.789582219108</v>
      </c>
      <c r="AY174" s="64"/>
      <c r="AZ174" s="64"/>
      <c r="BA174" s="64"/>
      <c r="BB174" s="64"/>
      <c r="BC174" s="64"/>
      <c r="BD174" s="64"/>
      <c r="BE174" s="14">
        <f t="shared" si="101"/>
        <v>107.73616068343055</v>
      </c>
      <c r="BF174" s="25">
        <v>1.0824781751878776</v>
      </c>
      <c r="BG174" s="22">
        <f t="shared" si="103"/>
        <v>1.2294592681681649</v>
      </c>
      <c r="BH174" s="38">
        <f t="shared" si="102"/>
        <v>0.14698109298028728</v>
      </c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</row>
    <row r="175" spans="1:74" customFormat="1" ht="15">
      <c r="A175" s="138">
        <v>173</v>
      </c>
      <c r="B175" s="139">
        <v>4</v>
      </c>
      <c r="C175" s="140" t="s">
        <v>419</v>
      </c>
      <c r="D175" s="140" t="s">
        <v>414</v>
      </c>
      <c r="E175" s="140" t="s">
        <v>437</v>
      </c>
      <c r="F175" s="140" t="s">
        <v>480</v>
      </c>
      <c r="G175" s="140"/>
      <c r="H175" s="140" t="s">
        <v>484</v>
      </c>
      <c r="I175" s="140">
        <v>50</v>
      </c>
      <c r="J175" s="140">
        <v>10</v>
      </c>
      <c r="K175" s="140">
        <v>15</v>
      </c>
      <c r="L175" s="140" t="s">
        <v>466</v>
      </c>
      <c r="M175" s="140">
        <v>3</v>
      </c>
      <c r="N175" s="18"/>
      <c r="O175" s="18"/>
      <c r="P175" s="18"/>
      <c r="Q175" s="140">
        <v>10</v>
      </c>
      <c r="R175">
        <v>6.0339660339660348</v>
      </c>
      <c r="S175" s="55">
        <v>3.9660339660339652</v>
      </c>
      <c r="T175" s="80">
        <v>105</v>
      </c>
      <c r="U175" s="80" t="s">
        <v>374</v>
      </c>
      <c r="V175" s="81">
        <v>1.6594015</v>
      </c>
      <c r="W175" s="81">
        <v>2190.5231135693912</v>
      </c>
      <c r="X175" s="83">
        <v>0.86926387500000002</v>
      </c>
      <c r="Y175" s="83">
        <v>72.998218745599857</v>
      </c>
      <c r="Z175" s="154" t="s">
        <v>54</v>
      </c>
      <c r="AA175" s="75">
        <v>2.9111787500000004</v>
      </c>
      <c r="AB175" s="75">
        <v>7.1289713486518078</v>
      </c>
      <c r="AC175" s="75">
        <v>2.0592423593750002</v>
      </c>
      <c r="AD175" s="75">
        <v>-26.716135928040213</v>
      </c>
      <c r="AE175" s="75">
        <v>2.375375</v>
      </c>
      <c r="AF175" s="75">
        <v>2.375375</v>
      </c>
      <c r="AG175" s="32">
        <f t="shared" si="86"/>
        <v>2.3009777396870598E-2</v>
      </c>
      <c r="AH175" s="32">
        <f t="shared" si="87"/>
        <v>0.53073405008612418</v>
      </c>
      <c r="AI175" s="33">
        <f t="shared" si="88"/>
        <v>3.8182459127033164E-2</v>
      </c>
      <c r="AJ175" s="34">
        <f t="shared" si="89"/>
        <v>0.46134793697230841</v>
      </c>
      <c r="AK175" s="16">
        <f t="shared" si="104"/>
        <v>5.8917304480786267E-3</v>
      </c>
      <c r="AL175" s="16">
        <f t="shared" si="105"/>
        <v>7.1188125373872743E-2</v>
      </c>
      <c r="AM175" s="27">
        <f t="shared" si="92"/>
        <v>5.8917304480786266</v>
      </c>
      <c r="AN175" s="27">
        <f t="shared" si="93"/>
        <v>71.188125373872737</v>
      </c>
      <c r="AO175" s="29" t="e">
        <f t="shared" si="94"/>
        <v>#VALUE!</v>
      </c>
      <c r="AP175" s="29" t="e">
        <f t="shared" si="95"/>
        <v>#VALUE!</v>
      </c>
      <c r="AQ175" s="27">
        <f t="shared" si="96"/>
        <v>12.082719330292539</v>
      </c>
      <c r="AR175" s="14">
        <f t="shared" si="97"/>
        <v>2185.3741422207395</v>
      </c>
      <c r="AS175" s="25">
        <v>0.3678691314984826</v>
      </c>
      <c r="AT175" s="22">
        <f t="shared" si="98"/>
        <v>1.157391137979213</v>
      </c>
      <c r="AU175" s="22">
        <f t="shared" si="99"/>
        <v>0.78952200648073045</v>
      </c>
      <c r="AV175" s="64"/>
      <c r="AW175" s="64"/>
      <c r="AX175" s="116">
        <f t="shared" si="100"/>
        <v>7895.2200648073058</v>
      </c>
      <c r="AY175" s="64"/>
      <c r="AZ175" s="64"/>
      <c r="BA175" s="64"/>
      <c r="BB175" s="64"/>
      <c r="BC175" s="64"/>
      <c r="BD175" s="64"/>
      <c r="BE175" s="14">
        <f t="shared" si="101"/>
        <v>73.684354673640073</v>
      </c>
      <c r="BF175" s="25">
        <v>1.0824781751878776</v>
      </c>
      <c r="BG175" s="22">
        <f t="shared" si="103"/>
        <v>1.1921162375582512</v>
      </c>
      <c r="BH175" s="38">
        <f t="shared" si="102"/>
        <v>0.10963806237037366</v>
      </c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</row>
    <row r="176" spans="1:74" customFormat="1" ht="15">
      <c r="A176" s="138">
        <v>174</v>
      </c>
      <c r="B176" s="139">
        <v>4</v>
      </c>
      <c r="C176" s="140" t="s">
        <v>421</v>
      </c>
      <c r="D176" s="140" t="s">
        <v>420</v>
      </c>
      <c r="E176" s="140" t="s">
        <v>437</v>
      </c>
      <c r="F176" s="140" t="s">
        <v>480</v>
      </c>
      <c r="G176" s="140"/>
      <c r="H176" s="140" t="s">
        <v>484</v>
      </c>
      <c r="I176" s="140">
        <v>50</v>
      </c>
      <c r="J176" s="140">
        <v>10</v>
      </c>
      <c r="K176" s="140">
        <v>15</v>
      </c>
      <c r="L176" s="140" t="s">
        <v>468</v>
      </c>
      <c r="M176" s="140">
        <v>3</v>
      </c>
      <c r="N176" s="18"/>
      <c r="O176" s="18"/>
      <c r="P176" s="18"/>
      <c r="Q176" s="140">
        <v>10</v>
      </c>
      <c r="R176">
        <v>6.6977053541735954</v>
      </c>
      <c r="S176" s="55">
        <v>3.3022946458264051</v>
      </c>
      <c r="T176" s="80">
        <v>107</v>
      </c>
      <c r="U176" s="80" t="s">
        <v>376</v>
      </c>
      <c r="V176" s="81">
        <v>2.7294119999999999</v>
      </c>
      <c r="W176" s="81">
        <v>1368.755802846207</v>
      </c>
      <c r="X176" s="83">
        <v>1.27018275</v>
      </c>
      <c r="Y176" s="83">
        <v>22.180848981875091</v>
      </c>
      <c r="Z176" s="154" t="s">
        <v>54</v>
      </c>
      <c r="AA176" s="75">
        <v>2.9111787500000004</v>
      </c>
      <c r="AB176" s="75">
        <v>7.1289713486518078</v>
      </c>
      <c r="AC176" s="75">
        <v>2.0592423593750002</v>
      </c>
      <c r="AD176" s="75">
        <v>-26.716135928040213</v>
      </c>
      <c r="AE176" s="75">
        <v>2.375375</v>
      </c>
      <c r="AF176" s="75">
        <v>2.375375</v>
      </c>
      <c r="AG176" s="32">
        <f t="shared" si="86"/>
        <v>2.3009777396870598E-2</v>
      </c>
      <c r="AH176" s="32">
        <f t="shared" si="87"/>
        <v>0.53073405008612418</v>
      </c>
      <c r="AI176" s="33">
        <f t="shared" si="88"/>
        <v>6.2803162544347368E-2</v>
      </c>
      <c r="AJ176" s="34">
        <f t="shared" si="89"/>
        <v>0.67412923525703095</v>
      </c>
      <c r="AK176" s="16">
        <f t="shared" si="104"/>
        <v>8.3155461826345395E-3</v>
      </c>
      <c r="AL176" s="16">
        <f t="shared" si="105"/>
        <v>8.9259084443168615E-2</v>
      </c>
      <c r="AM176" s="27">
        <f t="shared" si="92"/>
        <v>8.3155461826345398</v>
      </c>
      <c r="AN176" s="27">
        <f t="shared" si="93"/>
        <v>89.259084443168618</v>
      </c>
      <c r="AO176" s="29" t="e">
        <f t="shared" si="94"/>
        <v>#VALUE!</v>
      </c>
      <c r="AP176" s="29" t="e">
        <f t="shared" si="95"/>
        <v>#VALUE!</v>
      </c>
      <c r="AQ176" s="27">
        <f t="shared" si="96"/>
        <v>10.734001409260342</v>
      </c>
      <c r="AR176" s="14">
        <f t="shared" si="97"/>
        <v>1363.606831497555</v>
      </c>
      <c r="AS176" s="25">
        <v>0.3678691314984826</v>
      </c>
      <c r="AT176" s="22">
        <f t="shared" si="98"/>
        <v>0.86137768895167255</v>
      </c>
      <c r="AU176" s="22">
        <f t="shared" si="99"/>
        <v>0.49350855745318994</v>
      </c>
      <c r="AV176" s="64"/>
      <c r="AW176" s="64"/>
      <c r="AX176" s="116">
        <f t="shared" si="100"/>
        <v>4935.0855745318995</v>
      </c>
      <c r="AY176" s="64"/>
      <c r="AZ176" s="64"/>
      <c r="BA176" s="64"/>
      <c r="BB176" s="64"/>
      <c r="BC176" s="64"/>
      <c r="BD176" s="64"/>
      <c r="BE176" s="14">
        <f t="shared" si="101"/>
        <v>22.866984909915303</v>
      </c>
      <c r="BF176" s="25">
        <v>1.0824781751878776</v>
      </c>
      <c r="BG176" s="22">
        <f t="shared" si="103"/>
        <v>1.1363346501218765</v>
      </c>
      <c r="BH176" s="38">
        <f t="shared" si="102"/>
        <v>5.3856474933998921E-2</v>
      </c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</row>
    <row r="177" spans="1:74" customFormat="1" ht="15">
      <c r="A177" s="138">
        <v>175</v>
      </c>
      <c r="B177" s="139">
        <v>4</v>
      </c>
      <c r="C177" s="140" t="s">
        <v>423</v>
      </c>
      <c r="D177" s="140" t="s">
        <v>426</v>
      </c>
      <c r="E177" s="140" t="s">
        <v>437</v>
      </c>
      <c r="F177" s="140" t="s">
        <v>480</v>
      </c>
      <c r="G177" s="140"/>
      <c r="H177" s="140" t="s">
        <v>484</v>
      </c>
      <c r="I177" s="140">
        <v>50</v>
      </c>
      <c r="J177" s="140">
        <v>10</v>
      </c>
      <c r="K177" s="140">
        <v>15</v>
      </c>
      <c r="L177" s="140" t="s">
        <v>469</v>
      </c>
      <c r="M177" s="140">
        <v>3</v>
      </c>
      <c r="N177" s="18"/>
      <c r="O177" s="18"/>
      <c r="P177" s="18"/>
      <c r="Q177" s="140">
        <v>10</v>
      </c>
      <c r="R177">
        <v>6.5584630672408082</v>
      </c>
      <c r="S177" s="55">
        <v>3.4415369327591918</v>
      </c>
      <c r="T177" s="82">
        <v>108</v>
      </c>
      <c r="U177" s="82" t="s">
        <v>377</v>
      </c>
      <c r="V177" s="83">
        <v>3.9077570000000001</v>
      </c>
      <c r="W177" s="83">
        <v>2416.9884808888487</v>
      </c>
      <c r="X177" s="81">
        <v>2.0981507499999998</v>
      </c>
      <c r="Y177" s="81">
        <v>50.124438767221051</v>
      </c>
      <c r="Z177" s="154" t="s">
        <v>54</v>
      </c>
      <c r="AA177" s="75">
        <v>2.9111787500000004</v>
      </c>
      <c r="AB177" s="75">
        <v>7.1289713486518078</v>
      </c>
      <c r="AC177" s="75">
        <v>2.0592423593750002</v>
      </c>
      <c r="AD177" s="75">
        <v>-26.716135928040213</v>
      </c>
      <c r="AE177" s="75">
        <v>2.375375</v>
      </c>
      <c r="AF177" s="75">
        <v>2.375375</v>
      </c>
      <c r="AG177" s="32">
        <f t="shared" si="86"/>
        <v>2.3009777396870598E-2</v>
      </c>
      <c r="AH177" s="32">
        <f t="shared" si="87"/>
        <v>0.53073405008612418</v>
      </c>
      <c r="AI177" s="33">
        <f t="shared" si="88"/>
        <v>8.9916618691062863E-2</v>
      </c>
      <c r="AJ177" s="34">
        <f t="shared" si="89"/>
        <v>1.1135600452387389</v>
      </c>
      <c r="AK177" s="16">
        <f t="shared" si="104"/>
        <v>1.2285577058866435E-2</v>
      </c>
      <c r="AL177" s="16">
        <f t="shared" si="105"/>
        <v>0.15214904591174419</v>
      </c>
      <c r="AM177" s="27">
        <f t="shared" si="92"/>
        <v>12.285577058866435</v>
      </c>
      <c r="AN177" s="27">
        <f t="shared" si="93"/>
        <v>152.1490459117442</v>
      </c>
      <c r="AO177" s="29" t="e">
        <f t="shared" si="94"/>
        <v>#VALUE!</v>
      </c>
      <c r="AP177" s="29" t="e">
        <f t="shared" si="95"/>
        <v>#VALUE!</v>
      </c>
      <c r="AQ177" s="27">
        <f t="shared" si="96"/>
        <v>12.384362995952156</v>
      </c>
      <c r="AR177" s="14">
        <f t="shared" si="97"/>
        <v>2411.839509540197</v>
      </c>
      <c r="AS177" s="25">
        <v>0.3678691314984826</v>
      </c>
      <c r="AT177" s="22">
        <f t="shared" si="98"/>
        <v>1.2386570633873071</v>
      </c>
      <c r="AU177" s="22">
        <f t="shared" si="99"/>
        <v>0.87078793188882453</v>
      </c>
      <c r="AV177" s="64"/>
      <c r="AW177" s="64"/>
      <c r="AX177" s="116">
        <f t="shared" si="100"/>
        <v>8707.8793188882464</v>
      </c>
      <c r="AY177" s="64"/>
      <c r="AZ177" s="64"/>
      <c r="BA177" s="64"/>
      <c r="BB177" s="64"/>
      <c r="BC177" s="64"/>
      <c r="BD177" s="64"/>
      <c r="BE177" s="14">
        <f t="shared" si="101"/>
        <v>50.810574695261266</v>
      </c>
      <c r="BF177" s="25">
        <v>1.0824781751878776</v>
      </c>
      <c r="BG177" s="22">
        <f t="shared" si="103"/>
        <v>1.1670157690988994</v>
      </c>
      <c r="BH177" s="38">
        <f t="shared" si="102"/>
        <v>8.453759391102178E-2</v>
      </c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</row>
    <row r="178" spans="1:74" ht="15">
      <c r="A178" s="138">
        <v>176</v>
      </c>
      <c r="B178" s="139">
        <v>4</v>
      </c>
      <c r="C178" s="140" t="s">
        <v>425</v>
      </c>
      <c r="D178" s="140" t="s">
        <v>422</v>
      </c>
      <c r="E178" s="140" t="s">
        <v>437</v>
      </c>
      <c r="F178" s="140" t="s">
        <v>480</v>
      </c>
      <c r="G178" s="140"/>
      <c r="H178" s="140" t="s">
        <v>484</v>
      </c>
      <c r="I178" s="140">
        <v>50</v>
      </c>
      <c r="J178" s="140">
        <v>10</v>
      </c>
      <c r="K178" s="140">
        <v>15</v>
      </c>
      <c r="L178" s="140" t="s">
        <v>470</v>
      </c>
      <c r="M178" s="140">
        <v>3</v>
      </c>
      <c r="Q178" s="140">
        <v>10</v>
      </c>
      <c r="R178">
        <v>5.9681169046828302</v>
      </c>
      <c r="S178" s="55">
        <v>4.0318830953171698</v>
      </c>
      <c r="T178" s="80">
        <v>109</v>
      </c>
      <c r="U178" s="80" t="s">
        <v>378</v>
      </c>
      <c r="V178" s="81">
        <v>1.141175125</v>
      </c>
      <c r="W178" s="81">
        <v>1841.1392534529675</v>
      </c>
      <c r="X178" s="83">
        <v>0.66749906250000002</v>
      </c>
      <c r="Y178" s="83">
        <v>49.901508446243888</v>
      </c>
      <c r="Z178" s="154" t="s">
        <v>54</v>
      </c>
      <c r="AA178" s="75">
        <v>2.9111787500000004</v>
      </c>
      <c r="AB178" s="75">
        <v>7.1289713486518078</v>
      </c>
      <c r="AC178" s="75">
        <v>2.0592423593750002</v>
      </c>
      <c r="AD178" s="75">
        <v>-26.716135928040213</v>
      </c>
      <c r="AE178" s="75">
        <v>2.375375</v>
      </c>
      <c r="AF178" s="75">
        <v>2.375375</v>
      </c>
      <c r="AG178" s="32">
        <f t="shared" si="86"/>
        <v>2.3009777396870598E-2</v>
      </c>
      <c r="AH178" s="32">
        <f t="shared" si="87"/>
        <v>0.53073405008612418</v>
      </c>
      <c r="AI178" s="33">
        <f t="shared" si="88"/>
        <v>2.6258185597095977E-2</v>
      </c>
      <c r="AJ178" s="34">
        <f t="shared" si="89"/>
        <v>0.35426448086931595</v>
      </c>
      <c r="AK178" s="16">
        <f t="shared" si="104"/>
        <v>4.1157794156086247E-3</v>
      </c>
      <c r="AL178" s="16">
        <f t="shared" si="105"/>
        <v>5.552837809953106E-2</v>
      </c>
      <c r="AM178" s="27">
        <f t="shared" si="92"/>
        <v>4.1157794156086247</v>
      </c>
      <c r="AN178" s="27">
        <f t="shared" si="93"/>
        <v>55.528378099531061</v>
      </c>
      <c r="AO178" s="29" t="e">
        <f t="shared" si="94"/>
        <v>#VALUE!</v>
      </c>
      <c r="AP178" s="29" t="e">
        <f t="shared" si="95"/>
        <v>#VALUE!</v>
      </c>
      <c r="AQ178" s="27">
        <f t="shared" si="96"/>
        <v>13.491582636558705</v>
      </c>
      <c r="AR178" s="14">
        <f t="shared" si="97"/>
        <v>1835.9902821043156</v>
      </c>
      <c r="AS178" s="25">
        <v>0.3678691314984826</v>
      </c>
      <c r="AT178" s="22">
        <f t="shared" si="98"/>
        <v>1.0317538899377448</v>
      </c>
      <c r="AU178" s="22">
        <f t="shared" si="99"/>
        <v>0.6638847584392622</v>
      </c>
      <c r="AV178" s="64"/>
      <c r="AW178" s="64"/>
      <c r="AX178" s="116">
        <f t="shared" si="100"/>
        <v>6638.8475843926217</v>
      </c>
      <c r="AY178" s="64"/>
      <c r="AZ178" s="64"/>
      <c r="BA178" s="64"/>
      <c r="BB178" s="64"/>
      <c r="BC178" s="64"/>
      <c r="BD178" s="64"/>
      <c r="BE178" s="14">
        <f t="shared" si="101"/>
        <v>50.587644374284096</v>
      </c>
      <c r="BF178" s="25">
        <v>1.0824781751878776</v>
      </c>
      <c r="BG178" s="22">
        <f t="shared" si="103"/>
        <v>1.1667710744819833</v>
      </c>
      <c r="BH178" s="38">
        <f t="shared" si="102"/>
        <v>8.4292899294105661E-2</v>
      </c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</row>
    <row r="179" spans="1:74" ht="15">
      <c r="A179" s="138">
        <v>177</v>
      </c>
      <c r="B179" s="140">
        <v>5</v>
      </c>
      <c r="C179" s="140" t="s">
        <v>408</v>
      </c>
      <c r="D179" s="140" t="s">
        <v>420</v>
      </c>
      <c r="E179" s="140" t="s">
        <v>437</v>
      </c>
      <c r="F179" s="140" t="s">
        <v>480</v>
      </c>
      <c r="G179" s="140"/>
      <c r="H179" s="140" t="s">
        <v>485</v>
      </c>
      <c r="I179" s="140">
        <v>50</v>
      </c>
      <c r="J179" s="140">
        <v>10</v>
      </c>
      <c r="K179" s="140">
        <v>15</v>
      </c>
      <c r="L179" s="140" t="s">
        <v>471</v>
      </c>
      <c r="M179" s="140">
        <v>3</v>
      </c>
      <c r="Q179" s="140">
        <v>10</v>
      </c>
      <c r="R179">
        <v>5.7975357975357973</v>
      </c>
      <c r="S179" s="55">
        <v>4.2024642024642027</v>
      </c>
      <c r="T179" s="82">
        <v>110</v>
      </c>
      <c r="U179" s="82" t="s">
        <v>379</v>
      </c>
      <c r="V179" s="83">
        <v>4.0064942500000003</v>
      </c>
      <c r="W179" s="83">
        <v>3396.214579855844</v>
      </c>
      <c r="X179" s="81">
        <v>2.3249057500000001</v>
      </c>
      <c r="Y179" s="81">
        <v>87.476433431123056</v>
      </c>
      <c r="Z179" s="154" t="s">
        <v>54</v>
      </c>
      <c r="AA179" s="75">
        <v>2.9111787500000004</v>
      </c>
      <c r="AB179" s="75">
        <v>7.1289713486518078</v>
      </c>
      <c r="AC179" s="75">
        <v>2.0592423593750002</v>
      </c>
      <c r="AD179" s="75">
        <v>-26.716135928040213</v>
      </c>
      <c r="AE179" s="75">
        <v>2.375375</v>
      </c>
      <c r="AF179" s="75">
        <v>2.375375</v>
      </c>
      <c r="AG179" s="32">
        <f t="shared" si="86"/>
        <v>2.3009777396870598E-2</v>
      </c>
      <c r="AH179" s="32">
        <f t="shared" si="87"/>
        <v>0.53073405008612418</v>
      </c>
      <c r="AI179" s="33">
        <f t="shared" si="88"/>
        <v>9.2188540834342025E-2</v>
      </c>
      <c r="AJ179" s="34">
        <f t="shared" si="89"/>
        <v>1.2339066447660181</v>
      </c>
      <c r="AK179" s="16">
        <f t="shared" si="104"/>
        <v>1.5055873124965299E-2</v>
      </c>
      <c r="AL179" s="16">
        <f t="shared" si="105"/>
        <v>0.20151682327884615</v>
      </c>
      <c r="AM179" s="27">
        <f t="shared" si="92"/>
        <v>15.055873124965299</v>
      </c>
      <c r="AN179" s="27">
        <f t="shared" si="93"/>
        <v>201.51682327884615</v>
      </c>
      <c r="AO179" s="29" t="e">
        <f t="shared" si="94"/>
        <v>#VALUE!</v>
      </c>
      <c r="AP179" s="29" t="e">
        <f t="shared" si="95"/>
        <v>#VALUE!</v>
      </c>
      <c r="AQ179" s="27">
        <f t="shared" si="96"/>
        <v>13.384598927357834</v>
      </c>
      <c r="AR179" s="14">
        <f t="shared" si="97"/>
        <v>3391.0656085071923</v>
      </c>
      <c r="AS179" s="25">
        <v>0.3678691314984826</v>
      </c>
      <c r="AT179" s="22">
        <f t="shared" si="98"/>
        <v>1.5885146181520451</v>
      </c>
      <c r="AU179" s="22">
        <f t="shared" si="99"/>
        <v>1.2206454866535625</v>
      </c>
      <c r="AV179" s="64"/>
      <c r="AW179" s="64"/>
      <c r="AX179" s="116">
        <f t="shared" si="100"/>
        <v>12206.454866535625</v>
      </c>
      <c r="AY179" s="64"/>
      <c r="AZ179" s="64"/>
      <c r="BA179" s="64"/>
      <c r="BB179" s="64"/>
      <c r="BC179" s="64"/>
      <c r="BD179" s="64"/>
      <c r="BE179" s="14">
        <f t="shared" si="101"/>
        <v>88.162569359163271</v>
      </c>
      <c r="BF179" s="25">
        <v>1.0824781751878776</v>
      </c>
      <c r="BG179" s="22">
        <f t="shared" si="103"/>
        <v>1.207997271736629</v>
      </c>
      <c r="BH179" s="38">
        <f t="shared" si="102"/>
        <v>0.12551909654875137</v>
      </c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</row>
    <row r="180" spans="1:74" ht="15">
      <c r="A180" s="138">
        <v>178</v>
      </c>
      <c r="B180" s="140">
        <v>5</v>
      </c>
      <c r="C180" s="140" t="s">
        <v>413</v>
      </c>
      <c r="D180" s="140" t="s">
        <v>424</v>
      </c>
      <c r="E180" s="140" t="s">
        <v>437</v>
      </c>
      <c r="F180" s="140" t="s">
        <v>480</v>
      </c>
      <c r="G180" s="140"/>
      <c r="H180" s="140" t="s">
        <v>485</v>
      </c>
      <c r="I180" s="140">
        <v>50</v>
      </c>
      <c r="J180" s="140">
        <v>10</v>
      </c>
      <c r="K180" s="140">
        <v>15</v>
      </c>
      <c r="L180" s="140" t="s">
        <v>472</v>
      </c>
      <c r="M180" s="140">
        <v>3</v>
      </c>
      <c r="Q180" s="140">
        <v>10</v>
      </c>
      <c r="R180">
        <v>6.3049267643142484</v>
      </c>
      <c r="S180" s="55">
        <v>3.6950732356857525</v>
      </c>
      <c r="T180" s="80">
        <v>111</v>
      </c>
      <c r="U180" s="80" t="s">
        <v>380</v>
      </c>
      <c r="V180" s="81">
        <v>2.4857174999999998</v>
      </c>
      <c r="W180" s="81">
        <v>1914.8557913080431</v>
      </c>
      <c r="X180" s="83">
        <v>1.323766</v>
      </c>
      <c r="Y180" s="83">
        <v>45.252146188609338</v>
      </c>
      <c r="Z180" s="154" t="s">
        <v>54</v>
      </c>
      <c r="AA180" s="75">
        <v>2.9111787500000004</v>
      </c>
      <c r="AB180" s="75">
        <v>7.1289713486518078</v>
      </c>
      <c r="AC180" s="75">
        <v>2.0592423593750002</v>
      </c>
      <c r="AD180" s="75">
        <v>-26.716135928040213</v>
      </c>
      <c r="AE180" s="75">
        <v>2.375375</v>
      </c>
      <c r="AF180" s="75">
        <v>2.375375</v>
      </c>
      <c r="AG180" s="32">
        <f t="shared" si="86"/>
        <v>2.3009777396870598E-2</v>
      </c>
      <c r="AH180" s="32">
        <f t="shared" si="87"/>
        <v>0.53073405008612418</v>
      </c>
      <c r="AI180" s="33">
        <f t="shared" si="88"/>
        <v>5.7195806346505687E-2</v>
      </c>
      <c r="AJ180" s="34">
        <f t="shared" si="89"/>
        <v>0.7025676905463083</v>
      </c>
      <c r="AK180" s="16">
        <f t="shared" si="104"/>
        <v>8.282419827860767E-3</v>
      </c>
      <c r="AL180" s="16">
        <f t="shared" si="105"/>
        <v>0.10173753885630102</v>
      </c>
      <c r="AM180" s="27">
        <f t="shared" si="92"/>
        <v>8.2824198278607675</v>
      </c>
      <c r="AN180" s="27">
        <f t="shared" si="93"/>
        <v>101.73753885630101</v>
      </c>
      <c r="AO180" s="29" t="e">
        <f t="shared" si="94"/>
        <v>#VALUE!</v>
      </c>
      <c r="AP180" s="29" t="e">
        <f t="shared" si="95"/>
        <v>#VALUE!</v>
      </c>
      <c r="AQ180" s="27">
        <f t="shared" si="96"/>
        <v>12.28355250890227</v>
      </c>
      <c r="AR180" s="14">
        <f t="shared" si="97"/>
        <v>1909.7068199593912</v>
      </c>
      <c r="AS180" s="25">
        <v>0.3678691314984826</v>
      </c>
      <c r="AT180" s="22">
        <f t="shared" si="98"/>
        <v>1.058288684185434</v>
      </c>
      <c r="AU180" s="22">
        <f t="shared" si="99"/>
        <v>0.69041955268695143</v>
      </c>
      <c r="AV180" s="64"/>
      <c r="AW180" s="64"/>
      <c r="AX180" s="116">
        <f t="shared" si="100"/>
        <v>6904.1955268695137</v>
      </c>
      <c r="AY180" s="64"/>
      <c r="AZ180" s="64"/>
      <c r="BA180" s="64"/>
      <c r="BB180" s="64"/>
      <c r="BC180" s="64"/>
      <c r="BD180" s="64"/>
      <c r="BE180" s="14">
        <f t="shared" si="101"/>
        <v>45.938282116649546</v>
      </c>
      <c r="BF180" s="25">
        <v>1.0824781751878776</v>
      </c>
      <c r="BG180" s="22">
        <f t="shared" si="103"/>
        <v>1.1616675269898009</v>
      </c>
      <c r="BH180" s="38">
        <f t="shared" si="102"/>
        <v>7.9189351801923324E-2</v>
      </c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</row>
    <row r="181" spans="1:74" ht="15">
      <c r="A181" s="138">
        <v>179</v>
      </c>
      <c r="B181" s="140">
        <v>5</v>
      </c>
      <c r="C181" s="140" t="s">
        <v>415</v>
      </c>
      <c r="D181" s="140" t="s">
        <v>409</v>
      </c>
      <c r="E181" s="140" t="s">
        <v>437</v>
      </c>
      <c r="F181" s="140" t="s">
        <v>480</v>
      </c>
      <c r="G181" s="140"/>
      <c r="H181" s="140" t="s">
        <v>485</v>
      </c>
      <c r="I181" s="140">
        <v>50</v>
      </c>
      <c r="J181" s="140">
        <v>10</v>
      </c>
      <c r="K181" s="140">
        <v>15</v>
      </c>
      <c r="L181" s="140" t="s">
        <v>473</v>
      </c>
      <c r="M181" s="140">
        <v>3</v>
      </c>
      <c r="Q181" s="140">
        <v>10</v>
      </c>
      <c r="R181">
        <v>6.3034759358288772</v>
      </c>
      <c r="S181" s="55">
        <v>3.6965240641711232</v>
      </c>
      <c r="T181" s="82">
        <v>112</v>
      </c>
      <c r="U181" s="82" t="s">
        <v>381</v>
      </c>
      <c r="V181" s="83">
        <v>2.3698524999999999</v>
      </c>
      <c r="W181" s="83">
        <v>2662.9440182500807</v>
      </c>
      <c r="X181" s="81">
        <v>1.3530303749999999</v>
      </c>
      <c r="Y181" s="81">
        <v>62.560226418462584</v>
      </c>
      <c r="Z181" s="154" t="s">
        <v>54</v>
      </c>
      <c r="AA181" s="75">
        <v>2.9111787500000004</v>
      </c>
      <c r="AB181" s="75">
        <v>7.1289713486518078</v>
      </c>
      <c r="AC181" s="75">
        <v>2.0592423593750002</v>
      </c>
      <c r="AD181" s="75">
        <v>-26.716135928040213</v>
      </c>
      <c r="AE181" s="75">
        <v>2.375375</v>
      </c>
      <c r="AF181" s="75">
        <v>2.375375</v>
      </c>
      <c r="AG181" s="32">
        <f t="shared" si="86"/>
        <v>2.3009777396870598E-2</v>
      </c>
      <c r="AH181" s="32">
        <f t="shared" si="87"/>
        <v>0.53073405008612418</v>
      </c>
      <c r="AI181" s="33">
        <f t="shared" si="88"/>
        <v>5.4529778488417273E-2</v>
      </c>
      <c r="AJ181" s="34">
        <f t="shared" si="89"/>
        <v>0.71809929081329738</v>
      </c>
      <c r="AK181" s="16">
        <f t="shared" si="104"/>
        <v>7.8990113907929996E-3</v>
      </c>
      <c r="AL181" s="16">
        <f t="shared" si="105"/>
        <v>0.10402159398207468</v>
      </c>
      <c r="AM181" s="27">
        <f t="shared" si="92"/>
        <v>7.8990113907929995</v>
      </c>
      <c r="AN181" s="27">
        <f t="shared" si="93"/>
        <v>104.02159398207468</v>
      </c>
      <c r="AO181" s="29" t="e">
        <f t="shared" si="94"/>
        <v>#VALUE!</v>
      </c>
      <c r="AP181" s="29" t="e">
        <f t="shared" si="95"/>
        <v>#VALUE!</v>
      </c>
      <c r="AQ181" s="27">
        <f t="shared" si="96"/>
        <v>13.168938343768067</v>
      </c>
      <c r="AR181" s="14">
        <f t="shared" si="97"/>
        <v>2657.795046901429</v>
      </c>
      <c r="AS181" s="25">
        <v>0.3678691314984826</v>
      </c>
      <c r="AT181" s="22">
        <f t="shared" si="98"/>
        <v>1.326765695271015</v>
      </c>
      <c r="AU181" s="22">
        <f t="shared" si="99"/>
        <v>0.95889656377253241</v>
      </c>
      <c r="AV181" s="64"/>
      <c r="AW181" s="64"/>
      <c r="AX181" s="116">
        <f t="shared" si="100"/>
        <v>9588.9656377253232</v>
      </c>
      <c r="AY181" s="64"/>
      <c r="AZ181" s="64"/>
      <c r="BA181" s="64"/>
      <c r="BB181" s="64"/>
      <c r="BC181" s="64"/>
      <c r="BD181" s="64"/>
      <c r="BE181" s="14">
        <f t="shared" si="101"/>
        <v>63.246362346502792</v>
      </c>
      <c r="BF181" s="25">
        <v>1.0824781751878776</v>
      </c>
      <c r="BG181" s="22">
        <f t="shared" si="103"/>
        <v>1.1806637221550378</v>
      </c>
      <c r="BH181" s="38">
        <f t="shared" si="102"/>
        <v>9.8185546967160198E-2</v>
      </c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</row>
    <row r="182" spans="1:74" ht="15">
      <c r="A182" s="138">
        <v>180</v>
      </c>
      <c r="B182" s="140">
        <v>5</v>
      </c>
      <c r="C182" s="140" t="s">
        <v>417</v>
      </c>
      <c r="D182" s="140" t="s">
        <v>426</v>
      </c>
      <c r="E182" s="140" t="s">
        <v>437</v>
      </c>
      <c r="F182" s="140" t="s">
        <v>480</v>
      </c>
      <c r="G182" s="140"/>
      <c r="H182" s="140" t="s">
        <v>485</v>
      </c>
      <c r="I182" s="140">
        <v>50</v>
      </c>
      <c r="J182" s="140">
        <v>10</v>
      </c>
      <c r="K182" s="140">
        <v>15</v>
      </c>
      <c r="L182" s="140" t="s">
        <v>474</v>
      </c>
      <c r="M182" s="140">
        <v>3</v>
      </c>
      <c r="Q182" s="140">
        <v>10</v>
      </c>
      <c r="R182">
        <v>6.6789297658862878</v>
      </c>
      <c r="S182" s="55">
        <v>3.3210702341137122</v>
      </c>
      <c r="T182" s="80">
        <v>113</v>
      </c>
      <c r="U182" s="80" t="s">
        <v>382</v>
      </c>
      <c r="V182" s="81">
        <v>1.44495825</v>
      </c>
      <c r="W182" s="81">
        <v>3127.5791230628311</v>
      </c>
      <c r="X182" s="83">
        <v>0.82013293750000005</v>
      </c>
      <c r="Y182" s="83">
        <v>115.83618161124382</v>
      </c>
      <c r="Z182" s="154" t="s">
        <v>54</v>
      </c>
      <c r="AA182" s="75">
        <v>2.9111787500000004</v>
      </c>
      <c r="AB182" s="75">
        <v>7.1289713486518078</v>
      </c>
      <c r="AC182" s="75">
        <v>2.0592423593750002</v>
      </c>
      <c r="AD182" s="75">
        <v>-26.716135928040213</v>
      </c>
      <c r="AE182" s="75">
        <v>2.375375</v>
      </c>
      <c r="AF182" s="75">
        <v>2.375375</v>
      </c>
      <c r="AG182" s="32">
        <f t="shared" si="86"/>
        <v>2.3009777396870598E-2</v>
      </c>
      <c r="AH182" s="32">
        <f t="shared" si="87"/>
        <v>0.53073405008612418</v>
      </c>
      <c r="AI182" s="33">
        <f t="shared" si="88"/>
        <v>3.3248167680271695E-2</v>
      </c>
      <c r="AJ182" s="34">
        <f t="shared" si="89"/>
        <v>0.4352724755284052</v>
      </c>
      <c r="AK182" s="16">
        <f t="shared" si="104"/>
        <v>4.4208797152569578E-3</v>
      </c>
      <c r="AL182" s="16">
        <f t="shared" si="105"/>
        <v>5.7876490403259484E-2</v>
      </c>
      <c r="AM182" s="27">
        <f t="shared" si="92"/>
        <v>4.4208797152569579</v>
      </c>
      <c r="AN182" s="27">
        <f t="shared" si="93"/>
        <v>57.876490403259481</v>
      </c>
      <c r="AO182" s="29" t="e">
        <f t="shared" si="94"/>
        <v>#VALUE!</v>
      </c>
      <c r="AP182" s="29" t="e">
        <f t="shared" si="95"/>
        <v>#VALUE!</v>
      </c>
      <c r="AQ182" s="27">
        <f t="shared" si="96"/>
        <v>13.09162296443424</v>
      </c>
      <c r="AR182" s="14">
        <f t="shared" si="97"/>
        <v>3122.4301517141794</v>
      </c>
      <c r="AS182" s="25">
        <v>0.3678691314984826</v>
      </c>
      <c r="AT182" s="22">
        <f t="shared" si="98"/>
        <v>1.4927836015991318</v>
      </c>
      <c r="AU182" s="22">
        <f t="shared" si="99"/>
        <v>1.1249144701006493</v>
      </c>
      <c r="AV182" s="64"/>
      <c r="AW182" s="64"/>
      <c r="AX182" s="116">
        <f t="shared" si="100"/>
        <v>11249.144701006493</v>
      </c>
      <c r="AY182" s="64"/>
      <c r="AZ182" s="64"/>
      <c r="BA182" s="64"/>
      <c r="BB182" s="64"/>
      <c r="BC182" s="64"/>
      <c r="BD182" s="64"/>
      <c r="BE182" s="14">
        <f t="shared" si="101"/>
        <v>116.52231753928403</v>
      </c>
      <c r="BF182" s="25">
        <v>1.0824781751878776</v>
      </c>
      <c r="BG182" s="22">
        <f t="shared" si="103"/>
        <v>1.2390900567062884</v>
      </c>
      <c r="BH182" s="38">
        <f t="shared" si="102"/>
        <v>0.15661188151841077</v>
      </c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</row>
    <row r="183" spans="1:74" ht="15">
      <c r="A183" s="138">
        <v>181</v>
      </c>
      <c r="B183" s="140">
        <v>5</v>
      </c>
      <c r="C183" s="140" t="s">
        <v>419</v>
      </c>
      <c r="D183" s="140" t="s">
        <v>418</v>
      </c>
      <c r="E183" s="140" t="s">
        <v>437</v>
      </c>
      <c r="F183" s="140" t="s">
        <v>480</v>
      </c>
      <c r="G183" s="140"/>
      <c r="H183" s="140" t="s">
        <v>485</v>
      </c>
      <c r="I183" s="140">
        <v>50</v>
      </c>
      <c r="J183" s="140">
        <v>10</v>
      </c>
      <c r="K183" s="140">
        <v>15</v>
      </c>
      <c r="L183" s="140" t="s">
        <v>475</v>
      </c>
      <c r="M183" s="140">
        <v>3</v>
      </c>
      <c r="Q183" s="140">
        <v>10</v>
      </c>
      <c r="R183">
        <v>6.528428093645485</v>
      </c>
      <c r="S183" s="55">
        <v>3.4715719063545158</v>
      </c>
      <c r="T183" s="82">
        <v>114</v>
      </c>
      <c r="U183" s="82" t="s">
        <v>383</v>
      </c>
      <c r="V183" s="83">
        <v>1.944598125</v>
      </c>
      <c r="W183" s="83">
        <v>148.2685433675542</v>
      </c>
      <c r="X183" s="81">
        <v>0.94722218749999998</v>
      </c>
      <c r="Y183" s="81">
        <v>-20.802742239118519</v>
      </c>
      <c r="Z183" s="154" t="s">
        <v>54</v>
      </c>
      <c r="AA183" s="75">
        <v>2.9111787500000004</v>
      </c>
      <c r="AB183" s="75">
        <v>7.1289713486518078</v>
      </c>
      <c r="AC183" s="75">
        <v>2.0592423593750002</v>
      </c>
      <c r="AD183" s="75">
        <v>-26.716135928040213</v>
      </c>
      <c r="AE183" s="75">
        <v>2.375375</v>
      </c>
      <c r="AF183" s="75">
        <v>2.375375</v>
      </c>
      <c r="AG183" s="32">
        <f t="shared" si="86"/>
        <v>2.3009777396870598E-2</v>
      </c>
      <c r="AH183" s="32">
        <f t="shared" si="87"/>
        <v>0.53073405008612418</v>
      </c>
      <c r="AI183" s="33">
        <f t="shared" si="88"/>
        <v>4.4744769982621946E-2</v>
      </c>
      <c r="AJ183" s="34">
        <f t="shared" si="89"/>
        <v>0.50272306790331311</v>
      </c>
      <c r="AK183" s="16">
        <f t="shared" si="104"/>
        <v>6.1554622093579646E-3</v>
      </c>
      <c r="AL183" s="16">
        <f t="shared" si="105"/>
        <v>6.9158760844076003E-2</v>
      </c>
      <c r="AM183" s="27">
        <f t="shared" si="92"/>
        <v>6.1554622093579647</v>
      </c>
      <c r="AN183" s="27">
        <f t="shared" si="93"/>
        <v>69.158760844075999</v>
      </c>
      <c r="AO183" s="29" t="e">
        <f t="shared" si="94"/>
        <v>#VALUE!</v>
      </c>
      <c r="AP183" s="29" t="e">
        <f t="shared" si="95"/>
        <v>#VALUE!</v>
      </c>
      <c r="AQ183" s="27">
        <f t="shared" si="96"/>
        <v>11.235348133392161</v>
      </c>
      <c r="AR183" s="14">
        <f t="shared" si="97"/>
        <v>143.1195720189024</v>
      </c>
      <c r="AS183" s="25">
        <v>0.3678691314984826</v>
      </c>
      <c r="AT183" s="22">
        <f t="shared" si="98"/>
        <v>0.41845237280045183</v>
      </c>
      <c r="AU183" s="22">
        <f t="shared" si="99"/>
        <v>5.0583241301969228E-2</v>
      </c>
      <c r="AV183" s="64"/>
      <c r="AW183" s="64"/>
      <c r="AX183" s="116">
        <f t="shared" si="100"/>
        <v>505.8324130196923</v>
      </c>
      <c r="AY183" s="64"/>
      <c r="AZ183" s="64"/>
      <c r="BA183" s="64"/>
      <c r="BB183" s="64"/>
      <c r="BC183" s="64"/>
      <c r="BD183" s="64"/>
      <c r="BE183" s="14">
        <f t="shared" si="101"/>
        <v>-20.116606311078307</v>
      </c>
      <c r="BF183" s="25">
        <v>1.0824781751878776</v>
      </c>
      <c r="BG183" s="22">
        <f t="shared" si="103"/>
        <v>1.0891029121104434</v>
      </c>
      <c r="BH183" s="38">
        <f t="shared" si="102"/>
        <v>6.6247369225658215E-3</v>
      </c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</row>
    <row r="184" spans="1:74" ht="15">
      <c r="A184" s="138">
        <v>182</v>
      </c>
      <c r="B184" s="140">
        <v>5</v>
      </c>
      <c r="C184" s="140" t="s">
        <v>421</v>
      </c>
      <c r="D184" s="140" t="s">
        <v>416</v>
      </c>
      <c r="E184" s="140" t="s">
        <v>437</v>
      </c>
      <c r="F184" s="140" t="s">
        <v>480</v>
      </c>
      <c r="G184" s="140"/>
      <c r="H184" s="140" t="s">
        <v>485</v>
      </c>
      <c r="I184" s="140">
        <v>50</v>
      </c>
      <c r="J184" s="140">
        <v>10</v>
      </c>
      <c r="K184" s="140">
        <v>15</v>
      </c>
      <c r="L184" s="140" t="s">
        <v>476</v>
      </c>
      <c r="M184" s="140">
        <v>3</v>
      </c>
      <c r="Q184" s="140">
        <v>10</v>
      </c>
      <c r="R184">
        <v>6.2616511318242338</v>
      </c>
      <c r="S184" s="55">
        <v>3.7383488681757662</v>
      </c>
      <c r="T184" s="80">
        <v>115</v>
      </c>
      <c r="U184" s="80" t="s">
        <v>384</v>
      </c>
      <c r="V184" s="81">
        <v>1.462021</v>
      </c>
      <c r="W184" s="81">
        <v>1229.8720850354894</v>
      </c>
      <c r="X184" s="83">
        <v>0.80778806250000001</v>
      </c>
      <c r="Y184" s="83">
        <v>25.639980981604019</v>
      </c>
      <c r="Z184" s="154" t="s">
        <v>54</v>
      </c>
      <c r="AA184" s="75">
        <v>2.9111787500000004</v>
      </c>
      <c r="AB184" s="75">
        <v>7.1289713486518078</v>
      </c>
      <c r="AC184" s="75">
        <v>2.0592423593750002</v>
      </c>
      <c r="AD184" s="75">
        <v>-26.716135928040213</v>
      </c>
      <c r="AE184" s="75">
        <v>2.375375</v>
      </c>
      <c r="AF184" s="75">
        <v>2.375375</v>
      </c>
      <c r="AG184" s="32">
        <f t="shared" si="86"/>
        <v>2.3009777396870598E-2</v>
      </c>
      <c r="AH184" s="32">
        <f t="shared" si="87"/>
        <v>0.53073405008612418</v>
      </c>
      <c r="AI184" s="33">
        <f t="shared" si="88"/>
        <v>3.3640777759550149E-2</v>
      </c>
      <c r="AJ184" s="34">
        <f t="shared" si="89"/>
        <v>0.42872063002184824</v>
      </c>
      <c r="AK184" s="16">
        <f t="shared" si="104"/>
        <v>4.9206269648649111E-3</v>
      </c>
      <c r="AL184" s="16">
        <f t="shared" si="105"/>
        <v>6.2708844235341774E-2</v>
      </c>
      <c r="AM184" s="27">
        <f t="shared" si="92"/>
        <v>4.920626964864911</v>
      </c>
      <c r="AN184" s="27">
        <f t="shared" si="93"/>
        <v>62.708844235341772</v>
      </c>
      <c r="AO184" s="29" t="e">
        <f t="shared" si="94"/>
        <v>#VALUE!</v>
      </c>
      <c r="AP184" s="29" t="e">
        <f t="shared" si="95"/>
        <v>#VALUE!</v>
      </c>
      <c r="AQ184" s="27">
        <f t="shared" si="96"/>
        <v>12.744076046224597</v>
      </c>
      <c r="AR184" s="14">
        <f t="shared" si="97"/>
        <v>1224.7231136868375</v>
      </c>
      <c r="AS184" s="25">
        <v>0.3678691314984826</v>
      </c>
      <c r="AT184" s="22">
        <f t="shared" si="98"/>
        <v>0.81117436597545212</v>
      </c>
      <c r="AU184" s="22">
        <f t="shared" si="99"/>
        <v>0.44330523447696951</v>
      </c>
      <c r="AV184" s="64"/>
      <c r="AW184" s="64"/>
      <c r="AX184" s="116">
        <f t="shared" si="100"/>
        <v>4433.0523447696951</v>
      </c>
      <c r="AY184" s="64"/>
      <c r="AZ184" s="64"/>
      <c r="BA184" s="64"/>
      <c r="BB184" s="64"/>
      <c r="BC184" s="64"/>
      <c r="BD184" s="64"/>
      <c r="BE184" s="14">
        <f t="shared" si="101"/>
        <v>26.326116909644231</v>
      </c>
      <c r="BF184" s="25">
        <v>1.0824781751878776</v>
      </c>
      <c r="BG184" s="22">
        <f t="shared" si="103"/>
        <v>1.1401336934121176</v>
      </c>
      <c r="BH184" s="38">
        <f t="shared" si="102"/>
        <v>5.7655518224239977E-2</v>
      </c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</row>
    <row r="185" spans="1:74" ht="15">
      <c r="A185" s="138">
        <v>183</v>
      </c>
      <c r="B185" s="140">
        <v>5</v>
      </c>
      <c r="C185" s="140" t="s">
        <v>423</v>
      </c>
      <c r="D185" s="140" t="s">
        <v>422</v>
      </c>
      <c r="E185" s="140" t="s">
        <v>437</v>
      </c>
      <c r="F185" s="140" t="s">
        <v>480</v>
      </c>
      <c r="G185" s="140"/>
      <c r="H185" s="140" t="s">
        <v>485</v>
      </c>
      <c r="I185" s="140">
        <v>50</v>
      </c>
      <c r="J185" s="140">
        <v>10</v>
      </c>
      <c r="K185" s="140">
        <v>15</v>
      </c>
      <c r="L185" s="140" t="s">
        <v>477</v>
      </c>
      <c r="M185" s="140">
        <v>3</v>
      </c>
      <c r="Q185" s="140">
        <v>10</v>
      </c>
      <c r="R185">
        <v>5.428666004634227</v>
      </c>
      <c r="S185" s="55">
        <v>4.571333995365773</v>
      </c>
      <c r="T185" s="82">
        <v>116</v>
      </c>
      <c r="U185" s="82" t="s">
        <v>385</v>
      </c>
      <c r="V185" s="83">
        <v>3.4357932500000001</v>
      </c>
      <c r="W185" s="83">
        <v>5980.493083171451</v>
      </c>
      <c r="X185" s="81">
        <v>1.810720125</v>
      </c>
      <c r="Y185" s="81">
        <v>199.97124894771338</v>
      </c>
      <c r="Z185" s="154" t="s">
        <v>54</v>
      </c>
      <c r="AA185" s="75">
        <v>2.9111787500000004</v>
      </c>
      <c r="AB185" s="75">
        <v>7.1289713486518078</v>
      </c>
      <c r="AC185" s="75">
        <v>2.0592423593750002</v>
      </c>
      <c r="AD185" s="75">
        <v>-26.716135928040213</v>
      </c>
      <c r="AE185" s="75">
        <v>2.375375</v>
      </c>
      <c r="AF185" s="75">
        <v>2.375375</v>
      </c>
      <c r="AG185" s="32">
        <f t="shared" si="86"/>
        <v>2.3009777396870598E-2</v>
      </c>
      <c r="AH185" s="32">
        <f t="shared" si="87"/>
        <v>0.53073405008612418</v>
      </c>
      <c r="AI185" s="33">
        <f t="shared" si="88"/>
        <v>7.9056837864170573E-2</v>
      </c>
      <c r="AJ185" s="34">
        <f t="shared" si="89"/>
        <v>0.96101082551370298</v>
      </c>
      <c r="AK185" s="16">
        <f t="shared" si="104"/>
        <v>1.4146674808051986E-2</v>
      </c>
      <c r="AL185" s="16">
        <f t="shared" si="105"/>
        <v>0.17196624609395614</v>
      </c>
      <c r="AM185" s="27">
        <f t="shared" si="92"/>
        <v>14.146674808051985</v>
      </c>
      <c r="AN185" s="27">
        <f t="shared" si="93"/>
        <v>171.96624609395613</v>
      </c>
      <c r="AO185" s="29" t="e">
        <f t="shared" si="94"/>
        <v>#VALUE!</v>
      </c>
      <c r="AP185" s="29" t="e">
        <f t="shared" si="95"/>
        <v>#VALUE!</v>
      </c>
      <c r="AQ185" s="27">
        <f t="shared" si="96"/>
        <v>12.155948194700608</v>
      </c>
      <c r="AR185" s="14">
        <f t="shared" si="97"/>
        <v>5975.3441118227993</v>
      </c>
      <c r="AS185" s="25">
        <v>0.3678691314984826</v>
      </c>
      <c r="AT185" s="22">
        <f t="shared" si="98"/>
        <v>2.5000322560297779</v>
      </c>
      <c r="AU185" s="22">
        <f t="shared" si="99"/>
        <v>2.1321631245312953</v>
      </c>
      <c r="AV185" s="64"/>
      <c r="AW185" s="64"/>
      <c r="AX185" s="116">
        <f t="shared" si="100"/>
        <v>21321.631245312954</v>
      </c>
      <c r="AY185" s="64"/>
      <c r="AZ185" s="64"/>
      <c r="BA185" s="64"/>
      <c r="BB185" s="64"/>
      <c r="BC185" s="64"/>
      <c r="BD185" s="64"/>
      <c r="BE185" s="14">
        <f t="shared" si="101"/>
        <v>200.65738487575359</v>
      </c>
      <c r="BF185" s="25">
        <v>1.0824781751878776</v>
      </c>
      <c r="BG185" s="22">
        <f t="shared" si="103"/>
        <v>1.3312181910555771</v>
      </c>
      <c r="BH185" s="38">
        <f t="shared" si="102"/>
        <v>0.24874001586769956</v>
      </c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</row>
    <row r="186" spans="1:74" ht="15">
      <c r="A186" s="138">
        <v>184</v>
      </c>
      <c r="B186" s="140">
        <v>5</v>
      </c>
      <c r="C186" s="140" t="s">
        <v>425</v>
      </c>
      <c r="D186" s="140" t="s">
        <v>414</v>
      </c>
      <c r="E186" s="140" t="s">
        <v>437</v>
      </c>
      <c r="F186" s="140" t="s">
        <v>480</v>
      </c>
      <c r="G186" s="140"/>
      <c r="H186" s="140" t="s">
        <v>485</v>
      </c>
      <c r="I186" s="140">
        <v>50</v>
      </c>
      <c r="J186" s="140">
        <v>10</v>
      </c>
      <c r="K186" s="140">
        <v>15</v>
      </c>
      <c r="L186" s="140" t="s">
        <v>478</v>
      </c>
      <c r="M186" s="140">
        <v>3</v>
      </c>
      <c r="Q186" s="140">
        <v>10</v>
      </c>
      <c r="R186">
        <v>5.6794657762938243</v>
      </c>
      <c r="S186" s="55">
        <v>4.3205342237061757</v>
      </c>
      <c r="T186" s="80">
        <v>117</v>
      </c>
      <c r="U186" s="80" t="s">
        <v>386</v>
      </c>
      <c r="V186" s="81">
        <v>2.1080527500000001</v>
      </c>
      <c r="W186" s="81">
        <v>2177.5469631473115</v>
      </c>
      <c r="X186" s="83">
        <v>1.0447834375</v>
      </c>
      <c r="Y186" s="83">
        <v>68.47223956774063</v>
      </c>
      <c r="Z186" s="154" t="s">
        <v>54</v>
      </c>
      <c r="AA186" s="75">
        <v>2.9111787500000004</v>
      </c>
      <c r="AB186" s="75">
        <v>7.1289713486518078</v>
      </c>
      <c r="AC186" s="75">
        <v>2.0592423593750002</v>
      </c>
      <c r="AD186" s="75">
        <v>-26.716135928040213</v>
      </c>
      <c r="AE186" s="75">
        <v>2.375375</v>
      </c>
      <c r="AF186" s="75">
        <v>2.375375</v>
      </c>
      <c r="AG186" s="32">
        <f t="shared" si="86"/>
        <v>2.3009777396870598E-2</v>
      </c>
      <c r="AH186" s="32">
        <f t="shared" si="87"/>
        <v>0.53073405008612418</v>
      </c>
      <c r="AI186" s="33">
        <f t="shared" si="88"/>
        <v>4.8505824518360906E-2</v>
      </c>
      <c r="AJ186" s="34">
        <f t="shared" si="89"/>
        <v>0.55450214524727803</v>
      </c>
      <c r="AK186" s="16">
        <f t="shared" si="104"/>
        <v>8.1536931749657017E-3</v>
      </c>
      <c r="AL186" s="16">
        <f t="shared" si="105"/>
        <v>9.3210256749581624E-2</v>
      </c>
      <c r="AM186" s="27">
        <f t="shared" si="92"/>
        <v>8.1536931749657011</v>
      </c>
      <c r="AN186" s="27">
        <f t="shared" si="93"/>
        <v>93.210256749581617</v>
      </c>
      <c r="AO186" s="29" t="e">
        <f t="shared" si="94"/>
        <v>#VALUE!</v>
      </c>
      <c r="AP186" s="29" t="e">
        <f t="shared" si="95"/>
        <v>#VALUE!</v>
      </c>
      <c r="AQ186" s="27">
        <f t="shared" si="96"/>
        <v>11.431661058299966</v>
      </c>
      <c r="AR186" s="14">
        <f t="shared" si="97"/>
        <v>2172.3979917986599</v>
      </c>
      <c r="AS186" s="25">
        <v>0.3678691314984826</v>
      </c>
      <c r="AT186" s="22">
        <f t="shared" si="98"/>
        <v>1.1527306622550164</v>
      </c>
      <c r="AU186" s="22">
        <f t="shared" si="99"/>
        <v>0.78486153075653387</v>
      </c>
      <c r="AV186" s="64"/>
      <c r="AW186" s="64"/>
      <c r="AX186" s="116">
        <f t="shared" si="100"/>
        <v>7848.6153075653392</v>
      </c>
      <c r="AY186" s="64"/>
      <c r="AZ186" s="64"/>
      <c r="BA186" s="64"/>
      <c r="BB186" s="64"/>
      <c r="BC186" s="64"/>
      <c r="BD186" s="64"/>
      <c r="BE186" s="14">
        <f t="shared" si="101"/>
        <v>69.158375495780845</v>
      </c>
      <c r="BF186" s="25">
        <v>1.0824781751878776</v>
      </c>
      <c r="BG186" s="22">
        <f t="shared" si="103"/>
        <v>1.1871506807719401</v>
      </c>
      <c r="BH186" s="38">
        <f t="shared" si="102"/>
        <v>0.10467250558406249</v>
      </c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</row>
    <row r="187" spans="1:74" ht="15">
      <c r="A187" s="138">
        <v>185</v>
      </c>
      <c r="B187" s="140">
        <v>6</v>
      </c>
      <c r="C187" s="140" t="s">
        <v>408</v>
      </c>
      <c r="D187" s="140" t="s">
        <v>422</v>
      </c>
      <c r="E187" s="140" t="s">
        <v>437</v>
      </c>
      <c r="F187" s="140" t="s">
        <v>480</v>
      </c>
      <c r="G187" s="140"/>
      <c r="H187" s="140" t="s">
        <v>486</v>
      </c>
      <c r="I187" s="140">
        <v>50</v>
      </c>
      <c r="J187" s="140">
        <v>10</v>
      </c>
      <c r="K187" s="140">
        <v>15</v>
      </c>
      <c r="L187" s="140" t="s">
        <v>62</v>
      </c>
      <c r="M187" s="140">
        <v>4</v>
      </c>
      <c r="Q187" s="140">
        <v>10</v>
      </c>
      <c r="R187">
        <v>6.8843718760413193</v>
      </c>
      <c r="S187" s="55">
        <v>3.1156281239586807</v>
      </c>
      <c r="T187" s="80">
        <v>119</v>
      </c>
      <c r="U187" s="80" t="s">
        <v>388</v>
      </c>
      <c r="V187" s="81">
        <v>2.67681725</v>
      </c>
      <c r="W187" s="81">
        <v>4278.3250618595639</v>
      </c>
      <c r="X187" s="83">
        <v>1.500911125</v>
      </c>
      <c r="Y187" s="83">
        <v>138.17161958120602</v>
      </c>
      <c r="Z187" s="154" t="s">
        <v>54</v>
      </c>
      <c r="AA187" s="75">
        <v>2.9111787500000004</v>
      </c>
      <c r="AB187" s="75">
        <v>7.1289713486518078</v>
      </c>
      <c r="AC187" s="75">
        <v>2.0592423593750002</v>
      </c>
      <c r="AD187" s="75">
        <v>-26.716135928040213</v>
      </c>
      <c r="AE187" s="75">
        <v>2.375375</v>
      </c>
      <c r="AF187" s="75">
        <v>2.375375</v>
      </c>
      <c r="AG187" s="32">
        <f t="shared" si="86"/>
        <v>2.3009777396870598E-2</v>
      </c>
      <c r="AH187" s="32">
        <f t="shared" si="87"/>
        <v>0.53073405008612418</v>
      </c>
      <c r="AI187" s="33">
        <f t="shared" si="88"/>
        <v>6.1592969054603312E-2</v>
      </c>
      <c r="AJ187" s="34">
        <f t="shared" si="89"/>
        <v>0.79658464019057096</v>
      </c>
      <c r="AK187" s="16">
        <f t="shared" si="104"/>
        <v>7.8228436979321924E-3</v>
      </c>
      <c r="AL187" s="16">
        <f t="shared" si="105"/>
        <v>0.10117318953824096</v>
      </c>
      <c r="AM187" s="27">
        <f t="shared" si="92"/>
        <v>7.8228436979321927</v>
      </c>
      <c r="AN187" s="27">
        <f t="shared" si="93"/>
        <v>101.17318953824096</v>
      </c>
      <c r="AO187" s="29" t="e">
        <f t="shared" si="94"/>
        <v>#VALUE!</v>
      </c>
      <c r="AP187" s="29" t="e">
        <f t="shared" si="95"/>
        <v>#VALUE!</v>
      </c>
      <c r="AQ187" s="27">
        <f t="shared" si="96"/>
        <v>12.933044995515379</v>
      </c>
      <c r="AR187" s="14">
        <f t="shared" si="97"/>
        <v>4273.1760905109122</v>
      </c>
      <c r="AS187" s="25">
        <v>0.3678691314984826</v>
      </c>
      <c r="AT187" s="22">
        <f t="shared" si="98"/>
        <v>1.9015593333627909</v>
      </c>
      <c r="AU187" s="22">
        <f t="shared" si="99"/>
        <v>1.5336902018643084</v>
      </c>
      <c r="AV187" s="64"/>
      <c r="AW187" s="64"/>
      <c r="AX187" s="116">
        <f t="shared" si="100"/>
        <v>15336.902018643084</v>
      </c>
      <c r="AY187" s="64"/>
      <c r="AZ187" s="64"/>
      <c r="BA187" s="64"/>
      <c r="BB187" s="64"/>
      <c r="BC187" s="64"/>
      <c r="BD187" s="64"/>
      <c r="BE187" s="14">
        <f t="shared" si="101"/>
        <v>138.85775550924623</v>
      </c>
      <c r="BF187" s="25">
        <v>1.0824781751878776</v>
      </c>
      <c r="BG187" s="22">
        <f t="shared" si="103"/>
        <v>1.2635641934595143</v>
      </c>
      <c r="BH187" s="38">
        <f t="shared" si="102"/>
        <v>0.18108601827163673</v>
      </c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</row>
    <row r="188" spans="1:74" ht="15">
      <c r="A188" s="138">
        <v>186</v>
      </c>
      <c r="B188" s="140">
        <v>6</v>
      </c>
      <c r="C188" s="140" t="s">
        <v>413</v>
      </c>
      <c r="D188" s="140" t="s">
        <v>426</v>
      </c>
      <c r="E188" s="140" t="s">
        <v>437</v>
      </c>
      <c r="F188" s="140" t="s">
        <v>480</v>
      </c>
      <c r="G188" s="140"/>
      <c r="H188" s="140" t="s">
        <v>486</v>
      </c>
      <c r="I188" s="140">
        <v>50</v>
      </c>
      <c r="J188" s="140">
        <v>10</v>
      </c>
      <c r="K188" s="140">
        <v>15</v>
      </c>
      <c r="L188" s="140" t="s">
        <v>63</v>
      </c>
      <c r="M188" s="140">
        <v>4</v>
      </c>
      <c r="Q188" s="140">
        <v>10</v>
      </c>
      <c r="R188">
        <v>6.2866666666666671</v>
      </c>
      <c r="S188" s="55">
        <v>3.7133333333333334</v>
      </c>
      <c r="T188" s="82">
        <v>120</v>
      </c>
      <c r="U188" s="82" t="s">
        <v>389</v>
      </c>
      <c r="V188" s="83">
        <v>2.98057375</v>
      </c>
      <c r="W188" s="83">
        <v>2182.7165005789489</v>
      </c>
      <c r="X188" s="81">
        <v>1.7647142499999999</v>
      </c>
      <c r="Y188" s="81">
        <v>43.471492258577527</v>
      </c>
      <c r="Z188" s="154" t="s">
        <v>54</v>
      </c>
      <c r="AA188" s="75">
        <v>2.9111787500000004</v>
      </c>
      <c r="AB188" s="75">
        <v>7.1289713486518078</v>
      </c>
      <c r="AC188" s="75">
        <v>2.0592423593750002</v>
      </c>
      <c r="AD188" s="75">
        <v>-26.716135928040213</v>
      </c>
      <c r="AE188" s="75">
        <v>2.375375</v>
      </c>
      <c r="AF188" s="75">
        <v>2.375375</v>
      </c>
      <c r="AG188" s="32">
        <f t="shared" si="86"/>
        <v>2.3009777396870598E-2</v>
      </c>
      <c r="AH188" s="32">
        <f t="shared" si="87"/>
        <v>0.53073405008612418</v>
      </c>
      <c r="AI188" s="33">
        <f t="shared" si="88"/>
        <v>6.8582338502455834E-2</v>
      </c>
      <c r="AJ188" s="34">
        <f t="shared" si="89"/>
        <v>0.93659394114719707</v>
      </c>
      <c r="AK188" s="16">
        <f t="shared" si="104"/>
        <v>9.9734089996148193E-3</v>
      </c>
      <c r="AL188" s="16">
        <f t="shared" si="105"/>
        <v>0.13620174881157895</v>
      </c>
      <c r="AM188" s="27">
        <f t="shared" si="92"/>
        <v>9.9734089996148185</v>
      </c>
      <c r="AN188" s="27">
        <f t="shared" si="93"/>
        <v>136.20174881157897</v>
      </c>
      <c r="AO188" s="29" t="e">
        <f t="shared" si="94"/>
        <v>#VALUE!</v>
      </c>
      <c r="AP188" s="29" t="e">
        <f t="shared" si="95"/>
        <v>#VALUE!</v>
      </c>
      <c r="AQ188" s="27">
        <f t="shared" si="96"/>
        <v>13.65648885118811</v>
      </c>
      <c r="AR188" s="14">
        <f t="shared" si="97"/>
        <v>2177.5675292302972</v>
      </c>
      <c r="AS188" s="25">
        <v>0.3678691314984826</v>
      </c>
      <c r="AT188" s="22">
        <f t="shared" si="98"/>
        <v>1.1545873906624677</v>
      </c>
      <c r="AU188" s="22">
        <f t="shared" si="99"/>
        <v>0.78671825916398519</v>
      </c>
      <c r="AV188" s="64"/>
      <c r="AW188" s="64"/>
      <c r="AX188" s="116">
        <f t="shared" si="100"/>
        <v>7867.182591639852</v>
      </c>
      <c r="AY188" s="64"/>
      <c r="AZ188" s="64"/>
      <c r="BA188" s="64"/>
      <c r="BB188" s="64"/>
      <c r="BC188" s="64"/>
      <c r="BD188" s="64"/>
      <c r="BE188" s="14">
        <f t="shared" si="101"/>
        <v>44.157628186617742</v>
      </c>
      <c r="BF188" s="25">
        <v>1.0824781751878776</v>
      </c>
      <c r="BG188" s="22">
        <f t="shared" si="103"/>
        <v>1.1597127855864471</v>
      </c>
      <c r="BH188" s="38">
        <f t="shared" si="102"/>
        <v>7.7234610398569492E-2</v>
      </c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</row>
    <row r="189" spans="1:74" ht="15">
      <c r="A189" s="138">
        <v>187</v>
      </c>
      <c r="B189" s="140">
        <v>6</v>
      </c>
      <c r="C189" s="140" t="s">
        <v>415</v>
      </c>
      <c r="D189" s="140" t="s">
        <v>424</v>
      </c>
      <c r="E189" s="140" t="s">
        <v>437</v>
      </c>
      <c r="F189" s="140" t="s">
        <v>480</v>
      </c>
      <c r="G189" s="140"/>
      <c r="H189" s="140" t="s">
        <v>486</v>
      </c>
      <c r="I189" s="140">
        <v>50</v>
      </c>
      <c r="J189" s="140">
        <v>10</v>
      </c>
      <c r="K189" s="140">
        <v>15</v>
      </c>
      <c r="L189" s="140" t="s">
        <v>64</v>
      </c>
      <c r="M189" s="140">
        <v>4</v>
      </c>
      <c r="Q189" s="140">
        <v>10</v>
      </c>
      <c r="R189">
        <v>6.7543275632490012</v>
      </c>
      <c r="S189" s="55">
        <v>3.2456724367509988</v>
      </c>
      <c r="T189" s="80">
        <v>121</v>
      </c>
      <c r="U189" s="80" t="s">
        <v>390</v>
      </c>
      <c r="V189" s="81">
        <v>4.4542595</v>
      </c>
      <c r="W189" s="81">
        <v>1531.6820301393504</v>
      </c>
      <c r="X189" s="83">
        <v>2.4283245</v>
      </c>
      <c r="Y189" s="83">
        <v>9.6358410698947061</v>
      </c>
      <c r="Z189" s="154" t="s">
        <v>54</v>
      </c>
      <c r="AA189" s="75">
        <v>2.9111787500000004</v>
      </c>
      <c r="AB189" s="75">
        <v>7.1289713486518078</v>
      </c>
      <c r="AC189" s="75">
        <v>2.0592423593750002</v>
      </c>
      <c r="AD189" s="75">
        <v>-26.716135928040213</v>
      </c>
      <c r="AE189" s="75">
        <v>2.375375</v>
      </c>
      <c r="AF189" s="75">
        <v>2.375375</v>
      </c>
      <c r="AG189" s="32">
        <f t="shared" si="86"/>
        <v>2.3009777396870598E-2</v>
      </c>
      <c r="AH189" s="32">
        <f t="shared" si="87"/>
        <v>0.53073405008612418</v>
      </c>
      <c r="AI189" s="33">
        <f t="shared" si="88"/>
        <v>0.10249151956289614</v>
      </c>
      <c r="AJ189" s="34">
        <f t="shared" si="89"/>
        <v>1.2887944968083624</v>
      </c>
      <c r="AK189" s="16">
        <f t="shared" si="104"/>
        <v>1.3399499140488375E-2</v>
      </c>
      <c r="AL189" s="16">
        <f t="shared" si="105"/>
        <v>0.16849394784953092</v>
      </c>
      <c r="AM189" s="27">
        <f t="shared" si="92"/>
        <v>13.399499140488375</v>
      </c>
      <c r="AN189" s="27">
        <f t="shared" si="93"/>
        <v>168.49394784953091</v>
      </c>
      <c r="AO189" s="29" t="e">
        <f t="shared" si="94"/>
        <v>#VALUE!</v>
      </c>
      <c r="AP189" s="29" t="e">
        <f t="shared" si="95"/>
        <v>#VALUE!</v>
      </c>
      <c r="AQ189" s="27">
        <f t="shared" si="96"/>
        <v>12.574645222402678</v>
      </c>
      <c r="AR189" s="14">
        <f t="shared" si="97"/>
        <v>1526.5330587906985</v>
      </c>
      <c r="AS189" s="25">
        <v>0.3678691314984826</v>
      </c>
      <c r="AT189" s="22">
        <f t="shared" si="98"/>
        <v>0.92020709631489361</v>
      </c>
      <c r="AU189" s="22">
        <f t="shared" si="99"/>
        <v>0.55233796481641106</v>
      </c>
      <c r="AV189" s="64"/>
      <c r="AW189" s="64"/>
      <c r="AX189" s="116">
        <f t="shared" si="100"/>
        <v>5523.379648164112</v>
      </c>
      <c r="AY189" s="64"/>
      <c r="AZ189" s="64"/>
      <c r="BA189" s="64"/>
      <c r="BB189" s="64"/>
      <c r="BC189" s="64"/>
      <c r="BD189" s="64"/>
      <c r="BE189" s="14">
        <f t="shared" si="101"/>
        <v>10.321976997934918</v>
      </c>
      <c r="BF189" s="25">
        <v>1.0824781751878776</v>
      </c>
      <c r="BG189" s="22">
        <f t="shared" si="103"/>
        <v>1.122554458196992</v>
      </c>
      <c r="BH189" s="38">
        <f t="shared" si="102"/>
        <v>4.0076283009114366E-2</v>
      </c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</row>
    <row r="190" spans="1:74" ht="15">
      <c r="A190" s="138">
        <v>188</v>
      </c>
      <c r="B190" s="140">
        <v>6</v>
      </c>
      <c r="C190" s="140" t="s">
        <v>417</v>
      </c>
      <c r="D190" s="140" t="s">
        <v>409</v>
      </c>
      <c r="E190" s="140" t="s">
        <v>437</v>
      </c>
      <c r="F190" s="140" t="s">
        <v>480</v>
      </c>
      <c r="G190" s="140"/>
      <c r="H190" s="140" t="s">
        <v>486</v>
      </c>
      <c r="I190" s="140">
        <v>50</v>
      </c>
      <c r="J190" s="140">
        <v>10</v>
      </c>
      <c r="K190" s="140">
        <v>15</v>
      </c>
      <c r="L190" s="140" t="s">
        <v>65</v>
      </c>
      <c r="M190" s="140">
        <v>4</v>
      </c>
      <c r="Q190" s="140">
        <v>10</v>
      </c>
      <c r="R190">
        <v>6.4328457446808525</v>
      </c>
      <c r="S190" s="55">
        <v>3.5671542553191475</v>
      </c>
      <c r="T190" s="82">
        <v>122</v>
      </c>
      <c r="U190" s="82" t="s">
        <v>391</v>
      </c>
      <c r="V190" s="83">
        <v>4.5492239999999997</v>
      </c>
      <c r="W190" s="83">
        <v>2653.9937271626945</v>
      </c>
      <c r="X190" s="81">
        <v>2.2138977500000001</v>
      </c>
      <c r="Y190" s="81">
        <v>62.585974044132719</v>
      </c>
      <c r="Z190" s="154" t="s">
        <v>54</v>
      </c>
      <c r="AA190" s="75">
        <v>2.9111787500000004</v>
      </c>
      <c r="AB190" s="75">
        <v>7.1289713486518078</v>
      </c>
      <c r="AC190" s="75">
        <v>2.0592423593750002</v>
      </c>
      <c r="AD190" s="75">
        <v>-26.716135928040213</v>
      </c>
      <c r="AE190" s="75">
        <v>2.375375</v>
      </c>
      <c r="AF190" s="75">
        <v>2.375375</v>
      </c>
      <c r="AG190" s="32">
        <f t="shared" si="86"/>
        <v>2.3009777396870598E-2</v>
      </c>
      <c r="AH190" s="32">
        <f t="shared" si="87"/>
        <v>0.53073405008612418</v>
      </c>
      <c r="AI190" s="33">
        <f t="shared" si="88"/>
        <v>0.10467663156850124</v>
      </c>
      <c r="AJ190" s="34">
        <f t="shared" si="89"/>
        <v>1.1749909193340577</v>
      </c>
      <c r="AK190" s="16">
        <f t="shared" si="104"/>
        <v>1.4717840945083665E-2</v>
      </c>
      <c r="AL190" s="16">
        <f t="shared" si="105"/>
        <v>0.16520716423091431</v>
      </c>
      <c r="AM190" s="27">
        <f t="shared" si="92"/>
        <v>14.717840945083665</v>
      </c>
      <c r="AN190" s="27">
        <f t="shared" si="93"/>
        <v>165.20716423091432</v>
      </c>
      <c r="AO190" s="29" t="e">
        <f t="shared" si="94"/>
        <v>#VALUE!</v>
      </c>
      <c r="AP190" s="29" t="e">
        <f t="shared" si="95"/>
        <v>#VALUE!</v>
      </c>
      <c r="AQ190" s="27">
        <f t="shared" si="96"/>
        <v>11.224959207491636</v>
      </c>
      <c r="AR190" s="14">
        <f t="shared" si="97"/>
        <v>2648.8447558140429</v>
      </c>
      <c r="AS190" s="25">
        <v>0.3678691314984826</v>
      </c>
      <c r="AT190" s="22">
        <f t="shared" si="98"/>
        <v>1.3235621896556953</v>
      </c>
      <c r="AU190" s="22">
        <f t="shared" si="99"/>
        <v>0.95569305815721273</v>
      </c>
      <c r="AV190" s="64"/>
      <c r="AW190" s="64"/>
      <c r="AX190" s="116">
        <f t="shared" si="100"/>
        <v>9556.9305815721273</v>
      </c>
      <c r="AY190" s="64"/>
      <c r="AZ190" s="64"/>
      <c r="BA190" s="64"/>
      <c r="BB190" s="64"/>
      <c r="BC190" s="64"/>
      <c r="BD190" s="64"/>
      <c r="BE190" s="14">
        <f t="shared" si="101"/>
        <v>63.272109972172927</v>
      </c>
      <c r="BF190" s="25">
        <v>1.0824781751878776</v>
      </c>
      <c r="BG190" s="22">
        <f t="shared" si="103"/>
        <v>1.1806919755934462</v>
      </c>
      <c r="BH190" s="38">
        <f t="shared" si="102"/>
        <v>9.8213800405568596E-2</v>
      </c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</row>
    <row r="191" spans="1:74" ht="15">
      <c r="A191" s="138">
        <v>189</v>
      </c>
      <c r="B191" s="140">
        <v>6</v>
      </c>
      <c r="C191" s="140" t="s">
        <v>419</v>
      </c>
      <c r="D191" s="140" t="s">
        <v>416</v>
      </c>
      <c r="E191" s="140" t="s">
        <v>437</v>
      </c>
      <c r="F191" s="140" t="s">
        <v>480</v>
      </c>
      <c r="G191" s="140"/>
      <c r="H191" s="140" t="s">
        <v>486</v>
      </c>
      <c r="I191" s="140">
        <v>50</v>
      </c>
      <c r="J191" s="140">
        <v>10</v>
      </c>
      <c r="K191" s="140">
        <v>15</v>
      </c>
      <c r="L191" s="140" t="s">
        <v>66</v>
      </c>
      <c r="M191" s="140">
        <v>4</v>
      </c>
      <c r="Q191" s="140">
        <v>10</v>
      </c>
      <c r="R191">
        <v>6.3877822045152719</v>
      </c>
      <c r="S191" s="55">
        <v>3.6122177954847281</v>
      </c>
      <c r="T191" s="80">
        <v>123</v>
      </c>
      <c r="U191" s="80" t="s">
        <v>392</v>
      </c>
      <c r="V191" s="81">
        <v>2.1433765</v>
      </c>
      <c r="W191" s="81">
        <v>3940.9280547824105</v>
      </c>
      <c r="X191" s="83">
        <v>1.1832745</v>
      </c>
      <c r="Y191" s="83">
        <v>140.95674388237867</v>
      </c>
      <c r="Z191" s="154" t="s">
        <v>54</v>
      </c>
      <c r="AA191" s="75">
        <v>2.9111787500000004</v>
      </c>
      <c r="AB191" s="75">
        <v>7.1289713486518078</v>
      </c>
      <c r="AC191" s="75">
        <v>2.0592423593750002</v>
      </c>
      <c r="AD191" s="75">
        <v>-26.716135928040213</v>
      </c>
      <c r="AE191" s="75">
        <v>2.375375</v>
      </c>
      <c r="AF191" s="75">
        <v>2.375375</v>
      </c>
      <c r="AG191" s="32">
        <f t="shared" si="86"/>
        <v>2.3009777396870598E-2</v>
      </c>
      <c r="AH191" s="32">
        <f t="shared" si="87"/>
        <v>0.53073405008612418</v>
      </c>
      <c r="AI191" s="33">
        <f t="shared" si="88"/>
        <v>4.9318616142683611E-2</v>
      </c>
      <c r="AJ191" s="34">
        <f t="shared" si="89"/>
        <v>0.6280040677486336</v>
      </c>
      <c r="AK191" s="16">
        <f t="shared" si="104"/>
        <v>7.0064562087665573E-3</v>
      </c>
      <c r="AL191" s="16">
        <f t="shared" si="105"/>
        <v>8.9217487102196749E-2</v>
      </c>
      <c r="AM191" s="27">
        <f t="shared" si="92"/>
        <v>7.0064562087665569</v>
      </c>
      <c r="AN191" s="27">
        <f t="shared" si="93"/>
        <v>89.217487102196756</v>
      </c>
      <c r="AO191" s="29" t="e">
        <f t="shared" si="94"/>
        <v>#VALUE!</v>
      </c>
      <c r="AP191" s="29" t="e">
        <f t="shared" si="95"/>
        <v>#VALUE!</v>
      </c>
      <c r="AQ191" s="27">
        <f t="shared" si="96"/>
        <v>12.733610893131226</v>
      </c>
      <c r="AR191" s="14">
        <f t="shared" si="97"/>
        <v>3935.7790834337588</v>
      </c>
      <c r="AS191" s="25">
        <v>0.3678691314984826</v>
      </c>
      <c r="AT191" s="22">
        <f t="shared" si="98"/>
        <v>1.7820588508755695</v>
      </c>
      <c r="AU191" s="22">
        <f t="shared" si="99"/>
        <v>1.4141897193770869</v>
      </c>
      <c r="AV191" s="64"/>
      <c r="AW191" s="64"/>
      <c r="AX191" s="116">
        <f t="shared" si="100"/>
        <v>14141.89719377087</v>
      </c>
      <c r="AY191" s="64"/>
      <c r="AZ191" s="64"/>
      <c r="BA191" s="64"/>
      <c r="BB191" s="64"/>
      <c r="BC191" s="64"/>
      <c r="BD191" s="64"/>
      <c r="BE191" s="14">
        <f t="shared" si="101"/>
        <v>141.64287981041889</v>
      </c>
      <c r="BF191" s="25">
        <v>1.0824781751878776</v>
      </c>
      <c r="BG191" s="22">
        <f t="shared" si="103"/>
        <v>1.2666151529099174</v>
      </c>
      <c r="BH191" s="38">
        <f t="shared" si="102"/>
        <v>0.18413697772203985</v>
      </c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</row>
    <row r="192" spans="1:74" ht="15">
      <c r="A192" s="138">
        <v>190</v>
      </c>
      <c r="B192" s="140">
        <v>6</v>
      </c>
      <c r="C192" s="140" t="s">
        <v>421</v>
      </c>
      <c r="D192" s="140" t="s">
        <v>414</v>
      </c>
      <c r="E192" s="140" t="s">
        <v>437</v>
      </c>
      <c r="F192" s="140" t="s">
        <v>480</v>
      </c>
      <c r="G192" s="140"/>
      <c r="H192" s="140" t="s">
        <v>486</v>
      </c>
      <c r="I192" s="140">
        <v>50</v>
      </c>
      <c r="J192" s="140">
        <v>10</v>
      </c>
      <c r="K192" s="140">
        <v>15</v>
      </c>
      <c r="L192" s="140" t="s">
        <v>67</v>
      </c>
      <c r="M192" s="140">
        <v>4</v>
      </c>
      <c r="Q192" s="140">
        <v>10</v>
      </c>
      <c r="R192">
        <v>6.5537848605577693</v>
      </c>
      <c r="S192" s="55">
        <v>3.4462151394422316</v>
      </c>
      <c r="T192" s="82">
        <v>124</v>
      </c>
      <c r="U192" s="82" t="s">
        <v>393</v>
      </c>
      <c r="V192" s="83">
        <v>1.699195375</v>
      </c>
      <c r="W192" s="83">
        <v>3606.2515697998811</v>
      </c>
      <c r="X192" s="81">
        <v>0.91377493750000005</v>
      </c>
      <c r="Y192" s="81">
        <v>137.53968764763493</v>
      </c>
      <c r="Z192" s="154" t="s">
        <v>54</v>
      </c>
      <c r="AA192" s="75">
        <v>2.9111787500000004</v>
      </c>
      <c r="AB192" s="75">
        <v>7.1289713486518078</v>
      </c>
      <c r="AC192" s="75">
        <v>2.0592423593750002</v>
      </c>
      <c r="AD192" s="75">
        <v>-26.716135928040213</v>
      </c>
      <c r="AE192" s="75">
        <v>2.375375</v>
      </c>
      <c r="AF192" s="75">
        <v>2.375375</v>
      </c>
      <c r="AG192" s="32">
        <f t="shared" si="86"/>
        <v>2.3009777396870598E-2</v>
      </c>
      <c r="AH192" s="32">
        <f t="shared" si="87"/>
        <v>0.53073405008612418</v>
      </c>
      <c r="AI192" s="33">
        <f t="shared" si="88"/>
        <v>3.9098107332542056E-2</v>
      </c>
      <c r="AJ192" s="34">
        <f t="shared" si="89"/>
        <v>0.48497147344656999</v>
      </c>
      <c r="AK192" s="16">
        <f t="shared" si="104"/>
        <v>5.347765440621253E-3</v>
      </c>
      <c r="AL192" s="16">
        <f t="shared" si="105"/>
        <v>6.6333484210017168E-2</v>
      </c>
      <c r="AM192" s="27">
        <f t="shared" si="92"/>
        <v>5.3477654406212531</v>
      </c>
      <c r="AN192" s="27">
        <f t="shared" si="93"/>
        <v>66.333484210017161</v>
      </c>
      <c r="AO192" s="29" t="e">
        <f t="shared" si="94"/>
        <v>#VALUE!</v>
      </c>
      <c r="AP192" s="29" t="e">
        <f t="shared" si="95"/>
        <v>#VALUE!</v>
      </c>
      <c r="AQ192" s="27">
        <f t="shared" si="96"/>
        <v>12.40396291620284</v>
      </c>
      <c r="AR192" s="14">
        <f t="shared" si="97"/>
        <v>3601.1025984512294</v>
      </c>
      <c r="AS192" s="25">
        <v>0.3678691314984826</v>
      </c>
      <c r="AT192" s="22">
        <f t="shared" si="98"/>
        <v>1.6632339529991691</v>
      </c>
      <c r="AU192" s="22">
        <f t="shared" si="99"/>
        <v>1.2953648215006865</v>
      </c>
      <c r="AV192" s="64"/>
      <c r="AW192" s="64"/>
      <c r="AX192" s="116">
        <f t="shared" si="100"/>
        <v>12953.648215006866</v>
      </c>
      <c r="AY192" s="64"/>
      <c r="AZ192" s="64"/>
      <c r="BA192" s="64"/>
      <c r="BB192" s="64"/>
      <c r="BC192" s="64"/>
      <c r="BD192" s="64"/>
      <c r="BE192" s="14">
        <f t="shared" si="101"/>
        <v>138.22582357567515</v>
      </c>
      <c r="BF192" s="25">
        <v>1.0824781751878776</v>
      </c>
      <c r="BG192" s="22">
        <f t="shared" si="103"/>
        <v>1.2628719185045769</v>
      </c>
      <c r="BH192" s="38">
        <f t="shared" si="102"/>
        <v>0.18039374331669933</v>
      </c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</row>
    <row r="193" spans="1:74" ht="15">
      <c r="A193" s="138">
        <v>191</v>
      </c>
      <c r="B193" s="140">
        <v>6</v>
      </c>
      <c r="C193" s="140" t="s">
        <v>423</v>
      </c>
      <c r="D193" s="140" t="s">
        <v>420</v>
      </c>
      <c r="E193" s="140" t="s">
        <v>437</v>
      </c>
      <c r="F193" s="140" t="s">
        <v>480</v>
      </c>
      <c r="G193" s="140"/>
      <c r="H193" s="140" t="s">
        <v>486</v>
      </c>
      <c r="I193" s="140">
        <v>50</v>
      </c>
      <c r="J193" s="140">
        <v>10</v>
      </c>
      <c r="K193" s="140">
        <v>15</v>
      </c>
      <c r="L193" s="140" t="s">
        <v>68</v>
      </c>
      <c r="M193" s="140">
        <v>4</v>
      </c>
      <c r="Q193" s="140">
        <v>10</v>
      </c>
      <c r="R193">
        <v>6.618920719520319</v>
      </c>
      <c r="S193" s="55">
        <v>3.3810792804796801</v>
      </c>
      <c r="T193" s="80">
        <v>125</v>
      </c>
      <c r="U193" s="80" t="s">
        <v>394</v>
      </c>
      <c r="V193" s="81">
        <v>3.6071599999999999</v>
      </c>
      <c r="W193" s="81">
        <v>2529.9115126840511</v>
      </c>
      <c r="X193" s="83">
        <v>1.875189</v>
      </c>
      <c r="Y193" s="83">
        <v>60.180440938427374</v>
      </c>
      <c r="Z193" s="154" t="s">
        <v>54</v>
      </c>
      <c r="AA193" s="75">
        <v>2.9111787500000004</v>
      </c>
      <c r="AB193" s="75">
        <v>7.1289713486518078</v>
      </c>
      <c r="AC193" s="75">
        <v>2.0592423593750002</v>
      </c>
      <c r="AD193" s="75">
        <v>-26.716135928040213</v>
      </c>
      <c r="AE193" s="75">
        <v>2.375375</v>
      </c>
      <c r="AF193" s="75">
        <v>2.375375</v>
      </c>
      <c r="AG193" s="32">
        <f t="shared" si="86"/>
        <v>2.3009777396870598E-2</v>
      </c>
      <c r="AH193" s="32">
        <f t="shared" si="87"/>
        <v>0.53073405008612418</v>
      </c>
      <c r="AI193" s="33">
        <f t="shared" si="88"/>
        <v>8.2999948634895737E-2</v>
      </c>
      <c r="AJ193" s="34">
        <f t="shared" si="89"/>
        <v>0.99522665264694909</v>
      </c>
      <c r="AK193" s="16">
        <f t="shared" si="104"/>
        <v>1.1186404753107742E-2</v>
      </c>
      <c r="AL193" s="16">
        <f t="shared" si="105"/>
        <v>0.13413271141361496</v>
      </c>
      <c r="AM193" s="27">
        <f t="shared" si="92"/>
        <v>11.186404753107741</v>
      </c>
      <c r="AN193" s="27">
        <f t="shared" si="93"/>
        <v>134.13271141361497</v>
      </c>
      <c r="AO193" s="29" t="e">
        <f t="shared" si="94"/>
        <v>#VALUE!</v>
      </c>
      <c r="AP193" s="29" t="e">
        <f t="shared" si="95"/>
        <v>#VALUE!</v>
      </c>
      <c r="AQ193" s="27">
        <f t="shared" si="96"/>
        <v>11.990689982530002</v>
      </c>
      <c r="AR193" s="14">
        <f t="shared" si="97"/>
        <v>2524.7625413353994</v>
      </c>
      <c r="AS193" s="25">
        <v>0.3678691314984826</v>
      </c>
      <c r="AT193" s="22">
        <f t="shared" si="98"/>
        <v>1.2791290010612533</v>
      </c>
      <c r="AU193" s="22">
        <f t="shared" si="99"/>
        <v>0.91125986956277072</v>
      </c>
      <c r="AV193" s="64"/>
      <c r="AW193" s="64"/>
      <c r="AX193" s="116">
        <f t="shared" si="100"/>
        <v>9112.5986956277084</v>
      </c>
      <c r="AY193" s="64"/>
      <c r="AZ193" s="64"/>
      <c r="BA193" s="64"/>
      <c r="BB193" s="64"/>
      <c r="BC193" s="64"/>
      <c r="BD193" s="64"/>
      <c r="BE193" s="14">
        <f t="shared" si="101"/>
        <v>60.866576866467582</v>
      </c>
      <c r="BF193" s="25">
        <v>1.0824781751878776</v>
      </c>
      <c r="BG193" s="22">
        <f t="shared" si="103"/>
        <v>1.1780522612218685</v>
      </c>
      <c r="BH193" s="38">
        <f t="shared" si="102"/>
        <v>9.5574086033990868E-2</v>
      </c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</row>
    <row r="194" spans="1:74" ht="15">
      <c r="A194" s="152">
        <v>192</v>
      </c>
      <c r="B194" s="153">
        <v>6</v>
      </c>
      <c r="C194" s="153" t="s">
        <v>425</v>
      </c>
      <c r="D194" s="153" t="s">
        <v>418</v>
      </c>
      <c r="E194" s="153" t="s">
        <v>437</v>
      </c>
      <c r="F194" s="153" t="s">
        <v>480</v>
      </c>
      <c r="G194" s="153"/>
      <c r="H194" s="153" t="s">
        <v>486</v>
      </c>
      <c r="I194" s="153">
        <v>50</v>
      </c>
      <c r="J194" s="153">
        <v>10</v>
      </c>
      <c r="K194" s="153">
        <v>15</v>
      </c>
      <c r="L194" s="153" t="s">
        <v>69</v>
      </c>
      <c r="M194" s="153">
        <v>4</v>
      </c>
      <c r="Q194" s="153">
        <v>10</v>
      </c>
      <c r="R194">
        <v>6.0033222591362119</v>
      </c>
      <c r="S194" s="55">
        <v>3.9966777408637877</v>
      </c>
      <c r="T194" s="87">
        <v>126</v>
      </c>
      <c r="U194" s="87" t="s">
        <v>395</v>
      </c>
      <c r="V194" s="85">
        <v>2.7563862499999998</v>
      </c>
      <c r="W194" s="85">
        <v>1468.7120619951145</v>
      </c>
      <c r="X194" s="84">
        <v>1.3088258749999999</v>
      </c>
      <c r="Y194" s="84">
        <v>43.202247916766794</v>
      </c>
      <c r="Z194" s="154" t="s">
        <v>54</v>
      </c>
      <c r="AA194" s="75">
        <v>2.9111787500000004</v>
      </c>
      <c r="AB194" s="75">
        <v>7.1289713486518078</v>
      </c>
      <c r="AC194" s="75">
        <v>2.0592423593750002</v>
      </c>
      <c r="AD194" s="75">
        <v>-26.716135928040213</v>
      </c>
      <c r="AE194" s="75">
        <v>2.375375</v>
      </c>
      <c r="AF194" s="75">
        <v>2.375375</v>
      </c>
      <c r="AG194" s="32">
        <f t="shared" si="86"/>
        <v>2.3009777396870598E-2</v>
      </c>
      <c r="AH194" s="32">
        <f t="shared" si="87"/>
        <v>0.53073405008612418</v>
      </c>
      <c r="AI194" s="33">
        <f t="shared" si="88"/>
        <v>6.3423834032294901E-2</v>
      </c>
      <c r="AJ194" s="34">
        <f t="shared" si="89"/>
        <v>0.69463845749626529</v>
      </c>
      <c r="AK194" s="16">
        <f t="shared" si="104"/>
        <v>9.8581299678309718E-3</v>
      </c>
      <c r="AL194" s="16">
        <f t="shared" si="105"/>
        <v>0.10796944554258499</v>
      </c>
      <c r="AM194" s="27">
        <f t="shared" si="92"/>
        <v>9.8581299678309726</v>
      </c>
      <c r="AN194" s="27">
        <f t="shared" si="93"/>
        <v>107.96944554258499</v>
      </c>
      <c r="AO194" s="29" t="e">
        <f t="shared" si="94"/>
        <v>#VALUE!</v>
      </c>
      <c r="AP194" s="29" t="e">
        <f t="shared" si="95"/>
        <v>#VALUE!</v>
      </c>
      <c r="AQ194" s="27">
        <f t="shared" si="96"/>
        <v>10.952325227493517</v>
      </c>
      <c r="AR194" s="14">
        <f t="shared" si="97"/>
        <v>1463.5630906464626</v>
      </c>
      <c r="AS194" s="25">
        <v>0.3678691314984826</v>
      </c>
      <c r="AT194" s="22">
        <f t="shared" si="98"/>
        <v>0.89747817776080996</v>
      </c>
      <c r="AU194" s="22">
        <f t="shared" si="99"/>
        <v>0.5296090462623273</v>
      </c>
      <c r="AV194" s="64"/>
      <c r="AW194" s="64"/>
      <c r="AX194" s="116">
        <f t="shared" si="100"/>
        <v>5296.0904626232723</v>
      </c>
      <c r="AY194" s="64"/>
      <c r="AZ194" s="64"/>
      <c r="BA194" s="64"/>
      <c r="BB194" s="64"/>
      <c r="BC194" s="64"/>
      <c r="BD194" s="64"/>
      <c r="BE194" s="14">
        <f t="shared" si="101"/>
        <v>43.888383844807009</v>
      </c>
      <c r="BF194" s="25">
        <v>1.0824781751878776</v>
      </c>
      <c r="BG194" s="22">
        <f t="shared" si="103"/>
        <v>1.159417211563692</v>
      </c>
      <c r="BH194" s="38">
        <f t="shared" si="102"/>
        <v>7.6939036375814451E-2</v>
      </c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</row>
    <row r="195" spans="1:74" ht="15"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</row>
    <row r="196" spans="1:74" ht="15"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</row>
    <row r="197" spans="1:74" ht="15"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</row>
    <row r="198" spans="1:74" ht="15"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</row>
    <row r="199" spans="1:74" ht="15"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</row>
    <row r="200" spans="1:74" ht="15"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</row>
    <row r="201" spans="1:74" ht="15"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</row>
    <row r="202" spans="1:74" ht="15"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</row>
    <row r="203" spans="1:74" ht="15"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</row>
    <row r="204" spans="1:74" ht="15"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</row>
    <row r="205" spans="1:74" ht="15"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</row>
    <row r="206" spans="1:74" ht="15"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</row>
    <row r="207" spans="1:74" ht="15"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</row>
    <row r="208" spans="1:74" ht="15"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</row>
    <row r="209" spans="48:74" ht="15"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</row>
    <row r="210" spans="48:74" ht="15"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</row>
    <row r="211" spans="48:74" ht="15"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</row>
    <row r="212" spans="48:74" ht="15"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</row>
    <row r="213" spans="48:74" ht="15"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</row>
    <row r="214" spans="48:74" ht="15"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</row>
    <row r="215" spans="48:74" ht="15"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</row>
    <row r="216" spans="48:74" ht="15"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</row>
    <row r="217" spans="48:74" ht="15"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</row>
    <row r="218" spans="48:74" ht="15"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</row>
    <row r="219" spans="48:74" ht="15"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</row>
    <row r="220" spans="48:74" ht="15"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</row>
    <row r="221" spans="48:74" ht="15"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</row>
    <row r="222" spans="48:74" ht="15"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</row>
    <row r="223" spans="48:74" ht="15"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</row>
    <row r="224" spans="48:74" ht="15"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</row>
    <row r="225" spans="48:74" ht="15"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</row>
    <row r="226" spans="48:74" ht="15"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</row>
    <row r="227" spans="48:74" ht="15"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</row>
    <row r="228" spans="48:74" ht="15"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</row>
    <row r="229" spans="48:74" ht="15"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</row>
    <row r="230" spans="48:74" ht="15"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</row>
    <row r="231" spans="48:74" ht="15"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</row>
    <row r="232" spans="48:74" ht="15"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</row>
    <row r="233" spans="48:74" ht="15"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</row>
    <row r="234" spans="48:74" ht="15"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</row>
    <row r="235" spans="48:74" ht="15"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</row>
    <row r="236" spans="48:74" ht="15"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</row>
    <row r="237" spans="48:74" ht="15"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</row>
    <row r="238" spans="48:74" ht="15"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</row>
    <row r="239" spans="48:74" ht="15"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</row>
    <row r="240" spans="48:74" ht="15"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</row>
    <row r="241" spans="48:74" ht="15"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</row>
    <row r="242" spans="48:74" ht="15"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</row>
    <row r="243" spans="48:74" ht="15"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</row>
    <row r="244" spans="48:74" ht="15"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</row>
    <row r="245" spans="48:74" ht="15"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</row>
    <row r="246" spans="48:74" ht="15"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</row>
    <row r="247" spans="48:74" ht="15"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</row>
    <row r="248" spans="48:74" ht="15"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</row>
    <row r="249" spans="48:74" ht="15"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</row>
    <row r="250" spans="48:74" ht="15"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</row>
    <row r="251" spans="48:74" ht="15"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</row>
    <row r="252" spans="48:74" ht="15"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</row>
    <row r="253" spans="48:74" ht="15"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</row>
    <row r="254" spans="48:74" ht="15"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</row>
    <row r="255" spans="48:74" ht="15"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</row>
    <row r="256" spans="48:74" ht="15"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</row>
    <row r="257" spans="48:74" ht="15"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</row>
    <row r="258" spans="48:74" ht="15"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</row>
    <row r="259" spans="48:74" ht="15"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</row>
    <row r="260" spans="48:74" ht="15"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</row>
    <row r="261" spans="48:74" ht="15"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</row>
    <row r="262" spans="48:74" ht="15"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</row>
    <row r="263" spans="48:74" ht="15"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</row>
    <row r="264" spans="48:74" ht="15"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</row>
    <row r="265" spans="48:74" ht="15"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</row>
    <row r="266" spans="48:74" ht="15"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</row>
    <row r="267" spans="48:74" ht="15"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</row>
    <row r="268" spans="48:74" ht="15"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</row>
    <row r="269" spans="48:74" ht="15"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</row>
    <row r="270" spans="48:74" ht="15"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</row>
    <row r="271" spans="48:74" ht="15"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</row>
    <row r="272" spans="48:74" ht="15"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</row>
    <row r="273" spans="48:74" ht="15"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</row>
    <row r="274" spans="48:74" ht="15"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</row>
    <row r="275" spans="48:74" ht="15"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</row>
    <row r="276" spans="48:74" ht="15"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</row>
    <row r="277" spans="48:74" ht="15"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</row>
    <row r="278" spans="48:74" ht="15"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</row>
    <row r="279" spans="48:74" ht="15"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</row>
    <row r="280" spans="48:74" ht="15"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</row>
    <row r="281" spans="48:74" ht="15"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</row>
    <row r="282" spans="48:74" ht="15"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</row>
    <row r="283" spans="48:74" ht="15"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</row>
    <row r="284" spans="48:74" ht="15"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</row>
    <row r="285" spans="48:74" ht="15"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</row>
    <row r="286" spans="48:74" ht="15"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</row>
    <row r="287" spans="48:74" ht="15"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</row>
    <row r="288" spans="48:74" ht="15"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</row>
    <row r="289" spans="48:74" ht="15"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</row>
    <row r="290" spans="48:74" ht="15"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</row>
    <row r="291" spans="48:74" ht="15"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</row>
    <row r="292" spans="48:74" ht="15"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</row>
    <row r="293" spans="48:74" ht="15"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</row>
    <row r="294" spans="48:74" ht="15"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</row>
    <row r="295" spans="48:74" ht="15"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</row>
    <row r="296" spans="48:74" ht="15"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</row>
    <row r="297" spans="48:74" ht="15"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</row>
    <row r="298" spans="48:74" ht="15"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</row>
    <row r="299" spans="48:74" ht="15"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</row>
    <row r="300" spans="48:74" ht="15"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</row>
    <row r="301" spans="48:74" ht="15"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</row>
    <row r="302" spans="48:74" ht="15"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</row>
    <row r="303" spans="48:74" ht="15"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</row>
    <row r="304" spans="48:74" ht="15"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</row>
    <row r="305" spans="48:74" ht="15"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</row>
    <row r="306" spans="48:74" ht="15"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</row>
    <row r="307" spans="48:74" ht="15"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</row>
    <row r="308" spans="48:74" ht="15"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</row>
    <row r="309" spans="48:74" ht="15"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</row>
    <row r="310" spans="48:74" ht="15"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</row>
    <row r="311" spans="48:74" ht="15"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</row>
    <row r="312" spans="48:74" ht="15"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</row>
    <row r="313" spans="48:74" ht="15"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</row>
    <row r="314" spans="48:74" ht="15"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</row>
    <row r="315" spans="48:74" ht="15"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</row>
    <row r="316" spans="48:74" ht="15"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</row>
    <row r="317" spans="48:74" ht="15"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</row>
    <row r="318" spans="48:74" ht="15"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</row>
    <row r="319" spans="48:74" ht="15"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</row>
    <row r="320" spans="48:74" ht="15"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</row>
    <row r="321" spans="48:74" ht="15"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</row>
    <row r="322" spans="48:74" ht="15"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</row>
    <row r="323" spans="48:74" ht="15"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</row>
    <row r="324" spans="48:74" ht="15"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</row>
    <row r="325" spans="48:74" ht="15"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</row>
    <row r="326" spans="48:74" ht="15"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</row>
    <row r="327" spans="48:74" ht="15"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</row>
    <row r="328" spans="48:74" ht="15"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</row>
    <row r="329" spans="48:74" ht="15"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</row>
    <row r="330" spans="48:74" ht="15"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</row>
    <row r="331" spans="48:74" ht="15"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</row>
    <row r="332" spans="48:74" ht="15"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</row>
    <row r="333" spans="48:74" ht="15"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</row>
    <row r="334" spans="48:74" ht="15"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</row>
    <row r="335" spans="48:74" ht="15"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</row>
    <row r="336" spans="48:74" ht="15"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</row>
    <row r="337" spans="48:74" ht="15"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</row>
    <row r="338" spans="48:74" ht="15"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</row>
    <row r="339" spans="48:74" ht="15"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</row>
    <row r="340" spans="48:74" ht="15"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</row>
    <row r="341" spans="48:74" ht="15"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</row>
    <row r="342" spans="48:74" ht="15"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</row>
    <row r="343" spans="48:74" ht="15"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</row>
    <row r="344" spans="48:74" ht="15"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</row>
    <row r="345" spans="48:74" ht="15"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</row>
    <row r="346" spans="48:74" ht="15"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</row>
    <row r="347" spans="48:74" ht="15"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</row>
    <row r="348" spans="48:74" ht="15"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</row>
    <row r="349" spans="48:74" ht="15"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</row>
    <row r="350" spans="48:74" ht="15"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</row>
    <row r="351" spans="48:74" ht="15"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</row>
    <row r="352" spans="48:74" ht="15"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</row>
    <row r="353" spans="48:74" ht="15"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DFDE-9B35-4DBE-A85E-D938962F41D6}">
  <dimension ref="A1:AB256"/>
  <sheetViews>
    <sheetView tabSelected="1" zoomScale="115" zoomScaleNormal="115" workbookViewId="0">
      <selection activeCell="E5" sqref="E5"/>
    </sheetView>
  </sheetViews>
  <sheetFormatPr defaultRowHeight="15"/>
  <cols>
    <col min="1" max="1" width="9.140625" style="18"/>
    <col min="2" max="2" width="10.7109375" style="18" customWidth="1"/>
    <col min="3" max="3" width="9.140625" style="18"/>
    <col min="4" max="4" width="9.7109375" style="18" bestFit="1" customWidth="1"/>
    <col min="5" max="5" width="13.85546875" style="18" customWidth="1"/>
    <col min="6" max="7" width="9.42578125" style="26" customWidth="1"/>
    <col min="8" max="8" width="9.140625" style="18"/>
    <col min="9" max="9" width="10.7109375" customWidth="1"/>
    <col min="10" max="11" width="8.7109375" style="5"/>
    <col min="12" max="12" width="10.5703125" style="5" bestFit="1" customWidth="1"/>
    <col min="13" max="17" width="8.7109375" style="5"/>
    <col min="21" max="21" width="11.140625" customWidth="1"/>
  </cols>
  <sheetData>
    <row r="1" spans="1:28" ht="51.6" customHeight="1">
      <c r="A1" s="183" t="s">
        <v>500</v>
      </c>
      <c r="B1" s="184" t="s">
        <v>397</v>
      </c>
      <c r="C1" s="183" t="s">
        <v>398</v>
      </c>
      <c r="D1" s="183" t="s">
        <v>399</v>
      </c>
      <c r="E1" s="183" t="s">
        <v>400</v>
      </c>
      <c r="F1" s="192" t="s">
        <v>163</v>
      </c>
      <c r="G1" s="192" t="s">
        <v>164</v>
      </c>
      <c r="H1" s="193" t="s">
        <v>166</v>
      </c>
      <c r="I1" s="194" t="s">
        <v>165</v>
      </c>
      <c r="J1" s="190" t="s">
        <v>147</v>
      </c>
      <c r="K1" s="190" t="s">
        <v>157</v>
      </c>
      <c r="L1" s="191" t="s">
        <v>496</v>
      </c>
      <c r="M1" s="191" t="s">
        <v>162</v>
      </c>
      <c r="N1" s="194" t="s">
        <v>168</v>
      </c>
      <c r="O1" s="178" t="s">
        <v>497</v>
      </c>
      <c r="P1" s="185"/>
      <c r="Q1" s="186"/>
      <c r="R1" s="186"/>
      <c r="S1" s="187"/>
      <c r="T1" s="186"/>
      <c r="U1" s="188"/>
      <c r="V1" s="188"/>
      <c r="W1" s="189"/>
      <c r="X1" s="189"/>
      <c r="Y1" s="186"/>
      <c r="Z1" s="189"/>
      <c r="AA1" s="189"/>
      <c r="AB1" s="186"/>
    </row>
    <row r="2" spans="1:28">
      <c r="A2" s="179">
        <v>1</v>
      </c>
      <c r="B2" s="180">
        <v>1</v>
      </c>
      <c r="C2" s="181" t="s">
        <v>408</v>
      </c>
      <c r="D2" s="181" t="s">
        <v>409</v>
      </c>
      <c r="E2" s="182" t="s">
        <v>410</v>
      </c>
      <c r="F2" s="169">
        <v>42.700491367294958</v>
      </c>
      <c r="G2" s="169">
        <v>478.87768291895583</v>
      </c>
      <c r="H2" s="30">
        <v>11.214804972612949</v>
      </c>
      <c r="I2" s="170">
        <v>5.7616449662882534</v>
      </c>
      <c r="J2" s="171">
        <v>-1.9087991962684752E-4</v>
      </c>
      <c r="K2" s="171">
        <v>5.8909021930793511E-4</v>
      </c>
      <c r="L2" s="172">
        <v>3.4004169453216879</v>
      </c>
      <c r="M2" s="172">
        <v>-12.482353697945218</v>
      </c>
      <c r="N2" s="169">
        <v>113.4189873045739</v>
      </c>
      <c r="O2"/>
      <c r="P2"/>
      <c r="Q2"/>
      <c r="T2" s="64"/>
      <c r="U2" s="64"/>
      <c r="V2" s="64"/>
      <c r="W2" s="64"/>
      <c r="X2" s="64"/>
      <c r="Y2" s="64"/>
      <c r="Z2" s="64"/>
      <c r="AA2" s="64"/>
      <c r="AB2" s="64"/>
    </row>
    <row r="3" spans="1:28">
      <c r="A3" s="67">
        <v>2</v>
      </c>
      <c r="B3" s="134">
        <v>1</v>
      </c>
      <c r="C3" s="66" t="s">
        <v>413</v>
      </c>
      <c r="D3" s="66" t="s">
        <v>414</v>
      </c>
      <c r="E3" s="168" t="s">
        <v>410</v>
      </c>
      <c r="F3" s="169">
        <v>52.924063506402206</v>
      </c>
      <c r="G3" s="169">
        <v>353.0550026771549</v>
      </c>
      <c r="H3" s="30">
        <v>6.6709730751200906</v>
      </c>
      <c r="I3" s="170">
        <v>2.3818476831289623</v>
      </c>
      <c r="J3" s="171">
        <v>-1.3798844207181148E-5</v>
      </c>
      <c r="K3" s="171">
        <v>-8.5925808393613268E-5</v>
      </c>
      <c r="L3" s="172">
        <v>6.4287016292030019</v>
      </c>
      <c r="M3" s="172">
        <v>-2.9078449504234598</v>
      </c>
      <c r="N3" s="169">
        <v>26.206389627676096</v>
      </c>
      <c r="O3"/>
      <c r="P3"/>
      <c r="Q3"/>
      <c r="T3" s="64"/>
      <c r="U3" s="64"/>
      <c r="V3" s="64"/>
      <c r="W3" s="64"/>
      <c r="X3" s="64"/>
      <c r="Y3" s="64"/>
      <c r="Z3" s="64"/>
      <c r="AA3" s="64"/>
      <c r="AB3" s="64"/>
    </row>
    <row r="4" spans="1:28">
      <c r="A4" s="67">
        <v>3</v>
      </c>
      <c r="B4" s="134">
        <v>1</v>
      </c>
      <c r="C4" s="66" t="s">
        <v>415</v>
      </c>
      <c r="D4" s="66" t="s">
        <v>416</v>
      </c>
      <c r="E4" s="168" t="s">
        <v>410</v>
      </c>
      <c r="F4" s="169">
        <v>45.841928574069584</v>
      </c>
      <c r="G4" s="169">
        <v>298.4503969105013</v>
      </c>
      <c r="H4" s="30">
        <v>6.5104241072291904</v>
      </c>
      <c r="I4" s="170">
        <v>0.89117342522412968</v>
      </c>
      <c r="J4" s="171">
        <v>7.339302769778787E-6</v>
      </c>
      <c r="K4" s="171">
        <v>-3.90242311963653E-4</v>
      </c>
      <c r="L4" s="172">
        <v>-0.69680176745042199</v>
      </c>
      <c r="M4" s="172">
        <v>-3.5543344612788945</v>
      </c>
      <c r="N4" s="169">
        <v>13.852002126829428</v>
      </c>
      <c r="O4"/>
      <c r="P4"/>
      <c r="Q4"/>
      <c r="T4" s="64"/>
      <c r="U4" s="64"/>
      <c r="V4" s="64"/>
      <c r="W4" s="64"/>
      <c r="X4" s="64"/>
      <c r="Y4" s="64"/>
      <c r="Z4" s="64"/>
      <c r="AA4" s="64"/>
      <c r="AB4" s="64"/>
    </row>
    <row r="5" spans="1:28">
      <c r="A5" s="67">
        <v>4</v>
      </c>
      <c r="B5" s="134">
        <v>1</v>
      </c>
      <c r="C5" s="66" t="s">
        <v>417</v>
      </c>
      <c r="D5" s="66" t="s">
        <v>418</v>
      </c>
      <c r="E5" s="168" t="s">
        <v>410</v>
      </c>
      <c r="F5" s="169">
        <v>26.778196873877089</v>
      </c>
      <c r="G5" s="169">
        <v>188.20457525637494</v>
      </c>
      <c r="H5" s="30">
        <v>7.0282766290352425</v>
      </c>
      <c r="I5" s="170">
        <v>5.0722415762161175</v>
      </c>
      <c r="J5" s="171">
        <v>-1.0037121591087958E-4</v>
      </c>
      <c r="K5" s="171">
        <v>-3.3918580087181704E-4</v>
      </c>
      <c r="L5" s="172">
        <v>13.905058145958288</v>
      </c>
      <c r="M5" s="172">
        <v>-8.033637558936622</v>
      </c>
      <c r="N5" s="169">
        <v>41.269326947700648</v>
      </c>
      <c r="O5"/>
      <c r="P5"/>
      <c r="Q5"/>
      <c r="T5" s="64"/>
      <c r="U5" s="64"/>
      <c r="V5" s="64"/>
      <c r="W5" s="64"/>
      <c r="X5" s="64"/>
      <c r="Y5" s="64"/>
      <c r="Z5" s="64"/>
      <c r="AA5" s="64"/>
      <c r="AB5" s="64"/>
    </row>
    <row r="6" spans="1:28">
      <c r="A6" s="67">
        <v>5</v>
      </c>
      <c r="B6" s="134">
        <v>1</v>
      </c>
      <c r="C6" s="66" t="s">
        <v>419</v>
      </c>
      <c r="D6" s="66" t="s">
        <v>420</v>
      </c>
      <c r="E6" s="168" t="s">
        <v>410</v>
      </c>
      <c r="F6" s="169">
        <v>44.257832178249465</v>
      </c>
      <c r="G6" s="169">
        <v>450.83936728456865</v>
      </c>
      <c r="H6" s="30">
        <v>10.186657255800565</v>
      </c>
      <c r="I6" s="170">
        <v>3.4669171229475628</v>
      </c>
      <c r="J6" s="171">
        <v>-6.7930543370640334E-5</v>
      </c>
      <c r="K6" s="171">
        <v>-6.1822532037455818E-4</v>
      </c>
      <c r="L6" s="172">
        <v>6.8039242598544822</v>
      </c>
      <c r="M6" s="172">
        <v>-13.023464802304595</v>
      </c>
      <c r="N6" s="169">
        <v>60.343749402233385</v>
      </c>
      <c r="O6"/>
      <c r="P6"/>
      <c r="Q6"/>
      <c r="T6" s="64"/>
      <c r="U6" s="64"/>
      <c r="V6" s="64"/>
      <c r="W6" s="64"/>
      <c r="X6" s="64"/>
      <c r="Y6" s="64"/>
      <c r="Z6" s="64"/>
      <c r="AA6" s="64"/>
      <c r="AB6" s="64"/>
    </row>
    <row r="7" spans="1:28">
      <c r="A7" s="67">
        <v>6</v>
      </c>
      <c r="B7" s="134">
        <v>1</v>
      </c>
      <c r="C7" s="66" t="s">
        <v>421</v>
      </c>
      <c r="D7" s="66" t="s">
        <v>422</v>
      </c>
      <c r="E7" s="168" t="s">
        <v>410</v>
      </c>
      <c r="F7" s="169"/>
      <c r="G7" s="169">
        <v>1784.1662627640649</v>
      </c>
      <c r="H7" s="30"/>
      <c r="I7" s="170">
        <v>6.1802867883735777</v>
      </c>
      <c r="J7" s="171">
        <v>-1.1265474380458731E-4</v>
      </c>
      <c r="K7" s="171">
        <v>-5.5061684174923236E-4</v>
      </c>
      <c r="L7" s="172"/>
      <c r="M7" s="172">
        <v>-11.130236795236994</v>
      </c>
      <c r="N7" s="169">
        <v>117.78673664414974</v>
      </c>
      <c r="O7" t="s">
        <v>499</v>
      </c>
      <c r="P7"/>
      <c r="Q7"/>
      <c r="T7" s="64"/>
      <c r="U7" s="64"/>
      <c r="V7" s="64"/>
      <c r="W7" s="64"/>
      <c r="X7" s="64"/>
      <c r="Y7" s="64"/>
      <c r="Z7" s="64"/>
      <c r="AA7" s="64"/>
      <c r="AB7" s="64"/>
    </row>
    <row r="8" spans="1:28">
      <c r="A8" s="67">
        <v>7</v>
      </c>
      <c r="B8" s="134">
        <v>1</v>
      </c>
      <c r="C8" s="66" t="s">
        <v>423</v>
      </c>
      <c r="D8" s="66" t="s">
        <v>424</v>
      </c>
      <c r="E8" s="168" t="s">
        <v>410</v>
      </c>
      <c r="F8" s="169">
        <v>79.572613667133567</v>
      </c>
      <c r="G8" s="169">
        <v>1098.1451530264128</v>
      </c>
      <c r="H8" s="30">
        <v>13.800541447842216</v>
      </c>
      <c r="I8" s="170">
        <v>3.9131761561852842</v>
      </c>
      <c r="J8" s="171">
        <v>1.9874756294861616E-5</v>
      </c>
      <c r="K8" s="171">
        <v>-8.018014894263381E-4</v>
      </c>
      <c r="L8" s="172">
        <v>-3.1521148637313301</v>
      </c>
      <c r="M8" s="172">
        <v>-21.326262078454683</v>
      </c>
      <c r="N8" s="169">
        <v>70.875038035437896</v>
      </c>
      <c r="O8"/>
      <c r="P8"/>
      <c r="Q8"/>
      <c r="T8" s="64"/>
      <c r="U8" s="64"/>
      <c r="V8" s="64"/>
      <c r="W8" s="64"/>
      <c r="X8" s="64"/>
      <c r="Y8" s="64"/>
      <c r="Z8" s="64"/>
      <c r="AA8" s="64"/>
      <c r="AB8" s="64"/>
    </row>
    <row r="9" spans="1:28">
      <c r="A9" s="67">
        <v>8</v>
      </c>
      <c r="B9" s="134">
        <v>1</v>
      </c>
      <c r="C9" s="66" t="s">
        <v>425</v>
      </c>
      <c r="D9" s="66" t="s">
        <v>426</v>
      </c>
      <c r="E9" s="168" t="s">
        <v>410</v>
      </c>
      <c r="F9" s="169">
        <v>54.041660055175655</v>
      </c>
      <c r="G9" s="169">
        <v>340.81003860092437</v>
      </c>
      <c r="H9" s="30">
        <v>6.3064317094064632</v>
      </c>
      <c r="I9" s="170">
        <v>0.35249074813811471</v>
      </c>
      <c r="J9" s="171">
        <v>1.3272984863094318E-5</v>
      </c>
      <c r="K9" s="171">
        <v>-7.1477430762281833E-4</v>
      </c>
      <c r="L9" s="172">
        <v>-1.606202683740255</v>
      </c>
      <c r="M9" s="172">
        <v>0.66406393978571476</v>
      </c>
      <c r="N9" s="169">
        <v>4.8772050445289725</v>
      </c>
      <c r="O9"/>
      <c r="P9"/>
      <c r="Q9"/>
      <c r="T9" s="64"/>
      <c r="U9" s="64"/>
      <c r="V9" s="64"/>
      <c r="W9" s="64"/>
      <c r="X9" s="64"/>
      <c r="Y9" s="64"/>
      <c r="Z9" s="64"/>
      <c r="AA9" s="64"/>
      <c r="AB9" s="64"/>
    </row>
    <row r="10" spans="1:28">
      <c r="A10" s="67">
        <v>9</v>
      </c>
      <c r="B10" s="134">
        <v>2</v>
      </c>
      <c r="C10" s="66" t="s">
        <v>408</v>
      </c>
      <c r="D10" s="66" t="s">
        <v>426</v>
      </c>
      <c r="E10" s="168" t="s">
        <v>410</v>
      </c>
      <c r="F10" s="169">
        <v>34.479225532996296</v>
      </c>
      <c r="G10" s="169">
        <v>232.89239318028575</v>
      </c>
      <c r="H10" s="30">
        <v>6.7545714725352495</v>
      </c>
      <c r="I10" s="170">
        <v>8.4314892568419904</v>
      </c>
      <c r="J10" s="171">
        <v>4.570265045520442E-2</v>
      </c>
      <c r="K10" s="171">
        <v>3.3542246871553848E-2</v>
      </c>
      <c r="L10" s="172">
        <v>316.78570264036733</v>
      </c>
      <c r="M10" s="172">
        <v>268.78677152303499</v>
      </c>
      <c r="N10" s="169">
        <v>96.817537400300552</v>
      </c>
      <c r="O10"/>
      <c r="P10"/>
      <c r="Q10"/>
      <c r="T10" s="64"/>
      <c r="U10" s="64"/>
      <c r="V10" s="64"/>
      <c r="W10" s="64"/>
      <c r="X10" s="64"/>
      <c r="Y10" s="64"/>
      <c r="Z10" s="64"/>
      <c r="AA10" s="64"/>
      <c r="AB10" s="64"/>
    </row>
    <row r="11" spans="1:28">
      <c r="A11" s="67">
        <v>10</v>
      </c>
      <c r="B11" s="134">
        <v>2</v>
      </c>
      <c r="C11" s="66" t="s">
        <v>413</v>
      </c>
      <c r="D11" s="66" t="s">
        <v>418</v>
      </c>
      <c r="E11" s="168" t="s">
        <v>410</v>
      </c>
      <c r="F11" s="169">
        <v>17.108747781020394</v>
      </c>
      <c r="G11" s="169">
        <v>123.64819298726148</v>
      </c>
      <c r="H11" s="30">
        <v>7.2271912924235586</v>
      </c>
      <c r="I11" s="170">
        <v>1.7445094833732564</v>
      </c>
      <c r="J11" s="171">
        <v>8.4183481961127259E-3</v>
      </c>
      <c r="K11" s="171">
        <v>1.041302030516374E-2</v>
      </c>
      <c r="L11" s="172">
        <v>55.781903067113753</v>
      </c>
      <c r="M11" s="172">
        <v>45.738458896206467</v>
      </c>
      <c r="N11" s="169">
        <v>25.091138915757064</v>
      </c>
      <c r="O11"/>
      <c r="P11"/>
      <c r="Q11"/>
      <c r="T11" s="64"/>
      <c r="U11" s="64"/>
      <c r="V11" s="64"/>
      <c r="W11" s="64"/>
      <c r="X11" s="64"/>
      <c r="Y11" s="64"/>
      <c r="Z11" s="64"/>
      <c r="AA11" s="64"/>
      <c r="AB11" s="64"/>
    </row>
    <row r="12" spans="1:28">
      <c r="A12" s="67">
        <v>11</v>
      </c>
      <c r="B12" s="134">
        <v>2</v>
      </c>
      <c r="C12" s="66" t="s">
        <v>415</v>
      </c>
      <c r="D12" s="66" t="s">
        <v>416</v>
      </c>
      <c r="E12" s="168" t="s">
        <v>410</v>
      </c>
      <c r="F12" s="169">
        <v>45.747210406509929</v>
      </c>
      <c r="G12" s="169">
        <v>242.73457236617156</v>
      </c>
      <c r="H12" s="30">
        <v>5.3059972446239021</v>
      </c>
      <c r="I12" s="170">
        <v>7.4174061825435986</v>
      </c>
      <c r="J12" s="171">
        <v>2.4193383221239293E-2</v>
      </c>
      <c r="K12" s="171">
        <v>8.7136239767545039E-3</v>
      </c>
      <c r="L12" s="172">
        <v>370.48934996686995</v>
      </c>
      <c r="M12" s="172">
        <v>228.22233351578726</v>
      </c>
      <c r="N12" s="169">
        <v>77.721561035772709</v>
      </c>
      <c r="O12"/>
      <c r="P12"/>
      <c r="Q12"/>
      <c r="T12" s="64"/>
      <c r="U12" s="64"/>
      <c r="V12" s="64"/>
      <c r="W12" s="64"/>
      <c r="X12" s="64"/>
      <c r="Y12" s="64"/>
      <c r="Z12" s="64"/>
      <c r="AA12" s="64"/>
      <c r="AB12" s="64"/>
    </row>
    <row r="13" spans="1:28">
      <c r="A13" s="67">
        <v>12</v>
      </c>
      <c r="B13" s="134">
        <v>2</v>
      </c>
      <c r="C13" s="66" t="s">
        <v>417</v>
      </c>
      <c r="D13" s="66" t="s">
        <v>422</v>
      </c>
      <c r="E13" s="168" t="s">
        <v>410</v>
      </c>
      <c r="F13" s="169">
        <v>-10.674475360201587</v>
      </c>
      <c r="G13" s="169">
        <v>-94.364259595917773</v>
      </c>
      <c r="H13" s="30">
        <v>8.8401777522240401</v>
      </c>
      <c r="I13" s="170">
        <v>13.96136084434754</v>
      </c>
      <c r="J13" s="171">
        <v>6.6233390661740582E-2</v>
      </c>
      <c r="K13" s="171">
        <v>0.1367408099237245</v>
      </c>
      <c r="L13" s="172">
        <v>4.3106631167751317</v>
      </c>
      <c r="M13" s="172">
        <v>-217.79034086098389</v>
      </c>
      <c r="N13" s="169">
        <v>216.67419790887172</v>
      </c>
      <c r="O13"/>
      <c r="P13"/>
      <c r="Q13"/>
      <c r="T13" s="64"/>
      <c r="U13" s="64"/>
      <c r="V13" s="64"/>
      <c r="W13" s="64"/>
      <c r="X13" s="64"/>
      <c r="Y13" s="64"/>
      <c r="Z13" s="64"/>
      <c r="AA13" s="64"/>
      <c r="AB13" s="64"/>
    </row>
    <row r="14" spans="1:28">
      <c r="A14" s="67">
        <v>13</v>
      </c>
      <c r="B14" s="134">
        <v>2</v>
      </c>
      <c r="C14" s="66" t="s">
        <v>419</v>
      </c>
      <c r="D14" s="66" t="s">
        <v>409</v>
      </c>
      <c r="E14" s="168" t="s">
        <v>410</v>
      </c>
      <c r="F14" s="169">
        <v>30.657673572028006</v>
      </c>
      <c r="G14" s="169">
        <v>283.9014381320589</v>
      </c>
      <c r="H14" s="30">
        <v>9.2603712237020464</v>
      </c>
      <c r="I14" s="170">
        <v>5.6726773071448102</v>
      </c>
      <c r="J14" s="171">
        <v>4.3613665105945311E-2</v>
      </c>
      <c r="K14" s="171">
        <v>4.7917306385375245E-2</v>
      </c>
      <c r="L14" s="172">
        <v>137.47856333008957</v>
      </c>
      <c r="M14" s="172">
        <v>-2.5942172082508028</v>
      </c>
      <c r="N14" s="169">
        <v>103.57097537385546</v>
      </c>
      <c r="O14"/>
      <c r="P14"/>
      <c r="Q14"/>
      <c r="T14" s="64"/>
      <c r="U14" s="64"/>
      <c r="V14" s="64"/>
      <c r="W14" s="64"/>
      <c r="X14" s="64"/>
      <c r="Y14" s="64"/>
      <c r="Z14" s="64"/>
      <c r="AA14" s="64"/>
      <c r="AB14" s="64"/>
    </row>
    <row r="15" spans="1:28">
      <c r="A15" s="67">
        <v>14</v>
      </c>
      <c r="B15" s="134">
        <v>2</v>
      </c>
      <c r="C15" s="66" t="s">
        <v>421</v>
      </c>
      <c r="D15" s="66" t="s">
        <v>424</v>
      </c>
      <c r="E15" s="168" t="s">
        <v>410</v>
      </c>
      <c r="F15" s="169">
        <v>80.627001130030621</v>
      </c>
      <c r="G15" s="169">
        <v>751.87777935419501</v>
      </c>
      <c r="H15" s="30">
        <v>9.3253844098902992</v>
      </c>
      <c r="I15" s="170">
        <v>3.4638339429257536</v>
      </c>
      <c r="J15" s="171">
        <v>1.8808801740100849E-2</v>
      </c>
      <c r="K15" s="171">
        <v>2.4386131130488334E-2</v>
      </c>
      <c r="L15" s="172">
        <v>636.24091868048015</v>
      </c>
      <c r="M15" s="172">
        <v>726.65764580885002</v>
      </c>
      <c r="N15" s="169">
        <v>64.469017868779531</v>
      </c>
      <c r="O15"/>
      <c r="P15"/>
      <c r="Q15"/>
      <c r="T15" s="64"/>
      <c r="U15" s="64"/>
      <c r="V15" s="64"/>
      <c r="W15" s="64"/>
      <c r="X15" s="64"/>
      <c r="Y15" s="64"/>
      <c r="Z15" s="64"/>
      <c r="AA15" s="64"/>
      <c r="AB15" s="64"/>
    </row>
    <row r="16" spans="1:28">
      <c r="A16" s="67">
        <v>15</v>
      </c>
      <c r="B16" s="134">
        <v>2</v>
      </c>
      <c r="C16" s="66" t="s">
        <v>423</v>
      </c>
      <c r="D16" s="66" t="s">
        <v>414</v>
      </c>
      <c r="E16" s="168" t="s">
        <v>410</v>
      </c>
      <c r="F16" s="169">
        <v>52.669957866561447</v>
      </c>
      <c r="G16" s="169">
        <v>281.42866644627492</v>
      </c>
      <c r="H16" s="30">
        <v>5.3432483686292338</v>
      </c>
      <c r="I16" s="170">
        <v>2.3993083916914797</v>
      </c>
      <c r="J16" s="171">
        <v>1.6929787090178505E-2</v>
      </c>
      <c r="K16" s="171">
        <v>-3.160146596860304E-4</v>
      </c>
      <c r="L16" s="172">
        <v>265.97291480778841</v>
      </c>
      <c r="M16" s="172">
        <v>164.25058287574822</v>
      </c>
      <c r="N16" s="169">
        <v>20.203296233802057</v>
      </c>
      <c r="O16"/>
      <c r="P16"/>
      <c r="Q16"/>
      <c r="T16" s="64"/>
      <c r="U16" s="64"/>
      <c r="V16" s="64"/>
      <c r="W16" s="64"/>
      <c r="X16" s="64"/>
      <c r="Y16" s="64"/>
      <c r="Z16" s="64"/>
      <c r="AA16" s="64"/>
      <c r="AB16" s="64"/>
    </row>
    <row r="17" spans="1:28">
      <c r="A17" s="67">
        <v>16</v>
      </c>
      <c r="B17" s="134">
        <v>2</v>
      </c>
      <c r="C17" s="66" t="s">
        <v>425</v>
      </c>
      <c r="D17" s="66" t="s">
        <v>420</v>
      </c>
      <c r="E17" s="168" t="s">
        <v>410</v>
      </c>
      <c r="F17" s="169">
        <v>78.732631944304487</v>
      </c>
      <c r="G17" s="169">
        <v>488.13883567299393</v>
      </c>
      <c r="H17" s="30">
        <v>6.1999557695251903</v>
      </c>
      <c r="I17" s="170">
        <v>7.5574143567382723</v>
      </c>
      <c r="J17" s="171">
        <v>3.5929983374552624E-2</v>
      </c>
      <c r="K17" s="171">
        <v>3.8841571280459786E-2</v>
      </c>
      <c r="L17" s="172">
        <v>358.81229218047156</v>
      </c>
      <c r="M17" s="172">
        <v>393.33932981556751</v>
      </c>
      <c r="N17" s="169">
        <v>121.54811645136914</v>
      </c>
      <c r="O17"/>
      <c r="P17"/>
      <c r="Q17"/>
      <c r="T17" s="64"/>
      <c r="U17" s="64"/>
      <c r="V17" s="64"/>
      <c r="W17" s="64"/>
      <c r="X17" s="64"/>
      <c r="Y17" s="64"/>
      <c r="Z17" s="64"/>
      <c r="AA17" s="64"/>
      <c r="AB17" s="64"/>
    </row>
    <row r="18" spans="1:28">
      <c r="A18" s="67">
        <v>17</v>
      </c>
      <c r="B18" s="134">
        <v>3</v>
      </c>
      <c r="C18" s="66" t="s">
        <v>408</v>
      </c>
      <c r="D18" s="66" t="s">
        <v>418</v>
      </c>
      <c r="E18" s="168" t="s">
        <v>410</v>
      </c>
      <c r="F18" s="169">
        <v>65.971319300131881</v>
      </c>
      <c r="G18" s="169">
        <v>541.64292412282225</v>
      </c>
      <c r="H18" s="30">
        <v>8.210278797952423</v>
      </c>
      <c r="I18" s="170">
        <v>1.5833549736562633</v>
      </c>
      <c r="J18" s="171">
        <v>1.7438020211643979E-2</v>
      </c>
      <c r="K18" s="171">
        <v>-5.9965467335901951E-5</v>
      </c>
      <c r="L18" s="172">
        <v>536.75913193779252</v>
      </c>
      <c r="M18" s="172">
        <v>396.78618909953065</v>
      </c>
      <c r="N18" s="169">
        <v>19.745006769135596</v>
      </c>
      <c r="O18"/>
      <c r="P18"/>
      <c r="Q18"/>
      <c r="T18" s="64"/>
      <c r="U18" s="64"/>
      <c r="V18" s="64"/>
      <c r="W18" s="64"/>
      <c r="X18" s="64"/>
      <c r="Y18" s="64"/>
      <c r="Z18" s="64"/>
      <c r="AA18" s="64"/>
      <c r="AB18" s="64"/>
    </row>
    <row r="19" spans="1:28">
      <c r="A19" s="67">
        <v>18</v>
      </c>
      <c r="B19" s="134">
        <v>3</v>
      </c>
      <c r="C19" s="66" t="s">
        <v>413</v>
      </c>
      <c r="D19" s="66" t="s">
        <v>416</v>
      </c>
      <c r="E19" s="168" t="s">
        <v>410</v>
      </c>
      <c r="F19" s="169">
        <v>52.982527551974783</v>
      </c>
      <c r="G19" s="169">
        <v>281.75398417191127</v>
      </c>
      <c r="H19" s="30">
        <v>5.3178660435842051</v>
      </c>
      <c r="I19" s="170">
        <v>4.3235989852793866</v>
      </c>
      <c r="J19" s="171">
        <v>1.4741945044869566E-2</v>
      </c>
      <c r="K19" s="171">
        <v>1.3053936735264801E-2</v>
      </c>
      <c r="L19" s="172">
        <v>364.22634120523941</v>
      </c>
      <c r="M19" s="172">
        <v>314.66593730316259</v>
      </c>
      <c r="N19" s="169">
        <v>54.392437917675856</v>
      </c>
      <c r="O19"/>
      <c r="P19"/>
      <c r="Q19"/>
      <c r="T19" s="64"/>
      <c r="U19" s="64"/>
      <c r="V19" s="64"/>
      <c r="W19" s="64"/>
      <c r="X19" s="64"/>
      <c r="Y19" s="64"/>
      <c r="Z19" s="64"/>
      <c r="AA19" s="64"/>
      <c r="AB19" s="64"/>
    </row>
    <row r="20" spans="1:28">
      <c r="A20" s="67">
        <v>19</v>
      </c>
      <c r="B20" s="134">
        <v>3</v>
      </c>
      <c r="C20" s="66" t="s">
        <v>415</v>
      </c>
      <c r="D20" s="66" t="s">
        <v>426</v>
      </c>
      <c r="E20" s="168" t="s">
        <v>410</v>
      </c>
      <c r="F20" s="169">
        <v>76.165952475625105</v>
      </c>
      <c r="G20" s="169">
        <v>591.53109587094116</v>
      </c>
      <c r="H20" s="30">
        <v>7.7663454160866037</v>
      </c>
      <c r="I20" s="170">
        <v>2.1843483423306385</v>
      </c>
      <c r="J20" s="171">
        <v>4.5996874925484472E-3</v>
      </c>
      <c r="K20" s="171">
        <v>4.7861184829266445E-4</v>
      </c>
      <c r="L20" s="172">
        <v>410.23721944710917</v>
      </c>
      <c r="M20" s="172">
        <v>269.88673204895213</v>
      </c>
      <c r="N20" s="169">
        <v>28.127944244477654</v>
      </c>
      <c r="O20"/>
      <c r="P20"/>
      <c r="Q20"/>
      <c r="T20" s="64"/>
      <c r="U20" s="64"/>
      <c r="V20" s="64"/>
      <c r="W20" s="64"/>
      <c r="X20" s="64"/>
      <c r="Y20" s="64"/>
      <c r="Z20" s="64"/>
      <c r="AA20" s="64"/>
      <c r="AB20" s="64"/>
    </row>
    <row r="21" spans="1:28">
      <c r="A21" s="67">
        <v>20</v>
      </c>
      <c r="B21" s="134">
        <v>3</v>
      </c>
      <c r="C21" s="66" t="s">
        <v>417</v>
      </c>
      <c r="D21" s="66" t="s">
        <v>420</v>
      </c>
      <c r="E21" s="168" t="s">
        <v>410</v>
      </c>
      <c r="F21" s="169">
        <v>88.070946048857266</v>
      </c>
      <c r="G21" s="169">
        <v>647.4981568437064</v>
      </c>
      <c r="H21" s="30">
        <v>7.352006375456754</v>
      </c>
      <c r="I21" s="170">
        <v>8.9995459320993199</v>
      </c>
      <c r="J21" s="171">
        <v>4.2665456786940975E-2</v>
      </c>
      <c r="K21" s="171">
        <v>4.7959520075261247E-2</v>
      </c>
      <c r="L21" s="172">
        <v>320.09422772554319</v>
      </c>
      <c r="M21" s="172">
        <v>1442.2428128124686</v>
      </c>
      <c r="N21" s="169">
        <v>124.88993333932288</v>
      </c>
      <c r="O21"/>
      <c r="P21"/>
      <c r="Q21"/>
      <c r="T21" s="64"/>
      <c r="U21" s="64"/>
      <c r="V21" s="64"/>
      <c r="W21" s="64"/>
      <c r="X21" s="64"/>
      <c r="Y21" s="64"/>
      <c r="Z21" s="64"/>
      <c r="AA21" s="64"/>
      <c r="AB21" s="64"/>
    </row>
    <row r="22" spans="1:28">
      <c r="A22" s="67">
        <v>21</v>
      </c>
      <c r="B22" s="134">
        <v>3</v>
      </c>
      <c r="C22" s="66" t="s">
        <v>419</v>
      </c>
      <c r="D22" s="66" t="s">
        <v>422</v>
      </c>
      <c r="E22" s="168" t="s">
        <v>410</v>
      </c>
      <c r="F22" s="169">
        <v>7.7812709454068649</v>
      </c>
      <c r="G22" s="169">
        <v>39.085790609283968</v>
      </c>
      <c r="H22" s="30">
        <v>5.0230599709878447</v>
      </c>
      <c r="I22" s="170">
        <v>8.826144206968598</v>
      </c>
      <c r="J22" s="171">
        <v>5.049491881987006E-2</v>
      </c>
      <c r="K22" s="171">
        <v>5.6636975948560819E-2</v>
      </c>
      <c r="L22" s="172">
        <v>225.52674226214467</v>
      </c>
      <c r="M22" s="172">
        <v>242.99194620527066</v>
      </c>
      <c r="N22" s="169">
        <v>134.02260658441719</v>
      </c>
      <c r="O22"/>
      <c r="P22"/>
      <c r="Q22"/>
      <c r="T22" s="64"/>
      <c r="U22" s="64"/>
      <c r="V22" s="64"/>
      <c r="W22" s="64"/>
      <c r="X22" s="64"/>
      <c r="Y22" s="64"/>
      <c r="Z22" s="64"/>
      <c r="AA22" s="64"/>
      <c r="AB22" s="64"/>
    </row>
    <row r="23" spans="1:28">
      <c r="A23" s="67">
        <v>22</v>
      </c>
      <c r="B23" s="134">
        <v>3</v>
      </c>
      <c r="C23" s="66" t="s">
        <v>421</v>
      </c>
      <c r="D23" s="66" t="s">
        <v>424</v>
      </c>
      <c r="E23" s="168" t="s">
        <v>410</v>
      </c>
      <c r="F23" s="169">
        <v>4.7869258993860075</v>
      </c>
      <c r="G23" s="169">
        <v>97.498208734047296</v>
      </c>
      <c r="H23" s="30">
        <v>20.367603506574618</v>
      </c>
      <c r="I23" s="170">
        <v>5.7975563183698613</v>
      </c>
      <c r="J23" s="171">
        <v>2.7477118276604911E-2</v>
      </c>
      <c r="K23" s="171">
        <v>2.5316071829557519E-2</v>
      </c>
      <c r="L23" s="172">
        <v>98.75575446790117</v>
      </c>
      <c r="M23" s="172">
        <v>39.336767902822118</v>
      </c>
      <c r="N23" s="169">
        <v>95.894354195832406</v>
      </c>
      <c r="O23"/>
      <c r="P23"/>
      <c r="Q23"/>
      <c r="T23" s="64"/>
      <c r="U23" s="64"/>
      <c r="V23" s="64"/>
      <c r="W23" s="64"/>
      <c r="X23" s="64"/>
      <c r="Y23" s="64"/>
      <c r="Z23" s="64"/>
      <c r="AA23" s="64"/>
      <c r="AB23" s="64"/>
    </row>
    <row r="24" spans="1:28">
      <c r="A24" s="67">
        <v>23</v>
      </c>
      <c r="B24" s="134">
        <v>3</v>
      </c>
      <c r="C24" s="66" t="s">
        <v>423</v>
      </c>
      <c r="D24" s="66" t="s">
        <v>414</v>
      </c>
      <c r="E24" s="168" t="s">
        <v>410</v>
      </c>
      <c r="F24" s="169">
        <v>78.028453798379019</v>
      </c>
      <c r="G24" s="169">
        <v>445.84292759605154</v>
      </c>
      <c r="H24" s="30">
        <v>5.7138506005525072</v>
      </c>
      <c r="I24" s="170">
        <v>2.2006963817339615</v>
      </c>
      <c r="J24" s="171">
        <v>5.4212170409333347E-3</v>
      </c>
      <c r="K24" s="171">
        <v>1.3266649022762697E-3</v>
      </c>
      <c r="L24" s="172">
        <v>315.06285560322516</v>
      </c>
      <c r="M24" s="172">
        <v>188.04033939729527</v>
      </c>
      <c r="N24" s="169">
        <v>27.172819816575075</v>
      </c>
      <c r="O24"/>
      <c r="P24"/>
      <c r="Q24"/>
      <c r="T24" s="64"/>
      <c r="U24" s="64"/>
      <c r="V24" s="64"/>
      <c r="W24" s="64"/>
      <c r="X24" s="64"/>
      <c r="Y24" s="64"/>
      <c r="Z24" s="64"/>
      <c r="AA24" s="64"/>
      <c r="AB24" s="64"/>
    </row>
    <row r="25" spans="1:28">
      <c r="A25" s="67">
        <v>24</v>
      </c>
      <c r="B25" s="134">
        <v>3</v>
      </c>
      <c r="C25" s="66" t="s">
        <v>425</v>
      </c>
      <c r="D25" s="66" t="s">
        <v>409</v>
      </c>
      <c r="E25" s="168" t="s">
        <v>410</v>
      </c>
      <c r="F25" s="169">
        <v>14.835901239905596</v>
      </c>
      <c r="G25" s="169">
        <v>103.07108654187756</v>
      </c>
      <c r="H25" s="30">
        <v>6.9474098590409215</v>
      </c>
      <c r="I25" s="173">
        <v>9.0240239114667808</v>
      </c>
      <c r="J25" s="171">
        <v>3.5897385202410648E-2</v>
      </c>
      <c r="K25" s="171">
        <v>3.6509577770017156E-2</v>
      </c>
      <c r="L25" s="172">
        <v>100.999591364125</v>
      </c>
      <c r="M25" s="172">
        <v>23.75832544474633</v>
      </c>
      <c r="N25" s="169">
        <v>130.77520440464133</v>
      </c>
      <c r="O25"/>
      <c r="P25"/>
      <c r="Q25"/>
      <c r="T25" s="64"/>
      <c r="U25" s="64"/>
      <c r="V25" s="64"/>
      <c r="W25" s="64"/>
      <c r="X25" s="64"/>
      <c r="Y25" s="64"/>
      <c r="Z25" s="64"/>
      <c r="AA25" s="64"/>
      <c r="AB25" s="64"/>
    </row>
    <row r="26" spans="1:28">
      <c r="A26" s="67">
        <v>25</v>
      </c>
      <c r="B26" s="134">
        <v>4</v>
      </c>
      <c r="C26" s="66" t="s">
        <v>408</v>
      </c>
      <c r="D26" s="66" t="s">
        <v>416</v>
      </c>
      <c r="E26" s="168" t="s">
        <v>410</v>
      </c>
      <c r="F26" s="169">
        <v>18.676375362558076</v>
      </c>
      <c r="G26" s="169">
        <v>146.68111154879892</v>
      </c>
      <c r="H26" s="30">
        <v>7.8538318437774333</v>
      </c>
      <c r="I26" s="170">
        <v>2.3027911618790395</v>
      </c>
      <c r="J26" s="171">
        <v>5.6642583934355673E-3</v>
      </c>
      <c r="K26" s="171">
        <v>2.0567672952602886E-3</v>
      </c>
      <c r="L26" s="172">
        <v>100.64478233872636</v>
      </c>
      <c r="M26" s="172">
        <v>88.136826729948552</v>
      </c>
      <c r="N26" s="169">
        <v>34.286600796076364</v>
      </c>
      <c r="O26"/>
      <c r="P26"/>
      <c r="Q26"/>
      <c r="T26" s="64"/>
      <c r="U26" s="64"/>
      <c r="V26" s="64"/>
      <c r="W26" s="64"/>
      <c r="X26" s="64"/>
      <c r="Y26" s="64"/>
      <c r="Z26" s="64"/>
      <c r="AA26" s="64"/>
      <c r="AB26" s="64"/>
    </row>
    <row r="27" spans="1:28">
      <c r="A27" s="67">
        <v>26</v>
      </c>
      <c r="B27" s="134">
        <v>4</v>
      </c>
      <c r="C27" s="66" t="s">
        <v>413</v>
      </c>
      <c r="D27" s="66" t="s">
        <v>409</v>
      </c>
      <c r="E27" s="168" t="s">
        <v>410</v>
      </c>
      <c r="F27" s="169">
        <v>34.394501544549385</v>
      </c>
      <c r="G27" s="169">
        <v>379.42284821056688</v>
      </c>
      <c r="H27" s="30">
        <v>11.031497221121827</v>
      </c>
      <c r="I27" s="170">
        <v>7.4553374671218631</v>
      </c>
      <c r="J27" s="171">
        <v>2.3233712584977179E-3</v>
      </c>
      <c r="K27" s="171">
        <v>2.8523793190809192E-3</v>
      </c>
      <c r="L27" s="172">
        <v>7.7683612173197076</v>
      </c>
      <c r="M27" s="172">
        <v>-8.8156136460962262</v>
      </c>
      <c r="N27" s="169">
        <v>127.65776318877006</v>
      </c>
      <c r="O27"/>
      <c r="P27"/>
      <c r="Q27"/>
      <c r="T27" s="64"/>
      <c r="U27" s="64"/>
      <c r="V27" s="64"/>
      <c r="W27" s="64"/>
      <c r="X27" s="64"/>
      <c r="Y27" s="64"/>
      <c r="Z27" s="64"/>
      <c r="AA27" s="64"/>
      <c r="AB27" s="64"/>
    </row>
    <row r="28" spans="1:28">
      <c r="A28" s="67">
        <v>27</v>
      </c>
      <c r="B28" s="134">
        <v>4</v>
      </c>
      <c r="C28" s="66" t="s">
        <v>415</v>
      </c>
      <c r="D28" s="66" t="s">
        <v>418</v>
      </c>
      <c r="E28" s="168" t="s">
        <v>410</v>
      </c>
      <c r="F28" s="169">
        <v>8.3795585308419618</v>
      </c>
      <c r="G28" s="169">
        <v>73.442625638046508</v>
      </c>
      <c r="H28" s="30">
        <v>8.7644981973372698</v>
      </c>
      <c r="I28" s="170">
        <v>1.2172988262815609</v>
      </c>
      <c r="J28" s="171">
        <v>2.7441141843791332E-3</v>
      </c>
      <c r="K28" s="171">
        <v>3.6810732856737627E-4</v>
      </c>
      <c r="L28" s="172">
        <v>120.64040694088997</v>
      </c>
      <c r="M28" s="172">
        <v>99.890963920468394</v>
      </c>
      <c r="N28" s="169">
        <v>18.146164426723978</v>
      </c>
      <c r="O28"/>
      <c r="P28"/>
      <c r="Q28"/>
      <c r="T28" s="64"/>
      <c r="U28" s="64"/>
      <c r="V28" s="64"/>
      <c r="W28" s="64"/>
      <c r="X28" s="64"/>
      <c r="Y28" s="64"/>
      <c r="Z28" s="64"/>
      <c r="AA28" s="64"/>
      <c r="AB28" s="64"/>
    </row>
    <row r="29" spans="1:28">
      <c r="A29" s="67">
        <v>28</v>
      </c>
      <c r="B29" s="134">
        <v>4</v>
      </c>
      <c r="C29" s="66" t="s">
        <v>417</v>
      </c>
      <c r="D29" s="66" t="s">
        <v>424</v>
      </c>
      <c r="E29" s="168" t="s">
        <v>410</v>
      </c>
      <c r="F29" s="169">
        <v>13.785634261291989</v>
      </c>
      <c r="G29" s="169">
        <v>98.275092229033518</v>
      </c>
      <c r="H29" s="30">
        <v>7.1288045487305114</v>
      </c>
      <c r="I29" s="170">
        <v>8.5361169515687934</v>
      </c>
      <c r="J29" s="171">
        <v>4.5500213559347059E-2</v>
      </c>
      <c r="K29" s="171">
        <v>3.6187522312290388E-2</v>
      </c>
      <c r="L29" s="172">
        <v>112.06990888270475</v>
      </c>
      <c r="M29" s="172">
        <v>26.666489107764146</v>
      </c>
      <c r="N29" s="169">
        <v>95.272146754869382</v>
      </c>
      <c r="O29"/>
      <c r="P29"/>
      <c r="Q29"/>
      <c r="T29" s="64"/>
      <c r="U29" s="64"/>
      <c r="V29" s="64"/>
      <c r="W29" s="64"/>
      <c r="X29" s="64"/>
      <c r="Y29" s="64"/>
      <c r="Z29" s="64"/>
      <c r="AA29" s="64"/>
      <c r="AB29" s="64"/>
    </row>
    <row r="30" spans="1:28">
      <c r="A30" s="67">
        <v>29</v>
      </c>
      <c r="B30" s="134">
        <v>4</v>
      </c>
      <c r="C30" s="66" t="s">
        <v>419</v>
      </c>
      <c r="D30" s="66" t="s">
        <v>414</v>
      </c>
      <c r="E30" s="168" t="s">
        <v>410</v>
      </c>
      <c r="F30" s="169">
        <v>36.740707625360287</v>
      </c>
      <c r="G30" s="169">
        <v>339.53226330726164</v>
      </c>
      <c r="H30" s="30">
        <v>9.2413098508995333</v>
      </c>
      <c r="I30" s="170">
        <v>1.718618761869503</v>
      </c>
      <c r="J30" s="171">
        <v>5.2042007696018145E-3</v>
      </c>
      <c r="K30" s="171">
        <v>3.5135344780740231E-3</v>
      </c>
      <c r="L30" s="172">
        <v>213.12901735469217</v>
      </c>
      <c r="M30" s="172">
        <v>135.672561527347</v>
      </c>
      <c r="N30" s="169">
        <v>25.726310990894582</v>
      </c>
      <c r="O30"/>
      <c r="P30"/>
      <c r="Q30"/>
      <c r="T30" s="64"/>
      <c r="U30" s="64"/>
      <c r="V30" s="64"/>
      <c r="W30" s="64"/>
      <c r="X30" s="64"/>
      <c r="Y30" s="64"/>
      <c r="Z30" s="64"/>
      <c r="AA30" s="64"/>
      <c r="AB30" s="64"/>
    </row>
    <row r="31" spans="1:28">
      <c r="A31" s="67">
        <v>30</v>
      </c>
      <c r="B31" s="134">
        <v>4</v>
      </c>
      <c r="C31" s="66" t="s">
        <v>421</v>
      </c>
      <c r="D31" s="66" t="s">
        <v>420</v>
      </c>
      <c r="E31" s="168" t="s">
        <v>410</v>
      </c>
      <c r="F31" s="169">
        <v>34.457624724633895</v>
      </c>
      <c r="G31" s="169">
        <v>245.70356370581325</v>
      </c>
      <c r="H31" s="30">
        <v>7.1306007210113584</v>
      </c>
      <c r="I31" s="170">
        <v>8.995684475161875</v>
      </c>
      <c r="J31" s="171">
        <v>2.8547543914328618E-2</v>
      </c>
      <c r="K31" s="171">
        <v>2.7564099601587386E-2</v>
      </c>
      <c r="L31" s="172">
        <v>308.81219687899625</v>
      </c>
      <c r="M31" s="172">
        <v>110.11942111152145</v>
      </c>
      <c r="N31" s="169">
        <v>109.87224942877859</v>
      </c>
      <c r="O31"/>
      <c r="P31"/>
      <c r="Q31"/>
      <c r="T31" s="64"/>
      <c r="U31" s="64"/>
      <c r="V31" s="64"/>
      <c r="W31" s="64"/>
      <c r="X31" s="64"/>
      <c r="Y31" s="64"/>
      <c r="Z31" s="64"/>
      <c r="AA31" s="64"/>
      <c r="AB31" s="64"/>
    </row>
    <row r="32" spans="1:28">
      <c r="A32" s="67">
        <v>31</v>
      </c>
      <c r="B32" s="134">
        <v>4</v>
      </c>
      <c r="C32" s="66" t="s">
        <v>423</v>
      </c>
      <c r="D32" s="66" t="s">
        <v>426</v>
      </c>
      <c r="E32" s="168" t="s">
        <v>410</v>
      </c>
      <c r="F32" s="169">
        <v>24.865887027074706</v>
      </c>
      <c r="G32" s="169">
        <v>205.33262339838672</v>
      </c>
      <c r="H32" s="30">
        <v>8.2576030034566852</v>
      </c>
      <c r="I32" s="170">
        <v>1.9072550737158884</v>
      </c>
      <c r="J32" s="171">
        <v>2.0348090614363619E-3</v>
      </c>
      <c r="K32" s="171">
        <v>4.27979704655402E-4</v>
      </c>
      <c r="L32" s="172">
        <v>252.2447150575407</v>
      </c>
      <c r="M32" s="172">
        <v>175.25721131027575</v>
      </c>
      <c r="N32" s="169">
        <v>30.798485884653406</v>
      </c>
      <c r="O32"/>
      <c r="P32"/>
      <c r="Q32"/>
      <c r="T32" s="64"/>
      <c r="U32" s="64"/>
      <c r="V32" s="64"/>
      <c r="W32" s="64"/>
      <c r="X32" s="64"/>
      <c r="Y32" s="64"/>
      <c r="Z32" s="64"/>
      <c r="AA32" s="64"/>
      <c r="AB32" s="64"/>
    </row>
    <row r="33" spans="1:28">
      <c r="A33" s="67">
        <v>32</v>
      </c>
      <c r="B33" s="134">
        <v>4</v>
      </c>
      <c r="C33" s="66" t="s">
        <v>425</v>
      </c>
      <c r="D33" s="66" t="s">
        <v>422</v>
      </c>
      <c r="E33" s="168" t="s">
        <v>410</v>
      </c>
      <c r="F33" s="169">
        <v>10.859885734932552</v>
      </c>
      <c r="G33" s="169">
        <v>153.48304106958651</v>
      </c>
      <c r="H33" s="30">
        <v>14.13302541258642</v>
      </c>
      <c r="I33" s="170">
        <v>6.4348977448961717</v>
      </c>
      <c r="J33" s="171">
        <v>6.4955841116176062E-3</v>
      </c>
      <c r="K33" s="171">
        <v>6.6986633694262974E-3</v>
      </c>
      <c r="L33" s="172">
        <v>64.835853366953643</v>
      </c>
      <c r="M33" s="172">
        <v>27.697694848671393</v>
      </c>
      <c r="N33" s="169">
        <v>92.953746296455378</v>
      </c>
      <c r="O33"/>
      <c r="P33"/>
      <c r="Q33"/>
      <c r="T33" s="64"/>
      <c r="U33" s="64"/>
      <c r="V33" s="64"/>
      <c r="W33" s="64"/>
      <c r="X33" s="64"/>
      <c r="Y33" s="64"/>
      <c r="Z33" s="64"/>
      <c r="AA33" s="64"/>
      <c r="AB33" s="64"/>
    </row>
    <row r="34" spans="1:28">
      <c r="A34" s="67">
        <v>33</v>
      </c>
      <c r="B34" s="66">
        <v>5</v>
      </c>
      <c r="C34" s="66" t="s">
        <v>408</v>
      </c>
      <c r="D34" s="66" t="s">
        <v>420</v>
      </c>
      <c r="E34" s="168" t="s">
        <v>410</v>
      </c>
      <c r="F34" s="169"/>
      <c r="G34" s="169"/>
      <c r="H34" s="30"/>
      <c r="I34" s="170">
        <v>8.3262554062174736</v>
      </c>
      <c r="J34" s="171">
        <v>3.8379809095088945E-2</v>
      </c>
      <c r="K34" s="171">
        <v>4.0202766345949811E-2</v>
      </c>
      <c r="L34" s="172"/>
      <c r="M34" s="172"/>
      <c r="N34" s="169">
        <v>151.04598466998701</v>
      </c>
      <c r="O34" t="s">
        <v>498</v>
      </c>
      <c r="P34"/>
      <c r="Q34"/>
      <c r="T34" s="64"/>
      <c r="U34" s="64"/>
      <c r="V34" s="64"/>
      <c r="W34" s="64"/>
      <c r="X34" s="64"/>
      <c r="Y34" s="64"/>
      <c r="Z34" s="64"/>
      <c r="AA34" s="64"/>
      <c r="AB34" s="64"/>
    </row>
    <row r="35" spans="1:28">
      <c r="A35" s="67">
        <v>34</v>
      </c>
      <c r="B35" s="66">
        <v>5</v>
      </c>
      <c r="C35" s="66" t="s">
        <v>413</v>
      </c>
      <c r="D35" s="66" t="s">
        <v>424</v>
      </c>
      <c r="E35" s="168" t="s">
        <v>410</v>
      </c>
      <c r="F35" s="169">
        <v>10.21517706845095</v>
      </c>
      <c r="G35" s="169">
        <v>167.97776728653614</v>
      </c>
      <c r="H35" s="30">
        <v>16.443940830485147</v>
      </c>
      <c r="I35" s="170">
        <v>3.0509134476768889</v>
      </c>
      <c r="J35" s="171">
        <v>9.2875769866574021E-3</v>
      </c>
      <c r="K35" s="171">
        <v>1.4373357568531737E-2</v>
      </c>
      <c r="L35" s="172">
        <v>112.55342480496853</v>
      </c>
      <c r="M35" s="172">
        <v>50.599600552250479</v>
      </c>
      <c r="N35" s="169">
        <v>76.941936863385592</v>
      </c>
      <c r="O35"/>
      <c r="P35"/>
      <c r="Q35"/>
      <c r="T35" s="64"/>
      <c r="U35" s="64"/>
      <c r="V35" s="64"/>
      <c r="W35" s="64"/>
      <c r="X35" s="64"/>
      <c r="Y35" s="64"/>
      <c r="Z35" s="64"/>
      <c r="AA35" s="64"/>
      <c r="AB35" s="64"/>
    </row>
    <row r="36" spans="1:28">
      <c r="A36" s="67">
        <v>35</v>
      </c>
      <c r="B36" s="66">
        <v>5</v>
      </c>
      <c r="C36" s="66" t="s">
        <v>415</v>
      </c>
      <c r="D36" s="66" t="s">
        <v>409</v>
      </c>
      <c r="E36" s="168" t="s">
        <v>410</v>
      </c>
      <c r="F36" s="169">
        <v>18.673573591585864</v>
      </c>
      <c r="G36" s="169">
        <v>377.65041279956574</v>
      </c>
      <c r="H36" s="30">
        <v>20.223789032525165</v>
      </c>
      <c r="I36" s="170">
        <v>2.2176543550462657</v>
      </c>
      <c r="J36" s="171">
        <v>3.8839550547115909E-3</v>
      </c>
      <c r="K36" s="171">
        <v>4.7449027743711996E-3</v>
      </c>
      <c r="L36" s="172">
        <v>268.07412844146091</v>
      </c>
      <c r="M36" s="172">
        <v>124.89261473170964</v>
      </c>
      <c r="N36" s="169">
        <v>46.603461756591258</v>
      </c>
      <c r="O36"/>
      <c r="P36"/>
      <c r="Q36"/>
      <c r="T36" s="64"/>
      <c r="U36" s="64"/>
      <c r="V36" s="64"/>
      <c r="W36" s="64"/>
      <c r="X36" s="64"/>
      <c r="Y36" s="64"/>
      <c r="Z36" s="64"/>
      <c r="AA36" s="64"/>
      <c r="AB36" s="64"/>
    </row>
    <row r="37" spans="1:28">
      <c r="A37" s="67">
        <v>36</v>
      </c>
      <c r="B37" s="66">
        <v>5</v>
      </c>
      <c r="C37" s="66" t="s">
        <v>417</v>
      </c>
      <c r="D37" s="66" t="s">
        <v>426</v>
      </c>
      <c r="E37" s="168" t="s">
        <v>410</v>
      </c>
      <c r="F37" s="169">
        <v>8.0355793332223211</v>
      </c>
      <c r="G37" s="169">
        <v>83.698758116246935</v>
      </c>
      <c r="H37" s="30">
        <v>10.416020382028034</v>
      </c>
      <c r="I37" s="170">
        <v>2.7991553183160338</v>
      </c>
      <c r="J37" s="171">
        <v>9.0813777997517473E-3</v>
      </c>
      <c r="K37" s="171">
        <v>9.0941697397195383E-3</v>
      </c>
      <c r="L37" s="172">
        <v>282.38601619107777</v>
      </c>
      <c r="M37" s="172">
        <v>200.8792135577589</v>
      </c>
      <c r="N37" s="169">
        <v>45.316837991972704</v>
      </c>
      <c r="O37"/>
      <c r="P37"/>
      <c r="Q37"/>
      <c r="T37" s="64"/>
      <c r="U37" s="64"/>
      <c r="V37" s="64"/>
      <c r="W37" s="64"/>
      <c r="X37" s="64"/>
      <c r="Y37" s="64"/>
      <c r="Z37" s="64"/>
      <c r="AA37" s="64"/>
      <c r="AB37" s="64"/>
    </row>
    <row r="38" spans="1:28">
      <c r="A38" s="67">
        <v>37</v>
      </c>
      <c r="B38" s="66">
        <v>5</v>
      </c>
      <c r="C38" s="66" t="s">
        <v>419</v>
      </c>
      <c r="D38" s="66" t="s">
        <v>418</v>
      </c>
      <c r="E38" s="168" t="s">
        <v>410</v>
      </c>
      <c r="F38" s="169">
        <v>3.9147126163799983</v>
      </c>
      <c r="G38" s="169">
        <v>61.120371822329254</v>
      </c>
      <c r="H38" s="30">
        <v>15.612990738218814</v>
      </c>
      <c r="I38" s="170">
        <v>1.4866942602880742</v>
      </c>
      <c r="J38" s="171">
        <v>4.3386187944758259E-4</v>
      </c>
      <c r="K38" s="171">
        <v>3.9442140987986388E-4</v>
      </c>
      <c r="L38" s="172">
        <v>17.054126391503516</v>
      </c>
      <c r="M38" s="172">
        <v>12.81493281083789</v>
      </c>
      <c r="N38" s="169">
        <v>45.215611039544953</v>
      </c>
      <c r="O38"/>
      <c r="P38"/>
      <c r="Q38"/>
      <c r="T38" s="64"/>
      <c r="U38" s="64"/>
      <c r="V38" s="64"/>
      <c r="W38" s="64"/>
      <c r="X38" s="64"/>
      <c r="Y38" s="64"/>
      <c r="Z38" s="64"/>
      <c r="AA38" s="64"/>
      <c r="AB38" s="64"/>
    </row>
    <row r="39" spans="1:28">
      <c r="A39" s="67">
        <v>38</v>
      </c>
      <c r="B39" s="66">
        <v>5</v>
      </c>
      <c r="C39" s="66" t="s">
        <v>421</v>
      </c>
      <c r="D39" s="66" t="s">
        <v>416</v>
      </c>
      <c r="E39" s="168" t="s">
        <v>410</v>
      </c>
      <c r="F39" s="169">
        <v>16.860576819728117</v>
      </c>
      <c r="G39" s="169">
        <v>180.36582771623114</v>
      </c>
      <c r="H39" s="30">
        <v>10.697488564281493</v>
      </c>
      <c r="I39" s="170">
        <v>1.6675754617239515</v>
      </c>
      <c r="J39" s="171">
        <v>3.862777514569502E-3</v>
      </c>
      <c r="K39" s="171">
        <v>4.010471267972833E-3</v>
      </c>
      <c r="L39" s="172">
        <v>130.53767548838633</v>
      </c>
      <c r="M39" s="172">
        <v>73.710013706291022</v>
      </c>
      <c r="N39" s="169">
        <v>33.060935825884869</v>
      </c>
      <c r="O39"/>
      <c r="P39"/>
      <c r="Q39"/>
      <c r="T39" s="64"/>
      <c r="U39" s="64"/>
      <c r="V39" s="64"/>
      <c r="W39" s="64"/>
      <c r="X39" s="64"/>
      <c r="Y39" s="64"/>
      <c r="Z39" s="64"/>
      <c r="AA39" s="64"/>
      <c r="AB39" s="64"/>
    </row>
    <row r="40" spans="1:28">
      <c r="A40" s="67">
        <v>39</v>
      </c>
      <c r="B40" s="66">
        <v>5</v>
      </c>
      <c r="C40" s="66" t="s">
        <v>423</v>
      </c>
      <c r="D40" s="66" t="s">
        <v>422</v>
      </c>
      <c r="E40" s="168" t="s">
        <v>410</v>
      </c>
      <c r="F40" s="169">
        <v>19.441720339812768</v>
      </c>
      <c r="G40" s="169">
        <v>256.89702902409914</v>
      </c>
      <c r="H40" s="30">
        <v>13.213698403943463</v>
      </c>
      <c r="I40" s="170">
        <v>4.7570283812073759</v>
      </c>
      <c r="J40" s="171">
        <v>2.1315349218485959E-2</v>
      </c>
      <c r="K40" s="171">
        <v>2.8139276677511423E-2</v>
      </c>
      <c r="L40" s="172">
        <v>287.41210323304472</v>
      </c>
      <c r="M40" s="172">
        <v>106.49344253647222</v>
      </c>
      <c r="N40" s="169">
        <v>117.812915552028</v>
      </c>
      <c r="O40"/>
      <c r="P40"/>
      <c r="Q40"/>
      <c r="T40" s="64"/>
      <c r="U40" s="64"/>
      <c r="V40" s="64"/>
      <c r="W40" s="64"/>
      <c r="X40" s="64"/>
      <c r="Y40" s="64"/>
      <c r="Z40" s="64"/>
      <c r="AA40" s="64"/>
      <c r="AB40" s="64"/>
    </row>
    <row r="41" spans="1:28">
      <c r="A41" s="67">
        <v>40</v>
      </c>
      <c r="B41" s="66">
        <v>5</v>
      </c>
      <c r="C41" s="66" t="s">
        <v>425</v>
      </c>
      <c r="D41" s="66" t="s">
        <v>414</v>
      </c>
      <c r="E41" s="168" t="s">
        <v>410</v>
      </c>
      <c r="F41" s="169">
        <v>21.640524241826501</v>
      </c>
      <c r="G41" s="169">
        <v>232.54752645011638</v>
      </c>
      <c r="H41" s="30">
        <v>10.745928511318214</v>
      </c>
      <c r="I41" s="170">
        <v>0.59733076816634001</v>
      </c>
      <c r="J41" s="171">
        <v>3.0227265701622162E-4</v>
      </c>
      <c r="K41" s="171">
        <v>-3.5229371530963737E-4</v>
      </c>
      <c r="L41" s="172">
        <v>109.27509420672055</v>
      </c>
      <c r="M41" s="172">
        <v>95.798724134561226</v>
      </c>
      <c r="N41" s="169">
        <v>9.6588100942348909</v>
      </c>
      <c r="O41"/>
      <c r="P41"/>
      <c r="Q41"/>
      <c r="T41" s="64"/>
      <c r="U41" s="64"/>
      <c r="V41" s="64"/>
      <c r="W41" s="64"/>
      <c r="X41" s="64"/>
      <c r="Y41" s="64"/>
      <c r="Z41" s="64"/>
      <c r="AA41" s="64"/>
      <c r="AB41" s="64"/>
    </row>
    <row r="42" spans="1:28">
      <c r="A42" s="67">
        <v>41</v>
      </c>
      <c r="B42" s="66">
        <v>6</v>
      </c>
      <c r="C42" s="66" t="s">
        <v>408</v>
      </c>
      <c r="D42" s="66" t="s">
        <v>422</v>
      </c>
      <c r="E42" s="168" t="s">
        <v>410</v>
      </c>
      <c r="F42" s="169">
        <v>13.442282608102248</v>
      </c>
      <c r="G42" s="169">
        <v>183.56507113743186</v>
      </c>
      <c r="H42" s="30">
        <v>13.655796153756596</v>
      </c>
      <c r="I42" s="170">
        <v>5.8507794543337441</v>
      </c>
      <c r="J42" s="171">
        <v>2.1349110535814876E-2</v>
      </c>
      <c r="K42" s="171">
        <v>2.3255481740663726E-2</v>
      </c>
      <c r="L42" s="172">
        <v>140.28073688615208</v>
      </c>
      <c r="M42" s="172">
        <v>31.382694920287744</v>
      </c>
      <c r="N42" s="169">
        <v>125.66230292254041</v>
      </c>
      <c r="O42"/>
      <c r="P42"/>
      <c r="Q42"/>
      <c r="T42" s="64"/>
      <c r="U42" s="64"/>
      <c r="V42" s="64"/>
      <c r="W42" s="64"/>
      <c r="X42" s="64"/>
      <c r="Y42" s="64"/>
      <c r="Z42" s="64"/>
      <c r="AA42" s="64"/>
      <c r="AB42" s="64"/>
    </row>
    <row r="43" spans="1:28">
      <c r="A43" s="67">
        <v>42</v>
      </c>
      <c r="B43" s="66">
        <v>6</v>
      </c>
      <c r="C43" s="66" t="s">
        <v>413</v>
      </c>
      <c r="D43" s="66" t="s">
        <v>426</v>
      </c>
      <c r="E43" s="168" t="s">
        <v>410</v>
      </c>
      <c r="F43" s="169">
        <v>25.634910710039023</v>
      </c>
      <c r="G43" s="169">
        <v>202.57568167382112</v>
      </c>
      <c r="H43" s="30">
        <v>7.9023361526470772</v>
      </c>
      <c r="I43" s="170">
        <v>1.6709423724722989</v>
      </c>
      <c r="J43" s="171">
        <v>5.5379944123761925E-4</v>
      </c>
      <c r="K43" s="171">
        <v>4.0501701676766357E-4</v>
      </c>
      <c r="L43" s="172">
        <v>132.21864403356778</v>
      </c>
      <c r="M43" s="172">
        <v>75.50863159789175</v>
      </c>
      <c r="N43" s="169">
        <v>25.712953628303826</v>
      </c>
      <c r="O43"/>
      <c r="P43"/>
      <c r="Q43"/>
      <c r="T43" s="64"/>
      <c r="U43" s="64"/>
      <c r="V43" s="64"/>
      <c r="W43" s="64"/>
      <c r="X43" s="64"/>
      <c r="Y43" s="64"/>
      <c r="Z43" s="64"/>
      <c r="AA43" s="64"/>
      <c r="AB43" s="64"/>
    </row>
    <row r="44" spans="1:28">
      <c r="A44" s="67">
        <v>43</v>
      </c>
      <c r="B44" s="66">
        <v>6</v>
      </c>
      <c r="C44" s="66" t="s">
        <v>415</v>
      </c>
      <c r="D44" s="66" t="s">
        <v>424</v>
      </c>
      <c r="E44" s="168" t="s">
        <v>410</v>
      </c>
      <c r="F44" s="169">
        <v>5.1270530449684877</v>
      </c>
      <c r="G44" s="169">
        <v>13.15942777630536</v>
      </c>
      <c r="H44" s="30">
        <v>2.5666650336726216</v>
      </c>
      <c r="I44" s="170">
        <v>10.760065700174854</v>
      </c>
      <c r="J44" s="171">
        <v>5.328787832137187E-3</v>
      </c>
      <c r="K44" s="171">
        <v>3.5029532092199422E-3</v>
      </c>
      <c r="L44" s="172">
        <v>95.260961795975845</v>
      </c>
      <c r="M44" s="172">
        <v>36.329005299951802</v>
      </c>
      <c r="N44" s="169">
        <v>155.82596815619502</v>
      </c>
      <c r="O44"/>
      <c r="P44"/>
      <c r="Q44"/>
      <c r="T44" s="64"/>
      <c r="U44" s="64"/>
      <c r="V44" s="64"/>
      <c r="W44" s="64"/>
      <c r="X44" s="64"/>
      <c r="Y44" s="64"/>
      <c r="Z44" s="64"/>
      <c r="AA44" s="64"/>
      <c r="AB44" s="64"/>
    </row>
    <row r="45" spans="1:28">
      <c r="A45" s="67">
        <v>44</v>
      </c>
      <c r="B45" s="66">
        <v>6</v>
      </c>
      <c r="C45" s="66" t="s">
        <v>417</v>
      </c>
      <c r="D45" s="66" t="s">
        <v>409</v>
      </c>
      <c r="E45" s="168" t="s">
        <v>410</v>
      </c>
      <c r="F45" s="169">
        <v>26.411457522544087</v>
      </c>
      <c r="G45" s="169">
        <v>240.97720080435525</v>
      </c>
      <c r="H45" s="30">
        <v>9.1239644990687765</v>
      </c>
      <c r="I45" s="170">
        <v>2.2960120422056876</v>
      </c>
      <c r="J45" s="171">
        <v>9.3066061491858237E-3</v>
      </c>
      <c r="K45" s="171">
        <v>1.2637153195288183E-2</v>
      </c>
      <c r="L45" s="172">
        <v>311.88356451004154</v>
      </c>
      <c r="M45" s="172">
        <v>144.47806710701968</v>
      </c>
      <c r="N45" s="169">
        <v>49.780117040483972</v>
      </c>
      <c r="O45"/>
      <c r="P45"/>
      <c r="Q45"/>
      <c r="T45" s="64"/>
      <c r="U45" s="64"/>
      <c r="V45" s="64"/>
      <c r="W45" s="64"/>
      <c r="X45" s="64"/>
      <c r="Y45" s="64"/>
      <c r="Z45" s="64"/>
      <c r="AA45" s="64"/>
      <c r="AB45" s="64"/>
    </row>
    <row r="46" spans="1:28">
      <c r="A46" s="67">
        <v>45</v>
      </c>
      <c r="B46" s="66">
        <v>6</v>
      </c>
      <c r="C46" s="66" t="s">
        <v>419</v>
      </c>
      <c r="D46" s="66" t="s">
        <v>416</v>
      </c>
      <c r="E46" s="168" t="s">
        <v>410</v>
      </c>
      <c r="F46" s="169">
        <v>8.8842665536131182</v>
      </c>
      <c r="G46" s="169">
        <v>98.263680974495472</v>
      </c>
      <c r="H46" s="30">
        <v>11.060415666449458</v>
      </c>
      <c r="I46" s="170">
        <v>1.6130883056014831</v>
      </c>
      <c r="J46" s="171">
        <v>3.2068739128338691E-3</v>
      </c>
      <c r="K46" s="171">
        <v>3.0680508968824616E-3</v>
      </c>
      <c r="L46" s="172">
        <v>129.05624747931188</v>
      </c>
      <c r="M46" s="172">
        <v>106.56904355856754</v>
      </c>
      <c r="N46" s="169">
        <v>24.572262772019982</v>
      </c>
      <c r="O46"/>
      <c r="P46"/>
      <c r="Q46"/>
      <c r="T46" s="64"/>
      <c r="U46" s="64"/>
      <c r="V46" s="64"/>
      <c r="W46" s="64"/>
      <c r="X46" s="64"/>
      <c r="Y46" s="64"/>
      <c r="Z46" s="64"/>
      <c r="AA46" s="64"/>
      <c r="AB46" s="64"/>
    </row>
    <row r="47" spans="1:28">
      <c r="A47" s="67">
        <v>46</v>
      </c>
      <c r="B47" s="66">
        <v>6</v>
      </c>
      <c r="C47" s="66" t="s">
        <v>421</v>
      </c>
      <c r="D47" s="66" t="s">
        <v>414</v>
      </c>
      <c r="E47" s="168" t="s">
        <v>410</v>
      </c>
      <c r="F47" s="169">
        <v>15.771873359854466</v>
      </c>
      <c r="G47" s="169">
        <v>149.60519662681202</v>
      </c>
      <c r="H47" s="30">
        <v>9.4855692290565337</v>
      </c>
      <c r="I47" s="170">
        <v>0.62534635170949948</v>
      </c>
      <c r="J47" s="171">
        <v>6.0759894690391172E-4</v>
      </c>
      <c r="K47" s="171">
        <v>1.0086079513559488E-3</v>
      </c>
      <c r="L47" s="172">
        <v>90.261989222665292</v>
      </c>
      <c r="M47" s="172">
        <v>73.228952719436393</v>
      </c>
      <c r="N47" s="169">
        <v>11.150713728548206</v>
      </c>
      <c r="O47"/>
      <c r="P47"/>
      <c r="Q47"/>
      <c r="T47" s="64"/>
      <c r="U47" s="64"/>
      <c r="V47" s="64"/>
      <c r="W47" s="64"/>
      <c r="X47" s="64"/>
      <c r="Y47" s="64"/>
      <c r="Z47" s="64"/>
      <c r="AA47" s="64"/>
      <c r="AB47" s="64"/>
    </row>
    <row r="48" spans="1:28">
      <c r="A48" s="67">
        <v>47</v>
      </c>
      <c r="B48" s="66">
        <v>6</v>
      </c>
      <c r="C48" s="66" t="s">
        <v>423</v>
      </c>
      <c r="D48" s="66" t="s">
        <v>420</v>
      </c>
      <c r="E48" s="168" t="s">
        <v>410</v>
      </c>
      <c r="F48" s="169">
        <v>14.459447512323589</v>
      </c>
      <c r="G48" s="169">
        <v>186.26064392669682</v>
      </c>
      <c r="H48" s="30">
        <v>12.881587886947232</v>
      </c>
      <c r="I48" s="170">
        <v>6.1430605805694203</v>
      </c>
      <c r="J48" s="171">
        <v>3.7871980393204878E-2</v>
      </c>
      <c r="K48" s="171">
        <v>4.6624511886531883E-2</v>
      </c>
      <c r="L48" s="172">
        <v>101.22926076186758</v>
      </c>
      <c r="M48" s="172">
        <v>-6.0864293160833887</v>
      </c>
      <c r="N48" s="169">
        <v>117.63633244095662</v>
      </c>
      <c r="O48"/>
      <c r="P48"/>
      <c r="Q48"/>
      <c r="T48" s="64"/>
      <c r="U48" s="64"/>
      <c r="V48" s="64"/>
      <c r="W48" s="64"/>
      <c r="X48" s="64"/>
      <c r="Y48" s="64"/>
      <c r="Z48" s="64"/>
      <c r="AA48" s="64"/>
      <c r="AB48" s="64"/>
    </row>
    <row r="49" spans="1:28">
      <c r="A49" s="67">
        <v>48</v>
      </c>
      <c r="B49" s="66">
        <v>6</v>
      </c>
      <c r="C49" s="66" t="s">
        <v>425</v>
      </c>
      <c r="D49" s="66" t="s">
        <v>418</v>
      </c>
      <c r="E49" s="168" t="s">
        <v>410</v>
      </c>
      <c r="F49" s="169">
        <v>8.5416412911174646</v>
      </c>
      <c r="G49" s="169">
        <v>100.28449730757418</v>
      </c>
      <c r="H49" s="30">
        <v>11.740658954135782</v>
      </c>
      <c r="I49" s="170">
        <v>1.5448553781961862</v>
      </c>
      <c r="J49" s="171">
        <v>3.17748597649095E-4</v>
      </c>
      <c r="K49" s="171">
        <v>-9.2605567267055905E-5</v>
      </c>
      <c r="L49" s="172">
        <v>0.5378566081685191</v>
      </c>
      <c r="M49" s="172">
        <v>-4.6535236059264706</v>
      </c>
      <c r="N49" s="169">
        <v>25.498861503575593</v>
      </c>
      <c r="O49"/>
      <c r="P49"/>
      <c r="Q49"/>
      <c r="T49" s="64"/>
      <c r="U49" s="64"/>
      <c r="V49" s="64"/>
      <c r="W49" s="64"/>
      <c r="X49" s="64"/>
      <c r="Y49" s="64"/>
      <c r="Z49" s="64"/>
      <c r="AA49" s="64"/>
      <c r="AB49" s="64"/>
    </row>
    <row r="50" spans="1:28">
      <c r="A50" s="67">
        <v>97</v>
      </c>
      <c r="B50" s="134">
        <v>1</v>
      </c>
      <c r="C50" s="66" t="s">
        <v>408</v>
      </c>
      <c r="D50" s="66" t="s">
        <v>409</v>
      </c>
      <c r="E50" s="168" t="s">
        <v>437</v>
      </c>
      <c r="F50" s="169">
        <v>37.421830080353558</v>
      </c>
      <c r="G50" s="169">
        <v>299.46227088561227</v>
      </c>
      <c r="H50" s="30">
        <v>8.0023416877954823</v>
      </c>
      <c r="I50" s="170">
        <v>4.4721444027161388</v>
      </c>
      <c r="J50" s="171">
        <v>-3.310811995932685E-5</v>
      </c>
      <c r="K50" s="171">
        <v>1.0853373227050474E-3</v>
      </c>
      <c r="L50" s="172">
        <v>-0.31619737668753406</v>
      </c>
      <c r="M50" s="172">
        <v>2.9748928990590389</v>
      </c>
      <c r="N50" s="169">
        <v>50.91537570603537</v>
      </c>
      <c r="O50"/>
      <c r="P50"/>
      <c r="Q50"/>
      <c r="T50" s="64"/>
      <c r="U50" s="64"/>
      <c r="V50" s="64"/>
      <c r="W50" s="64"/>
      <c r="X50" s="64"/>
      <c r="Y50" s="64"/>
      <c r="Z50" s="64"/>
      <c r="AA50" s="64"/>
      <c r="AB50" s="64"/>
    </row>
    <row r="51" spans="1:28">
      <c r="A51" s="67">
        <v>98</v>
      </c>
      <c r="B51" s="134">
        <v>1</v>
      </c>
      <c r="C51" s="66" t="s">
        <v>413</v>
      </c>
      <c r="D51" s="66" t="s">
        <v>414</v>
      </c>
      <c r="E51" s="168" t="s">
        <v>437</v>
      </c>
      <c r="F51" s="169">
        <v>12.200166138995426</v>
      </c>
      <c r="G51" s="169">
        <v>102.56675132088439</v>
      </c>
      <c r="H51" s="30">
        <v>8.406996277948215</v>
      </c>
      <c r="I51" s="170">
        <v>3.200367391613276</v>
      </c>
      <c r="J51" s="171">
        <v>-1.8363067738485319E-5</v>
      </c>
      <c r="K51" s="171">
        <v>8.8224816526943667E-4</v>
      </c>
      <c r="L51" s="172">
        <v>0.35853697338940094</v>
      </c>
      <c r="M51" s="172">
        <v>1.9832234345259796</v>
      </c>
      <c r="N51" s="169">
        <v>39.806943029013091</v>
      </c>
      <c r="O51"/>
      <c r="P51"/>
      <c r="Q51"/>
      <c r="T51" s="64"/>
      <c r="U51" s="64"/>
      <c r="V51" s="64"/>
      <c r="W51" s="64"/>
      <c r="X51" s="64"/>
      <c r="Y51" s="64"/>
      <c r="Z51" s="64"/>
      <c r="AA51" s="64"/>
      <c r="AB51" s="64"/>
    </row>
    <row r="52" spans="1:28">
      <c r="A52" s="67">
        <v>99</v>
      </c>
      <c r="B52" s="134">
        <v>1</v>
      </c>
      <c r="C52" s="66" t="s">
        <v>415</v>
      </c>
      <c r="D52" s="66" t="s">
        <v>416</v>
      </c>
      <c r="E52" s="168" t="s">
        <v>437</v>
      </c>
      <c r="F52" s="169">
        <v>6.936589990883216</v>
      </c>
      <c r="G52" s="169">
        <v>69.743162944129864</v>
      </c>
      <c r="H52" s="30">
        <v>10.054387391469518</v>
      </c>
      <c r="I52" s="170">
        <v>1.2439535613245021</v>
      </c>
      <c r="J52" s="171">
        <v>2.4571569214509466E-5</v>
      </c>
      <c r="K52" s="171">
        <v>4.1523428632502088E-4</v>
      </c>
      <c r="L52" s="172">
        <v>0.44074733145163664</v>
      </c>
      <c r="M52" s="172">
        <v>1.038289463892702</v>
      </c>
      <c r="N52" s="169">
        <v>16.01678701213925</v>
      </c>
      <c r="O52"/>
      <c r="P52"/>
      <c r="Q52"/>
      <c r="T52" s="64"/>
      <c r="U52" s="64"/>
      <c r="V52" s="64"/>
      <c r="W52" s="64"/>
      <c r="X52" s="64"/>
      <c r="Y52" s="64"/>
      <c r="Z52" s="64"/>
      <c r="AA52" s="64"/>
      <c r="AB52" s="64"/>
    </row>
    <row r="53" spans="1:28">
      <c r="A53" s="67">
        <v>100</v>
      </c>
      <c r="B53" s="134">
        <v>1</v>
      </c>
      <c r="C53" s="66" t="s">
        <v>417</v>
      </c>
      <c r="D53" s="66" t="s">
        <v>418</v>
      </c>
      <c r="E53" s="168" t="s">
        <v>437</v>
      </c>
      <c r="F53" s="169">
        <v>7.36868974909458</v>
      </c>
      <c r="G53" s="169">
        <v>46.838994457946278</v>
      </c>
      <c r="H53" s="30">
        <v>6.3564888810390707</v>
      </c>
      <c r="I53" s="170">
        <v>4.2461891139272501</v>
      </c>
      <c r="J53" s="171">
        <v>6.8452387842259801E-5</v>
      </c>
      <c r="K53" s="171">
        <v>9.3149972509776679E-4</v>
      </c>
      <c r="L53" s="172">
        <v>7.8911883467515889E-2</v>
      </c>
      <c r="M53" s="172">
        <v>0.95411764717718195</v>
      </c>
      <c r="N53" s="169">
        <v>50.921360918902451</v>
      </c>
      <c r="O53"/>
      <c r="P53"/>
      <c r="Q53"/>
      <c r="T53" s="64"/>
      <c r="U53" s="64"/>
      <c r="V53" s="64"/>
      <c r="W53" s="64"/>
      <c r="X53" s="64"/>
      <c r="Y53" s="64"/>
      <c r="Z53" s="64"/>
      <c r="AA53" s="64"/>
      <c r="AB53" s="64"/>
    </row>
    <row r="54" spans="1:28">
      <c r="A54" s="67">
        <v>101</v>
      </c>
      <c r="B54" s="134">
        <v>1</v>
      </c>
      <c r="C54" s="66" t="s">
        <v>419</v>
      </c>
      <c r="D54" s="66" t="s">
        <v>420</v>
      </c>
      <c r="E54" s="168" t="s">
        <v>437</v>
      </c>
      <c r="F54" s="169">
        <v>18.474960657324477</v>
      </c>
      <c r="G54" s="169">
        <v>189.46436368337686</v>
      </c>
      <c r="H54" s="30">
        <v>10.25519713939217</v>
      </c>
      <c r="I54" s="170">
        <v>1.4318956300627788</v>
      </c>
      <c r="J54" s="171">
        <v>5.6012355665441012E-5</v>
      </c>
      <c r="K54" s="171">
        <v>6.7141573893609468E-4</v>
      </c>
      <c r="L54" s="172">
        <v>0.28534421166177709</v>
      </c>
      <c r="M54" s="172">
        <v>1.7850663561020617</v>
      </c>
      <c r="N54" s="169">
        <v>17.29480022501658</v>
      </c>
      <c r="O54"/>
      <c r="P54"/>
      <c r="Q54"/>
      <c r="T54" s="64"/>
      <c r="U54" s="64"/>
      <c r="V54" s="64"/>
      <c r="W54" s="64"/>
      <c r="X54" s="64"/>
      <c r="Y54" s="64"/>
      <c r="Z54" s="64"/>
      <c r="AA54" s="64"/>
      <c r="AB54" s="64"/>
    </row>
    <row r="55" spans="1:28">
      <c r="A55" s="67">
        <v>102</v>
      </c>
      <c r="B55" s="134">
        <v>1</v>
      </c>
      <c r="C55" s="66" t="s">
        <v>421</v>
      </c>
      <c r="D55" s="66" t="s">
        <v>422</v>
      </c>
      <c r="E55" s="168" t="s">
        <v>437</v>
      </c>
      <c r="F55" s="169">
        <v>24.244941941008971</v>
      </c>
      <c r="G55" s="169">
        <v>242.43189450319588</v>
      </c>
      <c r="H55" s="30">
        <v>9.9992771726599106</v>
      </c>
      <c r="I55" s="170">
        <v>1.3831282834850553</v>
      </c>
      <c r="J55" s="171">
        <v>-1.7474144205712146E-5</v>
      </c>
      <c r="K55" s="171">
        <v>4.0339973781118832E-4</v>
      </c>
      <c r="L55" s="172">
        <v>0.26460583992475384</v>
      </c>
      <c r="M55" s="172">
        <v>2.7249920735289184</v>
      </c>
      <c r="N55" s="169">
        <v>19.802865668340878</v>
      </c>
      <c r="O55"/>
      <c r="P55"/>
      <c r="Q55"/>
      <c r="T55" s="64"/>
      <c r="U55" s="64"/>
      <c r="V55" s="64"/>
      <c r="W55" s="64"/>
      <c r="X55" s="64"/>
      <c r="Y55" s="64"/>
      <c r="Z55" s="64"/>
      <c r="AA55" s="64"/>
      <c r="AB55" s="64"/>
    </row>
    <row r="56" spans="1:28">
      <c r="A56" s="67">
        <v>103</v>
      </c>
      <c r="B56" s="134">
        <v>1</v>
      </c>
      <c r="C56" s="66" t="s">
        <v>423</v>
      </c>
      <c r="D56" s="66" t="s">
        <v>424</v>
      </c>
      <c r="E56" s="168" t="s">
        <v>437</v>
      </c>
      <c r="F56" s="169">
        <v>55.21576240331958</v>
      </c>
      <c r="G56" s="169">
        <v>496.47844889046002</v>
      </c>
      <c r="H56" s="30">
        <v>8.9916072382369503</v>
      </c>
      <c r="I56" s="170">
        <v>1.1711173656068883</v>
      </c>
      <c r="J56" s="171">
        <v>-4.8819344130761258E-7</v>
      </c>
      <c r="K56" s="171">
        <v>5.2819955719515983E-4</v>
      </c>
      <c r="L56" s="172">
        <v>-0.93014631140621684</v>
      </c>
      <c r="M56" s="172">
        <v>2.9383450257587107</v>
      </c>
      <c r="N56" s="169">
        <v>15.635919188304252</v>
      </c>
      <c r="O56"/>
      <c r="P56"/>
      <c r="Q56"/>
      <c r="T56" s="64"/>
      <c r="U56" s="64"/>
      <c r="V56" s="64"/>
      <c r="W56" s="64"/>
      <c r="X56" s="64"/>
      <c r="Y56" s="64"/>
      <c r="Z56" s="64"/>
      <c r="AA56" s="64"/>
      <c r="AB56" s="64"/>
    </row>
    <row r="57" spans="1:28">
      <c r="A57" s="67">
        <v>104</v>
      </c>
      <c r="B57" s="134">
        <v>1</v>
      </c>
      <c r="C57" s="66" t="s">
        <v>425</v>
      </c>
      <c r="D57" s="66" t="s">
        <v>426</v>
      </c>
      <c r="E57" s="168" t="s">
        <v>437</v>
      </c>
      <c r="F57" s="169">
        <v>27.342445183529986</v>
      </c>
      <c r="G57" s="169">
        <v>294.97997552166288</v>
      </c>
      <c r="H57" s="30">
        <v>10.788353914277836</v>
      </c>
      <c r="I57" s="170">
        <v>1.8322428722071837</v>
      </c>
      <c r="J57" s="171">
        <v>-5.9290040621051998E-6</v>
      </c>
      <c r="K57" s="171">
        <v>6.9485749009574351E-4</v>
      </c>
      <c r="L57" s="172">
        <v>-0.14239653177062703</v>
      </c>
      <c r="M57" s="172">
        <v>3.16744624965082</v>
      </c>
      <c r="N57" s="169">
        <v>26.130885797429823</v>
      </c>
      <c r="O57"/>
      <c r="P57"/>
      <c r="Q57"/>
      <c r="T57" s="64"/>
      <c r="U57" s="64"/>
      <c r="V57" s="64"/>
      <c r="W57" s="64"/>
      <c r="X57" s="64"/>
      <c r="Y57" s="64"/>
      <c r="Z57" s="64"/>
      <c r="AA57" s="64"/>
      <c r="AB57" s="64"/>
    </row>
    <row r="58" spans="1:28">
      <c r="A58" s="67">
        <v>105</v>
      </c>
      <c r="B58" s="134">
        <v>2</v>
      </c>
      <c r="C58" s="66" t="s">
        <v>408</v>
      </c>
      <c r="D58" s="66" t="s">
        <v>426</v>
      </c>
      <c r="E58" s="168" t="s">
        <v>437</v>
      </c>
      <c r="F58" s="169">
        <v>-3.1441405399015157</v>
      </c>
      <c r="G58" s="169">
        <v>-30.721295269417599</v>
      </c>
      <c r="H58" s="30">
        <v>9.7709675758895589</v>
      </c>
      <c r="I58" s="170">
        <v>2.9669617509558956</v>
      </c>
      <c r="J58" s="171">
        <v>3.7444337176344156E-2</v>
      </c>
      <c r="K58" s="171">
        <v>1.8591221288739235E-2</v>
      </c>
      <c r="L58" s="172">
        <v>16.483370523709155</v>
      </c>
      <c r="M58" s="172">
        <v>160.5329046123064</v>
      </c>
      <c r="N58" s="169">
        <v>35.72747757950183</v>
      </c>
      <c r="O58"/>
      <c r="P58"/>
      <c r="Q58"/>
      <c r="T58" s="64"/>
      <c r="U58" s="64"/>
      <c r="V58" s="64"/>
      <c r="W58" s="64"/>
      <c r="X58" s="64"/>
      <c r="Y58" s="64"/>
      <c r="Z58" s="64"/>
      <c r="AA58" s="64"/>
      <c r="AB58" s="64"/>
    </row>
    <row r="59" spans="1:28">
      <c r="A59" s="67">
        <v>106</v>
      </c>
      <c r="B59" s="134">
        <v>2</v>
      </c>
      <c r="C59" s="66" t="s">
        <v>413</v>
      </c>
      <c r="D59" s="66" t="s">
        <v>418</v>
      </c>
      <c r="E59" s="168" t="s">
        <v>437</v>
      </c>
      <c r="F59" s="169">
        <v>-7.8878198405588913</v>
      </c>
      <c r="G59" s="169">
        <v>-89.106891999796488</v>
      </c>
      <c r="H59" s="30">
        <v>11.29677069215146</v>
      </c>
      <c r="I59" s="170">
        <v>4.4476872782953558</v>
      </c>
      <c r="J59" s="171">
        <v>2.309762888019477E-2</v>
      </c>
      <c r="K59" s="171">
        <v>5.6687626649404169E-3</v>
      </c>
      <c r="L59" s="172">
        <v>-50.250755789816218</v>
      </c>
      <c r="M59" s="172">
        <v>-1.4578901924185357</v>
      </c>
      <c r="N59" s="169">
        <v>52.834714717643863</v>
      </c>
      <c r="O59"/>
      <c r="P59"/>
      <c r="Q59"/>
      <c r="T59" s="64"/>
      <c r="U59" s="64"/>
      <c r="V59" s="64"/>
      <c r="W59" s="64"/>
      <c r="X59" s="64"/>
      <c r="Y59" s="64"/>
      <c r="Z59" s="64"/>
      <c r="AA59" s="64"/>
      <c r="AB59" s="64"/>
    </row>
    <row r="60" spans="1:28">
      <c r="A60" s="67">
        <v>107</v>
      </c>
      <c r="B60" s="134">
        <v>2</v>
      </c>
      <c r="C60" s="66" t="s">
        <v>415</v>
      </c>
      <c r="D60" s="66" t="s">
        <v>416</v>
      </c>
      <c r="E60" s="168" t="s">
        <v>437</v>
      </c>
      <c r="F60" s="169">
        <v>3.1505765949202247</v>
      </c>
      <c r="G60" s="169">
        <v>26.972465263736566</v>
      </c>
      <c r="H60" s="30">
        <v>8.5611203064306185</v>
      </c>
      <c r="I60" s="170">
        <v>1.3415709104431488</v>
      </c>
      <c r="J60" s="171">
        <v>9.7559466793455361E-3</v>
      </c>
      <c r="K60" s="171">
        <v>1.3502754826222926E-3</v>
      </c>
      <c r="L60" s="172">
        <v>37.775570427089953</v>
      </c>
      <c r="M60" s="172">
        <v>84.192484395813551</v>
      </c>
      <c r="N60" s="169">
        <v>16.908171895490334</v>
      </c>
      <c r="O60"/>
      <c r="P60"/>
      <c r="Q60"/>
      <c r="T60" s="64"/>
      <c r="U60" s="64"/>
      <c r="V60" s="64"/>
      <c r="W60" s="64"/>
      <c r="X60" s="64"/>
      <c r="Y60" s="64"/>
      <c r="Z60" s="64"/>
      <c r="AA60" s="64"/>
      <c r="AB60" s="64"/>
    </row>
    <row r="61" spans="1:28">
      <c r="A61" s="67">
        <v>108</v>
      </c>
      <c r="B61" s="134">
        <v>2</v>
      </c>
      <c r="C61" s="66" t="s">
        <v>417</v>
      </c>
      <c r="D61" s="66" t="s">
        <v>422</v>
      </c>
      <c r="E61" s="168" t="s">
        <v>437</v>
      </c>
      <c r="F61" s="169">
        <v>-5.8019449672768113</v>
      </c>
      <c r="G61" s="169">
        <v>-51.061784581417243</v>
      </c>
      <c r="H61" s="30">
        <v>8.800804707629533</v>
      </c>
      <c r="I61" s="170">
        <v>6.4047648985280654</v>
      </c>
      <c r="J61" s="171">
        <v>1.7085870065267923E-2</v>
      </c>
      <c r="K61" s="171">
        <v>1.085844161075919E-2</v>
      </c>
      <c r="L61" s="172">
        <v>10.755279803260901</v>
      </c>
      <c r="M61" s="172">
        <v>41.100659366528475</v>
      </c>
      <c r="N61" s="169">
        <v>69.180653388986286</v>
      </c>
      <c r="O61"/>
      <c r="P61"/>
      <c r="Q61"/>
      <c r="T61" s="64"/>
      <c r="U61" s="64"/>
      <c r="V61" s="64"/>
      <c r="W61" s="64"/>
      <c r="X61" s="64"/>
      <c r="Y61" s="64"/>
      <c r="Z61" s="64"/>
      <c r="AA61" s="64"/>
      <c r="AB61" s="64"/>
    </row>
    <row r="62" spans="1:28">
      <c r="A62" s="67">
        <v>109</v>
      </c>
      <c r="B62" s="134">
        <v>2</v>
      </c>
      <c r="C62" s="66" t="s">
        <v>419</v>
      </c>
      <c r="D62" s="66" t="s">
        <v>409</v>
      </c>
      <c r="E62" s="168" t="s">
        <v>437</v>
      </c>
      <c r="F62" s="169">
        <v>6.5062229308310267</v>
      </c>
      <c r="G62" s="169">
        <v>42.6197143133342</v>
      </c>
      <c r="H62" s="30">
        <v>6.5506077437605521</v>
      </c>
      <c r="I62" s="170">
        <v>2.4531456945428176</v>
      </c>
      <c r="J62" s="171">
        <v>5.0096690249002811E-3</v>
      </c>
      <c r="K62" s="171">
        <v>3.1524885190057591E-3</v>
      </c>
      <c r="L62" s="172">
        <v>94.565060297679835</v>
      </c>
      <c r="M62" s="172">
        <v>117.07480479558015</v>
      </c>
      <c r="N62" s="169">
        <v>31.59421191216498</v>
      </c>
      <c r="O62"/>
      <c r="P62"/>
      <c r="Q62"/>
      <c r="T62" s="64"/>
      <c r="U62" s="64"/>
      <c r="V62" s="64"/>
      <c r="W62" s="64"/>
      <c r="X62" s="64"/>
      <c r="Y62" s="64"/>
      <c r="Z62" s="64"/>
      <c r="AA62" s="64"/>
      <c r="AB62" s="64"/>
    </row>
    <row r="63" spans="1:28">
      <c r="A63" s="67">
        <v>110</v>
      </c>
      <c r="B63" s="134">
        <v>2</v>
      </c>
      <c r="C63" s="66" t="s">
        <v>421</v>
      </c>
      <c r="D63" s="66" t="s">
        <v>424</v>
      </c>
      <c r="E63" s="168" t="s">
        <v>437</v>
      </c>
      <c r="F63" s="169">
        <v>5.8461158409495058</v>
      </c>
      <c r="G63" s="169">
        <v>40.471724135401764</v>
      </c>
      <c r="H63" s="30">
        <v>6.9228399225199899</v>
      </c>
      <c r="I63" s="170">
        <v>1.1230718689842627</v>
      </c>
      <c r="J63" s="171">
        <v>6.3864835140812939E-4</v>
      </c>
      <c r="K63" s="171">
        <v>1.2361949008873917E-3</v>
      </c>
      <c r="L63" s="172">
        <v>22.557019673384598</v>
      </c>
      <c r="M63" s="172">
        <v>34.730599973912213</v>
      </c>
      <c r="N63" s="169">
        <v>15.676892703981492</v>
      </c>
      <c r="O63"/>
      <c r="P63"/>
      <c r="Q63"/>
      <c r="T63" s="64"/>
      <c r="U63" s="64"/>
      <c r="V63" s="64"/>
      <c r="W63" s="64"/>
      <c r="X63" s="64"/>
      <c r="Y63" s="64"/>
      <c r="Z63" s="64"/>
      <c r="AA63" s="64"/>
      <c r="AB63" s="64"/>
    </row>
    <row r="64" spans="1:28">
      <c r="A64" s="67">
        <v>111</v>
      </c>
      <c r="B64" s="134">
        <v>2</v>
      </c>
      <c r="C64" s="66" t="s">
        <v>423</v>
      </c>
      <c r="D64" s="66" t="s">
        <v>414</v>
      </c>
      <c r="E64" s="168" t="s">
        <v>437</v>
      </c>
      <c r="F64" s="169">
        <v>1.4748082881648708</v>
      </c>
      <c r="G64" s="169">
        <v>18.688560245460671</v>
      </c>
      <c r="H64" s="30">
        <v>12.671857349483144</v>
      </c>
      <c r="I64" s="170">
        <v>0.98031690230125301</v>
      </c>
      <c r="J64" s="171">
        <v>2.3289685687057139E-3</v>
      </c>
      <c r="K64" s="171">
        <v>1.6705477948629726E-3</v>
      </c>
      <c r="L64" s="172">
        <v>42.159573469378863</v>
      </c>
      <c r="M64" s="172">
        <v>87.457516614125112</v>
      </c>
      <c r="N64" s="169">
        <v>11.451783304332881</v>
      </c>
      <c r="O64"/>
      <c r="P64"/>
      <c r="Q64"/>
      <c r="T64" s="64"/>
      <c r="U64" s="64"/>
      <c r="V64" s="64"/>
      <c r="W64" s="64"/>
      <c r="X64" s="64"/>
      <c r="Y64" s="64"/>
      <c r="Z64" s="64"/>
      <c r="AA64" s="64"/>
      <c r="AB64" s="64"/>
    </row>
    <row r="65" spans="1:28">
      <c r="A65" s="67">
        <v>112</v>
      </c>
      <c r="B65" s="134">
        <v>2</v>
      </c>
      <c r="C65" s="66" t="s">
        <v>425</v>
      </c>
      <c r="D65" s="66" t="s">
        <v>420</v>
      </c>
      <c r="E65" s="168" t="s">
        <v>437</v>
      </c>
      <c r="F65" s="169">
        <v>3.689124079271946</v>
      </c>
      <c r="G65" s="169">
        <v>37.428235419820872</v>
      </c>
      <c r="H65" s="30">
        <v>10.145561552163187</v>
      </c>
      <c r="I65" s="170">
        <v>2.9880848493045824</v>
      </c>
      <c r="J65" s="171">
        <v>2.2025265738938567E-3</v>
      </c>
      <c r="K65" s="171">
        <v>3.5210821520165196E-3</v>
      </c>
      <c r="L65" s="172">
        <v>75.144823315660929</v>
      </c>
      <c r="M65" s="172">
        <v>112.18756018638017</v>
      </c>
      <c r="N65" s="169">
        <v>41.840920502544222</v>
      </c>
      <c r="O65"/>
      <c r="P65"/>
      <c r="Q65"/>
      <c r="T65" s="64"/>
      <c r="U65" s="64"/>
      <c r="V65" s="64"/>
      <c r="W65" s="64"/>
      <c r="X65" s="64"/>
      <c r="Y65" s="64"/>
      <c r="Z65" s="64"/>
      <c r="AA65" s="64"/>
      <c r="AB65" s="64"/>
    </row>
    <row r="66" spans="1:28">
      <c r="A66" s="67">
        <v>113</v>
      </c>
      <c r="B66" s="134">
        <v>3</v>
      </c>
      <c r="C66" s="66" t="s">
        <v>408</v>
      </c>
      <c r="D66" s="66" t="s">
        <v>418</v>
      </c>
      <c r="E66" s="168" t="s">
        <v>437</v>
      </c>
      <c r="F66" s="169">
        <v>18.805473549981038</v>
      </c>
      <c r="G66" s="169">
        <v>177.71300083786173</v>
      </c>
      <c r="H66" s="30">
        <v>9.4500678414472006</v>
      </c>
      <c r="I66" s="170">
        <v>1.1718589539579427</v>
      </c>
      <c r="J66" s="171">
        <v>1.7992769059063929E-3</v>
      </c>
      <c r="K66" s="171">
        <v>5.3045724448349651E-4</v>
      </c>
      <c r="L66" s="172">
        <v>28.856736292355173</v>
      </c>
      <c r="M66" s="172">
        <v>41.050568869044476</v>
      </c>
      <c r="N66" s="169">
        <v>13.480113376997814</v>
      </c>
      <c r="O66"/>
      <c r="P66"/>
      <c r="Q66"/>
      <c r="T66" s="64"/>
      <c r="U66" s="64"/>
      <c r="V66" s="64"/>
      <c r="W66" s="64"/>
      <c r="X66" s="64"/>
      <c r="Y66" s="64"/>
      <c r="Z66" s="64"/>
      <c r="AA66" s="64"/>
      <c r="AB66" s="64"/>
    </row>
    <row r="67" spans="1:28">
      <c r="A67" s="67">
        <v>114</v>
      </c>
      <c r="B67" s="134">
        <v>3</v>
      </c>
      <c r="C67" s="66" t="s">
        <v>413</v>
      </c>
      <c r="D67" s="66" t="s">
        <v>416</v>
      </c>
      <c r="E67" s="168" t="s">
        <v>437</v>
      </c>
      <c r="F67" s="169">
        <v>6.8799952558497024</v>
      </c>
      <c r="G67" s="169">
        <v>74.485696476916146</v>
      </c>
      <c r="H67" s="30">
        <v>10.826416837073372</v>
      </c>
      <c r="I67" s="170">
        <v>1.0086804982228339</v>
      </c>
      <c r="J67" s="171">
        <v>2.2962654108781783E-3</v>
      </c>
      <c r="K67" s="171">
        <v>9.7401337903588528E-4</v>
      </c>
      <c r="L67" s="172">
        <v>115.8067680227082</v>
      </c>
      <c r="M67" s="172">
        <v>193.9113337684162</v>
      </c>
      <c r="N67" s="169">
        <v>12.443528711096162</v>
      </c>
      <c r="O67"/>
      <c r="P67"/>
      <c r="Q67"/>
      <c r="T67" s="64"/>
      <c r="U67" s="64"/>
      <c r="V67" s="64"/>
      <c r="W67" s="64"/>
      <c r="X67" s="64"/>
      <c r="Y67" s="64"/>
      <c r="Z67" s="64"/>
      <c r="AA67" s="64"/>
      <c r="AB67" s="64"/>
    </row>
    <row r="68" spans="1:28">
      <c r="A68" s="67">
        <v>115</v>
      </c>
      <c r="B68" s="134">
        <v>3</v>
      </c>
      <c r="C68" s="66" t="s">
        <v>415</v>
      </c>
      <c r="D68" s="66" t="s">
        <v>426</v>
      </c>
      <c r="E68" s="168" t="s">
        <v>437</v>
      </c>
      <c r="F68" s="169">
        <v>8.6414880300220993</v>
      </c>
      <c r="G68" s="169">
        <v>124.12530016181422</v>
      </c>
      <c r="H68" s="30">
        <v>14.363880356089181</v>
      </c>
      <c r="I68" s="170">
        <v>1.4208677976747188</v>
      </c>
      <c r="J68" s="171">
        <v>9.5227988589719186E-4</v>
      </c>
      <c r="K68" s="171">
        <v>1.0736013034340964E-3</v>
      </c>
      <c r="L68" s="172">
        <v>29.211232312250395</v>
      </c>
      <c r="M68" s="172">
        <v>43.247402347364961</v>
      </c>
      <c r="N68" s="169">
        <v>16.973725364572459</v>
      </c>
      <c r="O68"/>
      <c r="P68"/>
      <c r="Q68"/>
      <c r="T68" s="64"/>
      <c r="U68" s="64"/>
      <c r="V68" s="64"/>
      <c r="W68" s="64"/>
      <c r="X68" s="64"/>
      <c r="Y68" s="64"/>
      <c r="Z68" s="64"/>
      <c r="AA68" s="64"/>
      <c r="AB68" s="64"/>
    </row>
    <row r="69" spans="1:28">
      <c r="A69" s="67">
        <v>116</v>
      </c>
      <c r="B69" s="134">
        <v>3</v>
      </c>
      <c r="C69" s="66" t="s">
        <v>417</v>
      </c>
      <c r="D69" s="66" t="s">
        <v>420</v>
      </c>
      <c r="E69" s="168" t="s">
        <v>437</v>
      </c>
      <c r="F69" s="169">
        <v>19.546855293700094</v>
      </c>
      <c r="G69" s="169">
        <v>149.39955495558138</v>
      </c>
      <c r="H69" s="30">
        <v>7.6431504050542856</v>
      </c>
      <c r="I69" s="170">
        <v>10.630210257497652</v>
      </c>
      <c r="J69" s="171">
        <v>3.9150680892144664E-3</v>
      </c>
      <c r="K69" s="171">
        <v>4.3457374833377272E-3</v>
      </c>
      <c r="L69" s="172">
        <v>107.56042572723814</v>
      </c>
      <c r="M69" s="172">
        <v>115.12745925166446</v>
      </c>
      <c r="N69" s="169">
        <v>119.72902338428628</v>
      </c>
      <c r="O69"/>
      <c r="P69"/>
      <c r="Q69"/>
      <c r="T69" s="64"/>
      <c r="U69" s="64"/>
      <c r="V69" s="64"/>
      <c r="W69" s="64"/>
      <c r="X69" s="64"/>
      <c r="Y69" s="64"/>
      <c r="Z69" s="64"/>
      <c r="AA69" s="64"/>
      <c r="AB69" s="64"/>
    </row>
    <row r="70" spans="1:28">
      <c r="A70" s="67">
        <v>117</v>
      </c>
      <c r="B70" s="134">
        <v>3</v>
      </c>
      <c r="C70" s="66" t="s">
        <v>419</v>
      </c>
      <c r="D70" s="66" t="s">
        <v>422</v>
      </c>
      <c r="E70" s="168" t="s">
        <v>437</v>
      </c>
      <c r="F70" s="169">
        <v>11.735552634055173</v>
      </c>
      <c r="G70" s="169">
        <v>114.43963156664317</v>
      </c>
      <c r="H70" s="30">
        <v>9.7515332370929872</v>
      </c>
      <c r="I70" s="170">
        <v>3.0402015076828448</v>
      </c>
      <c r="J70" s="171">
        <v>1.3998666478465633E-3</v>
      </c>
      <c r="K70" s="171">
        <v>2.9120175394431454E-3</v>
      </c>
      <c r="L70" s="172">
        <v>135.09944838229018</v>
      </c>
      <c r="M70" s="172">
        <v>135.94672786202494</v>
      </c>
      <c r="N70" s="169">
        <v>43.353411620805424</v>
      </c>
      <c r="O70"/>
      <c r="P70"/>
      <c r="Q70"/>
      <c r="T70" s="64"/>
      <c r="U70" s="64"/>
      <c r="V70" s="64"/>
      <c r="W70" s="64"/>
      <c r="X70" s="64"/>
      <c r="Y70" s="64"/>
      <c r="Z70" s="64"/>
      <c r="AA70" s="64"/>
      <c r="AB70" s="64"/>
    </row>
    <row r="71" spans="1:28">
      <c r="A71" s="67">
        <v>118</v>
      </c>
      <c r="B71" s="134">
        <v>3</v>
      </c>
      <c r="C71" s="66" t="s">
        <v>421</v>
      </c>
      <c r="D71" s="66" t="s">
        <v>424</v>
      </c>
      <c r="E71" s="168" t="s">
        <v>437</v>
      </c>
      <c r="F71" s="169">
        <v>3.7396205835241894</v>
      </c>
      <c r="G71" s="169">
        <v>48.370929560532019</v>
      </c>
      <c r="H71" s="30">
        <v>12.934715830167891</v>
      </c>
      <c r="I71" s="170">
        <v>2.6684414104813303</v>
      </c>
      <c r="J71" s="171">
        <v>3.3624775366814545E-3</v>
      </c>
      <c r="K71" s="171">
        <v>4.3769917553339805E-3</v>
      </c>
      <c r="L71" s="172">
        <v>84.637912700270164</v>
      </c>
      <c r="M71" s="172">
        <v>122.82831832280905</v>
      </c>
      <c r="N71" s="169">
        <v>36.152147649869505</v>
      </c>
      <c r="O71"/>
      <c r="P71"/>
      <c r="Q71"/>
      <c r="T71" s="64"/>
      <c r="U71" s="64"/>
      <c r="V71" s="64"/>
      <c r="W71" s="64"/>
      <c r="X71" s="64"/>
      <c r="Y71" s="64"/>
      <c r="Z71" s="64"/>
      <c r="AA71" s="64"/>
      <c r="AB71" s="64"/>
    </row>
    <row r="72" spans="1:28">
      <c r="A72" s="67">
        <v>119</v>
      </c>
      <c r="B72" s="134">
        <v>3</v>
      </c>
      <c r="C72" s="66" t="s">
        <v>423</v>
      </c>
      <c r="D72" s="66" t="s">
        <v>414</v>
      </c>
      <c r="E72" s="168" t="s">
        <v>437</v>
      </c>
      <c r="F72" s="169">
        <v>6.723010980462468</v>
      </c>
      <c r="G72" s="169">
        <v>98.464288736058961</v>
      </c>
      <c r="H72" s="30">
        <v>14.645861656659934</v>
      </c>
      <c r="I72" s="170">
        <v>2.3933525842647176</v>
      </c>
      <c r="J72" s="171">
        <v>1.6539647424694031E-2</v>
      </c>
      <c r="K72" s="171">
        <v>8.8912001098981324E-3</v>
      </c>
      <c r="L72" s="172">
        <v>10.64197059203039</v>
      </c>
      <c r="M72" s="172">
        <v>52.146497253626428</v>
      </c>
      <c r="N72" s="169">
        <v>28.314135424680742</v>
      </c>
      <c r="O72"/>
      <c r="P72"/>
      <c r="Q72"/>
      <c r="T72" s="64"/>
      <c r="U72" s="64"/>
      <c r="V72" s="64"/>
      <c r="W72" s="64"/>
      <c r="X72" s="64"/>
      <c r="Y72" s="64"/>
      <c r="Z72" s="64"/>
      <c r="AA72" s="64"/>
      <c r="AB72" s="64"/>
    </row>
    <row r="73" spans="1:28">
      <c r="A73" s="67">
        <v>120</v>
      </c>
      <c r="B73" s="134">
        <v>3</v>
      </c>
      <c r="C73" s="66" t="s">
        <v>425</v>
      </c>
      <c r="D73" s="66" t="s">
        <v>409</v>
      </c>
      <c r="E73" s="168" t="s">
        <v>437</v>
      </c>
      <c r="F73" s="169">
        <v>5.0029732795298614</v>
      </c>
      <c r="G73" s="169">
        <v>79.003598097909588</v>
      </c>
      <c r="H73" s="30">
        <v>15.79132921240261</v>
      </c>
      <c r="I73" s="174">
        <v>3.6540176927483619</v>
      </c>
      <c r="J73" s="175">
        <v>4.4941491524421971E-3</v>
      </c>
      <c r="K73" s="175">
        <v>6.362424043662376E-3</v>
      </c>
      <c r="L73" s="176">
        <v>71.001368158326954</v>
      </c>
      <c r="M73" s="176">
        <v>103.42851248833185</v>
      </c>
      <c r="N73" s="177">
        <v>46.34431950823236</v>
      </c>
    </row>
    <row r="74" spans="1:28">
      <c r="A74" s="67">
        <v>121</v>
      </c>
      <c r="B74" s="134">
        <v>4</v>
      </c>
      <c r="C74" s="66" t="s">
        <v>408</v>
      </c>
      <c r="D74" s="66" t="s">
        <v>416</v>
      </c>
      <c r="E74" s="168" t="s">
        <v>437</v>
      </c>
      <c r="F74" s="169">
        <v>17.077725840006238</v>
      </c>
      <c r="G74" s="169">
        <v>141.56727080995478</v>
      </c>
      <c r="H74" s="30">
        <v>8.2895856354784456</v>
      </c>
      <c r="I74" s="174">
        <v>4.1851596543823204</v>
      </c>
      <c r="J74" s="175">
        <v>3.7951247293982228E-2</v>
      </c>
      <c r="K74" s="175">
        <v>4.1596125539395045E-3</v>
      </c>
      <c r="L74" s="176">
        <v>219.55578665577758</v>
      </c>
      <c r="M74" s="176">
        <v>411.27817208750793</v>
      </c>
      <c r="N74" s="177">
        <v>51.665879522105257</v>
      </c>
    </row>
    <row r="75" spans="1:28">
      <c r="A75" s="67">
        <v>122</v>
      </c>
      <c r="B75" s="134">
        <v>4</v>
      </c>
      <c r="C75" s="66" t="s">
        <v>413</v>
      </c>
      <c r="D75" s="66" t="s">
        <v>409</v>
      </c>
      <c r="E75" s="168" t="s">
        <v>437</v>
      </c>
      <c r="F75" s="169">
        <v>7.5165390355715243</v>
      </c>
      <c r="G75" s="169">
        <v>29.444032572570269</v>
      </c>
      <c r="H75" s="30">
        <v>3.9172327095260639</v>
      </c>
      <c r="I75" s="174">
        <v>12.499196313328333</v>
      </c>
      <c r="J75" s="175">
        <v>4.903093891091697E-2</v>
      </c>
      <c r="K75" s="175">
        <v>4.2376821368155126E-2</v>
      </c>
      <c r="L75" s="176">
        <v>99.046556671993443</v>
      </c>
      <c r="M75" s="176">
        <v>88.969058155456707</v>
      </c>
      <c r="N75" s="177">
        <v>152.80066121995009</v>
      </c>
    </row>
    <row r="76" spans="1:28">
      <c r="A76" s="67">
        <v>123</v>
      </c>
      <c r="B76" s="134">
        <v>4</v>
      </c>
      <c r="C76" s="66" t="s">
        <v>415</v>
      </c>
      <c r="D76" s="66" t="s">
        <v>418</v>
      </c>
      <c r="E76" s="168" t="s">
        <v>437</v>
      </c>
      <c r="F76" s="169">
        <v>16.630351122129532</v>
      </c>
      <c r="G76" s="169">
        <v>167.18600184228285</v>
      </c>
      <c r="H76" s="30">
        <v>10.053065062457595</v>
      </c>
      <c r="I76" s="174">
        <v>2.5737135308075882</v>
      </c>
      <c r="J76" s="175">
        <v>6.6603871457500225E-3</v>
      </c>
      <c r="K76" s="175">
        <v>2.0602766212466169E-3</v>
      </c>
      <c r="L76" s="176">
        <v>210.20544246363747</v>
      </c>
      <c r="M76" s="176">
        <v>287.11689800414121</v>
      </c>
      <c r="N76" s="177">
        <v>36.285415133153947</v>
      </c>
    </row>
    <row r="77" spans="1:28">
      <c r="A77" s="67">
        <v>124</v>
      </c>
      <c r="B77" s="134">
        <v>4</v>
      </c>
      <c r="C77" s="66" t="s">
        <v>417</v>
      </c>
      <c r="D77" s="66" t="s">
        <v>424</v>
      </c>
      <c r="E77" s="168" t="s">
        <v>437</v>
      </c>
      <c r="F77" s="169">
        <v>4.3666222839255608</v>
      </c>
      <c r="G77" s="169">
        <v>51.901120567943835</v>
      </c>
      <c r="H77" s="30">
        <v>11.88587360967826</v>
      </c>
      <c r="I77" s="174">
        <v>2.782345861193666</v>
      </c>
      <c r="J77" s="175">
        <v>1.1925226641131902E-2</v>
      </c>
      <c r="K77" s="175">
        <v>1.1781439819462189E-2</v>
      </c>
      <c r="L77" s="176">
        <v>97.528561524018528</v>
      </c>
      <c r="M77" s="176">
        <v>176.84655460801844</v>
      </c>
      <c r="N77" s="177">
        <v>38.803775921586407</v>
      </c>
    </row>
    <row r="78" spans="1:28">
      <c r="A78" s="67">
        <v>125</v>
      </c>
      <c r="B78" s="134">
        <v>4</v>
      </c>
      <c r="C78" s="66" t="s">
        <v>419</v>
      </c>
      <c r="D78" s="66" t="s">
        <v>414</v>
      </c>
      <c r="E78" s="168" t="s">
        <v>437</v>
      </c>
      <c r="F78" s="169">
        <v>12.588252633531862</v>
      </c>
      <c r="G78" s="169">
        <v>136.31678112053913</v>
      </c>
      <c r="H78" s="30">
        <v>10.828888257090293</v>
      </c>
      <c r="I78" s="174">
        <v>0.85642939466588208</v>
      </c>
      <c r="J78" s="175">
        <v>1.2610213060172814E-3</v>
      </c>
      <c r="K78" s="175">
        <v>9.5435703562592492E-4</v>
      </c>
      <c r="L78" s="176">
        <v>113.13871786022305</v>
      </c>
      <c r="M78" s="176">
        <v>171.32205391573439</v>
      </c>
      <c r="N78" s="177">
        <v>9.8455738696301296</v>
      </c>
    </row>
    <row r="79" spans="1:28">
      <c r="A79" s="67">
        <v>126</v>
      </c>
      <c r="B79" s="134">
        <v>4</v>
      </c>
      <c r="C79" s="66" t="s">
        <v>421</v>
      </c>
      <c r="D79" s="66" t="s">
        <v>420</v>
      </c>
      <c r="E79" s="168" t="s">
        <v>437</v>
      </c>
      <c r="F79" s="169">
        <v>12.10536159939581</v>
      </c>
      <c r="G79" s="169">
        <v>108.2628129423766</v>
      </c>
      <c r="H79" s="30">
        <v>8.9433770361539722</v>
      </c>
      <c r="I79" s="174">
        <v>3.4734015428762159</v>
      </c>
      <c r="J79" s="175">
        <v>2.1064991618542916E-3</v>
      </c>
      <c r="K79" s="175">
        <v>3.2969045918437791E-3</v>
      </c>
      <c r="L79" s="176">
        <v>97.328582121048058</v>
      </c>
      <c r="M79" s="176">
        <v>99.499759661351689</v>
      </c>
      <c r="N79" s="177">
        <v>40.540818619099149</v>
      </c>
    </row>
    <row r="80" spans="1:28">
      <c r="A80" s="67">
        <v>127</v>
      </c>
      <c r="B80" s="134">
        <v>4</v>
      </c>
      <c r="C80" s="66" t="s">
        <v>423</v>
      </c>
      <c r="D80" s="66" t="s">
        <v>426</v>
      </c>
      <c r="E80" s="168" t="s">
        <v>437</v>
      </c>
      <c r="F80" s="169">
        <v>28.132954488216381</v>
      </c>
      <c r="G80" s="169">
        <v>309.88868385334399</v>
      </c>
      <c r="H80" s="30">
        <v>11.015148941542643</v>
      </c>
      <c r="I80" s="174">
        <v>1.0323952635798814</v>
      </c>
      <c r="J80" s="175">
        <v>3.3312283888524818E-3</v>
      </c>
      <c r="K80" s="175">
        <v>2.2016848995384856E-3</v>
      </c>
      <c r="L80" s="176">
        <v>259.12523500664605</v>
      </c>
      <c r="M80" s="176">
        <v>280.93657260627975</v>
      </c>
      <c r="N80" s="177">
        <v>12.699138177739414</v>
      </c>
    </row>
    <row r="81" spans="1:14">
      <c r="A81" s="67">
        <v>128</v>
      </c>
      <c r="B81" s="134">
        <v>4</v>
      </c>
      <c r="C81" s="66" t="s">
        <v>425</v>
      </c>
      <c r="D81" s="66" t="s">
        <v>422</v>
      </c>
      <c r="E81" s="168" t="s">
        <v>437</v>
      </c>
      <c r="F81" s="169">
        <v>-2.8906426336637958</v>
      </c>
      <c r="G81" s="169">
        <v>-30.242980222362448</v>
      </c>
      <c r="H81" s="30">
        <v>10.462372577695795</v>
      </c>
      <c r="I81" s="174">
        <v>5.272036469074143</v>
      </c>
      <c r="J81" s="175">
        <v>7.6118201567215975E-3</v>
      </c>
      <c r="K81" s="175">
        <v>8.0081921338872094E-3</v>
      </c>
      <c r="L81" s="176">
        <v>49.280530186211493</v>
      </c>
      <c r="M81" s="176">
        <v>86.218417104890491</v>
      </c>
      <c r="N81" s="177">
        <v>69.137719199594159</v>
      </c>
    </row>
    <row r="82" spans="1:14">
      <c r="A82" s="67">
        <v>129</v>
      </c>
      <c r="B82" s="66">
        <v>5</v>
      </c>
      <c r="C82" s="66" t="s">
        <v>408</v>
      </c>
      <c r="D82" s="66" t="s">
        <v>420</v>
      </c>
      <c r="E82" s="168" t="s">
        <v>437</v>
      </c>
      <c r="F82" s="169">
        <v>29.338144649355293</v>
      </c>
      <c r="G82" s="169">
        <v>343.13718110888868</v>
      </c>
      <c r="H82" s="30">
        <v>11.695940053810769</v>
      </c>
      <c r="I82" s="174">
        <v>3.3206152652231813</v>
      </c>
      <c r="J82" s="175">
        <v>4.9472842955386098E-3</v>
      </c>
      <c r="K82" s="175">
        <v>6.4969802497826324E-3</v>
      </c>
      <c r="L82" s="176">
        <v>447.07887870159254</v>
      </c>
      <c r="M82" s="176">
        <v>547.65581271904205</v>
      </c>
      <c r="N82" s="177">
        <v>47.105091779846248</v>
      </c>
    </row>
    <row r="83" spans="1:14">
      <c r="A83" s="67">
        <v>130</v>
      </c>
      <c r="B83" s="66">
        <v>5</v>
      </c>
      <c r="C83" s="66" t="s">
        <v>413</v>
      </c>
      <c r="D83" s="66" t="s">
        <v>424</v>
      </c>
      <c r="E83" s="168" t="s">
        <v>437</v>
      </c>
      <c r="F83" s="169">
        <v>9.5806570443295467</v>
      </c>
      <c r="G83" s="169">
        <v>84.417856205432045</v>
      </c>
      <c r="H83" s="30">
        <v>8.8112804596628376</v>
      </c>
      <c r="I83" s="174">
        <v>4.4501570101289474</v>
      </c>
      <c r="J83" s="175">
        <v>1.9547600671905299E-3</v>
      </c>
      <c r="K83" s="175">
        <v>4.1824385380263788E-3</v>
      </c>
      <c r="L83" s="176">
        <v>138.07171464995287</v>
      </c>
      <c r="M83" s="176">
        <v>169.73968671446281</v>
      </c>
      <c r="N83" s="177">
        <v>63.749503563856599</v>
      </c>
    </row>
    <row r="84" spans="1:14">
      <c r="A84" s="67">
        <v>131</v>
      </c>
      <c r="B84" s="66">
        <v>5</v>
      </c>
      <c r="C84" s="66" t="s">
        <v>415</v>
      </c>
      <c r="D84" s="66" t="s">
        <v>409</v>
      </c>
      <c r="E84" s="168" t="s">
        <v>437</v>
      </c>
      <c r="F84" s="169">
        <v>13.011254217896617</v>
      </c>
      <c r="G84" s="169">
        <v>144.48169407563947</v>
      </c>
      <c r="H84" s="30">
        <v>11.104363319326197</v>
      </c>
      <c r="I84" s="174">
        <v>2.6945097036343526</v>
      </c>
      <c r="J84" s="175">
        <v>3.0384501654010009E-3</v>
      </c>
      <c r="K84" s="175">
        <v>5.0594090166383139E-3</v>
      </c>
      <c r="L84" s="176">
        <v>181.76224658228497</v>
      </c>
      <c r="M84" s="176">
        <v>215.72169333026733</v>
      </c>
      <c r="N84" s="177">
        <v>39.004831648036919</v>
      </c>
    </row>
    <row r="85" spans="1:14">
      <c r="A85" s="67">
        <v>132</v>
      </c>
      <c r="B85" s="66">
        <v>5</v>
      </c>
      <c r="C85" s="66" t="s">
        <v>417</v>
      </c>
      <c r="D85" s="66" t="s">
        <v>426</v>
      </c>
      <c r="E85" s="168" t="s">
        <v>437</v>
      </c>
      <c r="F85" s="169">
        <v>7.7633570523625188</v>
      </c>
      <c r="G85" s="169">
        <v>88.489819909557454</v>
      </c>
      <c r="H85" s="30">
        <v>11.398396249548838</v>
      </c>
      <c r="I85" s="174">
        <v>1.3155368943119501</v>
      </c>
      <c r="J85" s="175">
        <v>4.3623862009534659E-3</v>
      </c>
      <c r="K85" s="175">
        <v>3.365441872121473E-3</v>
      </c>
      <c r="L85" s="176">
        <v>113.42182355429107</v>
      </c>
      <c r="M85" s="176">
        <v>193.94670823387918</v>
      </c>
      <c r="N85" s="177">
        <v>18.056071443958633</v>
      </c>
    </row>
    <row r="86" spans="1:14">
      <c r="A86" s="67">
        <v>133</v>
      </c>
      <c r="B86" s="66">
        <v>5</v>
      </c>
      <c r="C86" s="66" t="s">
        <v>419</v>
      </c>
      <c r="D86" s="66" t="s">
        <v>418</v>
      </c>
      <c r="E86" s="168" t="s">
        <v>437</v>
      </c>
      <c r="F86" s="169">
        <v>6.7615188405664446</v>
      </c>
      <c r="G86" s="169">
        <v>54.707467500525418</v>
      </c>
      <c r="H86" s="30">
        <v>8.0910027451675806</v>
      </c>
      <c r="I86" s="174">
        <v>3.4508546731313867</v>
      </c>
      <c r="J86" s="175">
        <v>5.5252294345237065E-4</v>
      </c>
      <c r="K86" s="175">
        <v>1.9799438921209067E-3</v>
      </c>
      <c r="L86" s="176">
        <v>6.4027733978967367</v>
      </c>
      <c r="M86" s="176">
        <v>5.7814268282346459</v>
      </c>
      <c r="N86" s="177">
        <v>44.540400468839564</v>
      </c>
    </row>
    <row r="87" spans="1:14">
      <c r="A87" s="67">
        <v>134</v>
      </c>
      <c r="B87" s="66">
        <v>5</v>
      </c>
      <c r="C87" s="66" t="s">
        <v>421</v>
      </c>
      <c r="D87" s="66" t="s">
        <v>416</v>
      </c>
      <c r="E87" s="168" t="s">
        <v>437</v>
      </c>
      <c r="F87" s="169">
        <v>6.4718071977780438</v>
      </c>
      <c r="G87" s="169">
        <v>63.818898498217081</v>
      </c>
      <c r="H87" s="30">
        <v>9.8610629995479364</v>
      </c>
      <c r="I87" s="174">
        <v>2.3319040857536932</v>
      </c>
      <c r="J87" s="175">
        <v>1.6796154381164858E-3</v>
      </c>
      <c r="K87" s="175">
        <v>2.7123810783970682E-3</v>
      </c>
      <c r="L87" s="176">
        <v>50.334453665537232</v>
      </c>
      <c r="M87" s="176">
        <v>74.317173417601495</v>
      </c>
      <c r="N87" s="177">
        <v>33.990339911144083</v>
      </c>
    </row>
    <row r="88" spans="1:14">
      <c r="A88" s="67">
        <v>135</v>
      </c>
      <c r="B88" s="66">
        <v>5</v>
      </c>
      <c r="C88" s="66" t="s">
        <v>423</v>
      </c>
      <c r="D88" s="66" t="s">
        <v>422</v>
      </c>
      <c r="E88" s="168" t="s">
        <v>437</v>
      </c>
      <c r="F88" s="169">
        <v>15.790995521383536</v>
      </c>
      <c r="G88" s="169">
        <v>159.34896489383939</v>
      </c>
      <c r="H88" s="30">
        <v>10.091128496493802</v>
      </c>
      <c r="I88" s="174">
        <v>7.8302765994985712</v>
      </c>
      <c r="J88" s="175">
        <v>8.2083048798698433E-3</v>
      </c>
      <c r="K88" s="175">
        <v>1.1576486105107075E-2</v>
      </c>
      <c r="L88" s="176">
        <v>733.55469681193256</v>
      </c>
      <c r="M88" s="176">
        <v>924.82751492463694</v>
      </c>
      <c r="N88" s="177">
        <v>100.2592118917284</v>
      </c>
    </row>
    <row r="89" spans="1:14">
      <c r="A89" s="67">
        <v>136</v>
      </c>
      <c r="B89" s="66">
        <v>5</v>
      </c>
      <c r="C89" s="66" t="s">
        <v>425</v>
      </c>
      <c r="D89" s="66" t="s">
        <v>414</v>
      </c>
      <c r="E89" s="168" t="s">
        <v>437</v>
      </c>
      <c r="F89" s="169">
        <v>12.719012262701758</v>
      </c>
      <c r="G89" s="169">
        <v>129.38915616443077</v>
      </c>
      <c r="H89" s="30">
        <v>10.172893420651995</v>
      </c>
      <c r="I89" s="174">
        <v>3.0660882698849976</v>
      </c>
      <c r="J89" s="175">
        <v>8.6524409734703087E-3</v>
      </c>
      <c r="K89" s="175">
        <v>3.0970198890310822E-3</v>
      </c>
      <c r="L89" s="176">
        <v>138.3569002318913</v>
      </c>
      <c r="M89" s="176">
        <v>209.92998069354161</v>
      </c>
      <c r="N89" s="177">
        <v>34.98513647558778</v>
      </c>
    </row>
    <row r="90" spans="1:14">
      <c r="A90" s="67">
        <v>137</v>
      </c>
      <c r="B90" s="66">
        <v>6</v>
      </c>
      <c r="C90" s="66" t="s">
        <v>408</v>
      </c>
      <c r="D90" s="66" t="s">
        <v>422</v>
      </c>
      <c r="E90" s="168" t="s">
        <v>437</v>
      </c>
      <c r="F90" s="169">
        <v>16.80134251297639</v>
      </c>
      <c r="G90" s="169">
        <v>188.41639964525038</v>
      </c>
      <c r="H90" s="30">
        <v>11.214365727008326</v>
      </c>
      <c r="I90" s="174">
        <v>1.1023066927416358</v>
      </c>
      <c r="J90" s="175">
        <v>9.8012103748311256E-4</v>
      </c>
      <c r="K90" s="175">
        <v>1.4783429275971459E-3</v>
      </c>
      <c r="L90" s="176">
        <v>297.49516566215613</v>
      </c>
      <c r="M90" s="176">
        <v>403.84923903471008</v>
      </c>
      <c r="N90" s="177">
        <v>16.38580969787828</v>
      </c>
    </row>
    <row r="91" spans="1:14">
      <c r="A91" s="67">
        <v>138</v>
      </c>
      <c r="B91" s="66">
        <v>6</v>
      </c>
      <c r="C91" s="66" t="s">
        <v>413</v>
      </c>
      <c r="D91" s="66" t="s">
        <v>426</v>
      </c>
      <c r="E91" s="168" t="s">
        <v>437</v>
      </c>
      <c r="F91" s="169">
        <v>16.227868994179087</v>
      </c>
      <c r="G91" s="169">
        <v>199.3764646867962</v>
      </c>
      <c r="H91" s="30">
        <v>12.286053378808534</v>
      </c>
      <c r="I91" s="174">
        <v>3.4822614019431835</v>
      </c>
      <c r="J91" s="175">
        <v>3.527608884395119E-3</v>
      </c>
      <c r="K91" s="175">
        <v>4.4694917100126614E-3</v>
      </c>
      <c r="L91" s="176">
        <v>187.33755194169706</v>
      </c>
      <c r="M91" s="176">
        <v>223.83421853477466</v>
      </c>
      <c r="N91" s="177">
        <v>46.482339702520662</v>
      </c>
    </row>
    <row r="92" spans="1:14">
      <c r="A92" s="67">
        <v>139</v>
      </c>
      <c r="B92" s="66">
        <v>6</v>
      </c>
      <c r="C92" s="66" t="s">
        <v>415</v>
      </c>
      <c r="D92" s="66" t="s">
        <v>424</v>
      </c>
      <c r="E92" s="168" t="s">
        <v>437</v>
      </c>
      <c r="F92" s="169">
        <v>12.781330643381787</v>
      </c>
      <c r="G92" s="169">
        <v>109.32997435104335</v>
      </c>
      <c r="H92" s="30">
        <v>8.5538804527879684</v>
      </c>
      <c r="I92" s="174">
        <v>8.2869668831356602</v>
      </c>
      <c r="J92" s="175">
        <v>5.0622068194793425E-3</v>
      </c>
      <c r="K92" s="175">
        <v>7.3062028578474636E-3</v>
      </c>
      <c r="L92" s="176">
        <v>172.37078507171657</v>
      </c>
      <c r="M92" s="176">
        <v>133.82201896791136</v>
      </c>
      <c r="N92" s="177">
        <v>119.29545939156141</v>
      </c>
    </row>
    <row r="93" spans="1:14">
      <c r="A93" s="67">
        <v>140</v>
      </c>
      <c r="B93" s="66">
        <v>6</v>
      </c>
      <c r="C93" s="66" t="s">
        <v>417</v>
      </c>
      <c r="D93" s="66" t="s">
        <v>409</v>
      </c>
      <c r="E93" s="168" t="s">
        <v>437</v>
      </c>
      <c r="F93" s="169">
        <v>28.970432405829989</v>
      </c>
      <c r="G93" s="169">
        <v>282.31509776656651</v>
      </c>
      <c r="H93" s="30">
        <v>9.7449390403214569</v>
      </c>
      <c r="I93" s="174">
        <v>3.1296679827516685</v>
      </c>
      <c r="J93" s="175">
        <v>6.3853487925472118E-3</v>
      </c>
      <c r="K93" s="175">
        <v>6.9175693445034997E-3</v>
      </c>
      <c r="L93" s="176">
        <v>335.68008857559323</v>
      </c>
      <c r="M93" s="176">
        <v>345.19703375321461</v>
      </c>
      <c r="N93" s="177">
        <v>38.165370235959358</v>
      </c>
    </row>
    <row r="94" spans="1:14">
      <c r="A94" s="67">
        <v>141</v>
      </c>
      <c r="B94" s="66">
        <v>6</v>
      </c>
      <c r="C94" s="66" t="s">
        <v>419</v>
      </c>
      <c r="D94" s="66" t="s">
        <v>416</v>
      </c>
      <c r="E94" s="168" t="s">
        <v>437</v>
      </c>
      <c r="F94" s="169">
        <v>13.097138669328508</v>
      </c>
      <c r="G94" s="169">
        <v>141.96602414732212</v>
      </c>
      <c r="H94" s="30">
        <v>10.83946866041701</v>
      </c>
      <c r="I94" s="174">
        <v>1.7676007410351537</v>
      </c>
      <c r="J94" s="175">
        <v>7.1038154799612655E-3</v>
      </c>
      <c r="K94" s="175">
        <v>4.5867964247891767E-3</v>
      </c>
      <c r="L94" s="176">
        <v>229.95191979268247</v>
      </c>
      <c r="M94" s="176">
        <v>354.87908427721476</v>
      </c>
      <c r="N94" s="177">
        <v>25.332776235901804</v>
      </c>
    </row>
    <row r="95" spans="1:14">
      <c r="A95" s="67">
        <v>142</v>
      </c>
      <c r="B95" s="66">
        <v>6</v>
      </c>
      <c r="C95" s="66" t="s">
        <v>421</v>
      </c>
      <c r="D95" s="66" t="s">
        <v>414</v>
      </c>
      <c r="E95" s="168" t="s">
        <v>437</v>
      </c>
      <c r="F95" s="169">
        <v>8.0562776030020888</v>
      </c>
      <c r="G95" s="169">
        <v>89.628705680379582</v>
      </c>
      <c r="H95" s="30">
        <v>11.125324882918678</v>
      </c>
      <c r="I95" s="174">
        <v>2.1252543994204172</v>
      </c>
      <c r="J95" s="175">
        <v>7.0645278075690387E-3</v>
      </c>
      <c r="K95" s="175">
        <v>6.1293897549245151E-3</v>
      </c>
      <c r="L95" s="176">
        <v>155.52136111652464</v>
      </c>
      <c r="M95" s="176">
        <v>252.29347885314917</v>
      </c>
      <c r="N95" s="177">
        <v>26.000566653846352</v>
      </c>
    </row>
    <row r="96" spans="1:14">
      <c r="A96" s="67">
        <v>143</v>
      </c>
      <c r="B96" s="66">
        <v>6</v>
      </c>
      <c r="C96" s="66" t="s">
        <v>423</v>
      </c>
      <c r="D96" s="66" t="s">
        <v>420</v>
      </c>
      <c r="E96" s="168" t="s">
        <v>437</v>
      </c>
      <c r="F96" s="169">
        <v>21.666663875165259</v>
      </c>
      <c r="G96" s="169">
        <v>228.3369165459527</v>
      </c>
      <c r="H96" s="30">
        <v>10.538628275286849</v>
      </c>
      <c r="I96" s="174">
        <v>2.5197392030416372</v>
      </c>
      <c r="J96" s="175">
        <v>7.1750660270317318E-3</v>
      </c>
      <c r="K96" s="175">
        <v>7.4095446966634393E-3</v>
      </c>
      <c r="L96" s="176">
        <v>236.90537833725367</v>
      </c>
      <c r="M96" s="176">
        <v>268.41459624335465</v>
      </c>
      <c r="N96" s="177">
        <v>31.381098967936243</v>
      </c>
    </row>
    <row r="97" spans="1:14">
      <c r="A97" s="67">
        <v>144</v>
      </c>
      <c r="B97" s="66">
        <v>6</v>
      </c>
      <c r="C97" s="66" t="s">
        <v>425</v>
      </c>
      <c r="D97" s="66" t="s">
        <v>418</v>
      </c>
      <c r="E97" s="168" t="s">
        <v>437</v>
      </c>
      <c r="F97" s="169">
        <v>15.139983862621255</v>
      </c>
      <c r="G97" s="169">
        <v>135.75965254016211</v>
      </c>
      <c r="H97" s="30">
        <v>8.9669615088121635</v>
      </c>
      <c r="I97" s="174">
        <v>3.8021364227824699</v>
      </c>
      <c r="J97" s="175">
        <v>5.8502773560942471E-3</v>
      </c>
      <c r="K97" s="175">
        <v>6.9003198906657731E-3</v>
      </c>
      <c r="L97" s="176">
        <v>115.89817686459007</v>
      </c>
      <c r="M97" s="176">
        <v>169.26740242246413</v>
      </c>
      <c r="N97" s="177">
        <v>46.87760189951203</v>
      </c>
    </row>
    <row r="98" spans="1:14">
      <c r="F98" s="64"/>
      <c r="G98" s="64"/>
      <c r="H98" s="64"/>
    </row>
    <row r="99" spans="1:14">
      <c r="F99" s="64"/>
      <c r="G99" s="64"/>
      <c r="H99" s="64"/>
    </row>
    <row r="100" spans="1:14">
      <c r="F100" s="64"/>
      <c r="G100" s="64"/>
      <c r="H100" s="64"/>
    </row>
    <row r="101" spans="1:14">
      <c r="F101" s="64"/>
      <c r="G101" s="64"/>
      <c r="H101" s="64"/>
    </row>
    <row r="102" spans="1:14">
      <c r="F102" s="64"/>
      <c r="G102" s="64"/>
      <c r="H102" s="64"/>
    </row>
    <row r="103" spans="1:14">
      <c r="F103" s="64"/>
      <c r="G103" s="64"/>
      <c r="H103" s="64"/>
    </row>
    <row r="104" spans="1:14">
      <c r="F104" s="64"/>
      <c r="G104" s="64"/>
      <c r="H104" s="64"/>
    </row>
    <row r="105" spans="1:14">
      <c r="F105" s="64"/>
      <c r="G105" s="64"/>
      <c r="H105" s="64"/>
    </row>
    <row r="106" spans="1:14">
      <c r="F106" s="64"/>
      <c r="G106" s="64"/>
      <c r="H106" s="64"/>
    </row>
    <row r="107" spans="1:14">
      <c r="F107" s="64"/>
      <c r="G107" s="64"/>
      <c r="H107" s="64"/>
    </row>
    <row r="108" spans="1:14">
      <c r="F108" s="64"/>
      <c r="G108" s="64"/>
      <c r="H108" s="64"/>
    </row>
    <row r="109" spans="1:14">
      <c r="F109" s="64"/>
      <c r="G109" s="64"/>
      <c r="H109" s="64"/>
    </row>
    <row r="110" spans="1:14">
      <c r="F110" s="64"/>
      <c r="G110" s="64"/>
      <c r="H110" s="64"/>
    </row>
    <row r="111" spans="1:14">
      <c r="F111" s="64"/>
      <c r="G111" s="64"/>
      <c r="H111" s="64"/>
    </row>
    <row r="112" spans="1:14">
      <c r="F112" s="64"/>
      <c r="G112" s="64"/>
      <c r="H112" s="64"/>
    </row>
    <row r="113" spans="6:8">
      <c r="F113" s="64"/>
      <c r="G113" s="64"/>
      <c r="H113" s="64"/>
    </row>
    <row r="114" spans="6:8">
      <c r="F114" s="64"/>
      <c r="G114" s="64"/>
      <c r="H114" s="64"/>
    </row>
    <row r="115" spans="6:8">
      <c r="F115" s="64"/>
      <c r="G115" s="64"/>
      <c r="H115" s="64"/>
    </row>
    <row r="116" spans="6:8">
      <c r="F116" s="64"/>
      <c r="G116" s="64"/>
      <c r="H116" s="64"/>
    </row>
    <row r="117" spans="6:8">
      <c r="F117" s="64"/>
      <c r="G117" s="64"/>
      <c r="H117" s="64"/>
    </row>
    <row r="118" spans="6:8">
      <c r="F118" s="64"/>
      <c r="G118" s="64"/>
      <c r="H118" s="64"/>
    </row>
    <row r="119" spans="6:8">
      <c r="F119" s="64"/>
      <c r="G119" s="64"/>
      <c r="H119" s="64"/>
    </row>
    <row r="120" spans="6:8">
      <c r="F120" s="64"/>
      <c r="G120" s="64"/>
      <c r="H120" s="64"/>
    </row>
    <row r="121" spans="6:8">
      <c r="F121" s="64"/>
      <c r="G121" s="64"/>
      <c r="H121" s="64"/>
    </row>
    <row r="122" spans="6:8">
      <c r="F122" s="64"/>
      <c r="G122" s="64"/>
      <c r="H122" s="64"/>
    </row>
    <row r="123" spans="6:8">
      <c r="F123" s="64"/>
      <c r="G123" s="64"/>
      <c r="H123" s="64"/>
    </row>
    <row r="124" spans="6:8">
      <c r="F124" s="64"/>
      <c r="G124" s="64"/>
      <c r="H124" s="64"/>
    </row>
    <row r="125" spans="6:8">
      <c r="F125" s="64"/>
      <c r="G125" s="64"/>
      <c r="H125" s="64"/>
    </row>
    <row r="126" spans="6:8">
      <c r="F126" s="64"/>
      <c r="G126" s="64"/>
      <c r="H126" s="64"/>
    </row>
    <row r="127" spans="6:8">
      <c r="F127" s="64"/>
      <c r="G127" s="64"/>
      <c r="H127" s="64"/>
    </row>
    <row r="128" spans="6:8">
      <c r="F128" s="64"/>
      <c r="G128" s="64"/>
      <c r="H128" s="64"/>
    </row>
    <row r="129" spans="6:8">
      <c r="F129" s="64"/>
      <c r="G129" s="64"/>
      <c r="H129" s="64"/>
    </row>
    <row r="130" spans="6:8">
      <c r="F130" s="64"/>
      <c r="G130" s="64"/>
      <c r="H130" s="64"/>
    </row>
    <row r="131" spans="6:8">
      <c r="F131" s="64"/>
      <c r="G131" s="64"/>
      <c r="H131" s="64"/>
    </row>
    <row r="132" spans="6:8">
      <c r="F132" s="64"/>
      <c r="G132" s="64"/>
      <c r="H132" s="64"/>
    </row>
    <row r="133" spans="6:8">
      <c r="F133" s="64"/>
      <c r="G133" s="64"/>
      <c r="H133" s="64"/>
    </row>
    <row r="134" spans="6:8">
      <c r="F134" s="64"/>
      <c r="G134" s="64"/>
      <c r="H134" s="64"/>
    </row>
    <row r="135" spans="6:8">
      <c r="F135" s="64"/>
      <c r="G135" s="64"/>
      <c r="H135" s="64"/>
    </row>
    <row r="136" spans="6:8">
      <c r="F136" s="64"/>
      <c r="G136" s="64"/>
      <c r="H136" s="64"/>
    </row>
    <row r="137" spans="6:8">
      <c r="F137" s="64"/>
      <c r="G137" s="64"/>
      <c r="H137" s="64"/>
    </row>
    <row r="138" spans="6:8">
      <c r="F138" s="64"/>
      <c r="G138" s="64"/>
      <c r="H138" s="64"/>
    </row>
    <row r="139" spans="6:8">
      <c r="F139" s="64"/>
      <c r="G139" s="64"/>
      <c r="H139" s="64"/>
    </row>
    <row r="140" spans="6:8">
      <c r="F140" s="64"/>
      <c r="G140" s="64"/>
      <c r="H140" s="64"/>
    </row>
    <row r="141" spans="6:8">
      <c r="F141" s="64"/>
      <c r="G141" s="64"/>
      <c r="H141" s="64"/>
    </row>
    <row r="142" spans="6:8">
      <c r="F142" s="64"/>
      <c r="G142" s="64"/>
      <c r="H142" s="64"/>
    </row>
    <row r="143" spans="6:8">
      <c r="F143" s="64"/>
      <c r="G143" s="64"/>
      <c r="H143" s="64"/>
    </row>
    <row r="144" spans="6:8">
      <c r="F144" s="64"/>
      <c r="G144" s="64"/>
      <c r="H144" s="64"/>
    </row>
    <row r="145" spans="6:8">
      <c r="F145" s="64"/>
      <c r="G145" s="64"/>
      <c r="H145" s="64"/>
    </row>
    <row r="146" spans="6:8">
      <c r="F146" s="64"/>
      <c r="G146" s="64"/>
      <c r="H146" s="64"/>
    </row>
    <row r="147" spans="6:8">
      <c r="F147" s="64"/>
      <c r="G147" s="64"/>
      <c r="H147" s="64"/>
    </row>
    <row r="148" spans="6:8">
      <c r="F148" s="64"/>
      <c r="G148" s="64"/>
      <c r="H148" s="64"/>
    </row>
    <row r="149" spans="6:8">
      <c r="F149" s="64"/>
      <c r="G149" s="64"/>
      <c r="H149" s="64"/>
    </row>
    <row r="150" spans="6:8">
      <c r="F150" s="64"/>
      <c r="G150" s="64"/>
      <c r="H150" s="64"/>
    </row>
    <row r="151" spans="6:8">
      <c r="F151" s="64"/>
      <c r="G151" s="64"/>
      <c r="H151" s="64"/>
    </row>
    <row r="152" spans="6:8">
      <c r="F152" s="64"/>
      <c r="G152" s="64"/>
      <c r="H152" s="64"/>
    </row>
    <row r="153" spans="6:8">
      <c r="F153" s="64"/>
      <c r="G153" s="64"/>
      <c r="H153" s="64"/>
    </row>
    <row r="154" spans="6:8">
      <c r="F154" s="64"/>
      <c r="G154" s="64"/>
      <c r="H154" s="64"/>
    </row>
    <row r="155" spans="6:8">
      <c r="F155" s="64"/>
      <c r="G155" s="64"/>
      <c r="H155" s="64"/>
    </row>
    <row r="156" spans="6:8">
      <c r="F156" s="64"/>
      <c r="G156" s="64"/>
      <c r="H156" s="64"/>
    </row>
    <row r="157" spans="6:8">
      <c r="F157" s="64"/>
      <c r="G157" s="64"/>
      <c r="H157" s="64"/>
    </row>
    <row r="158" spans="6:8">
      <c r="F158" s="64"/>
      <c r="G158" s="64"/>
      <c r="H158" s="64"/>
    </row>
    <row r="159" spans="6:8">
      <c r="F159" s="64"/>
      <c r="G159" s="64"/>
      <c r="H159" s="64"/>
    </row>
    <row r="160" spans="6:8">
      <c r="F160" s="64"/>
      <c r="G160" s="64"/>
      <c r="H160" s="64"/>
    </row>
    <row r="161" spans="6:8">
      <c r="F161" s="64"/>
      <c r="G161" s="64"/>
      <c r="H161" s="64"/>
    </row>
    <row r="162" spans="6:8">
      <c r="F162" s="64"/>
      <c r="G162" s="64"/>
      <c r="H162" s="64"/>
    </row>
    <row r="163" spans="6:8">
      <c r="F163" s="64"/>
      <c r="G163" s="64"/>
      <c r="H163" s="64"/>
    </row>
    <row r="164" spans="6:8">
      <c r="F164" s="64"/>
      <c r="G164" s="64"/>
      <c r="H164" s="64"/>
    </row>
    <row r="165" spans="6:8">
      <c r="F165" s="64"/>
      <c r="G165" s="64"/>
      <c r="H165" s="64"/>
    </row>
    <row r="166" spans="6:8">
      <c r="F166" s="64"/>
      <c r="G166" s="64"/>
      <c r="H166" s="64"/>
    </row>
    <row r="167" spans="6:8">
      <c r="F167" s="64"/>
      <c r="G167" s="64"/>
      <c r="H167" s="64"/>
    </row>
    <row r="168" spans="6:8">
      <c r="F168" s="64"/>
      <c r="G168" s="64"/>
      <c r="H168" s="64"/>
    </row>
    <row r="169" spans="6:8">
      <c r="F169" s="64"/>
      <c r="G169" s="64"/>
      <c r="H169" s="64"/>
    </row>
    <row r="170" spans="6:8">
      <c r="F170" s="64"/>
      <c r="G170" s="64"/>
      <c r="H170" s="64"/>
    </row>
    <row r="171" spans="6:8">
      <c r="F171" s="64"/>
      <c r="G171" s="64"/>
      <c r="H171" s="64"/>
    </row>
    <row r="172" spans="6:8">
      <c r="F172" s="64"/>
      <c r="G172" s="64"/>
      <c r="H172" s="64"/>
    </row>
    <row r="173" spans="6:8">
      <c r="F173" s="64"/>
      <c r="G173" s="64"/>
      <c r="H173" s="64"/>
    </row>
    <row r="174" spans="6:8">
      <c r="F174" s="64"/>
      <c r="G174" s="64"/>
      <c r="H174" s="64"/>
    </row>
    <row r="175" spans="6:8">
      <c r="F175" s="64"/>
      <c r="G175" s="64"/>
      <c r="H175" s="64"/>
    </row>
    <row r="176" spans="6:8">
      <c r="F176" s="64"/>
      <c r="G176" s="64"/>
      <c r="H176" s="64"/>
    </row>
    <row r="177" spans="6:8">
      <c r="F177" s="64"/>
      <c r="G177" s="64"/>
      <c r="H177" s="64"/>
    </row>
    <row r="178" spans="6:8">
      <c r="F178" s="64"/>
      <c r="G178" s="64"/>
      <c r="H178" s="64"/>
    </row>
    <row r="179" spans="6:8">
      <c r="F179" s="64"/>
      <c r="G179" s="64"/>
      <c r="H179" s="64"/>
    </row>
    <row r="180" spans="6:8">
      <c r="F180" s="64"/>
      <c r="G180" s="64"/>
      <c r="H180" s="64"/>
    </row>
    <row r="181" spans="6:8">
      <c r="F181" s="64"/>
      <c r="G181" s="64"/>
      <c r="H181" s="64"/>
    </row>
    <row r="182" spans="6:8">
      <c r="F182" s="64"/>
      <c r="G182" s="64"/>
      <c r="H182" s="64"/>
    </row>
    <row r="183" spans="6:8">
      <c r="F183" s="64"/>
      <c r="G183" s="64"/>
      <c r="H183" s="64"/>
    </row>
    <row r="184" spans="6:8">
      <c r="F184" s="64"/>
      <c r="G184" s="64"/>
      <c r="H184" s="64"/>
    </row>
    <row r="185" spans="6:8">
      <c r="F185" s="64"/>
      <c r="G185" s="64"/>
      <c r="H185" s="64"/>
    </row>
    <row r="186" spans="6:8">
      <c r="F186" s="64"/>
      <c r="G186" s="64"/>
      <c r="H186" s="64"/>
    </row>
    <row r="187" spans="6:8">
      <c r="F187" s="64"/>
      <c r="G187" s="64"/>
      <c r="H187" s="64"/>
    </row>
    <row r="188" spans="6:8">
      <c r="F188" s="64"/>
      <c r="G188" s="64"/>
      <c r="H188" s="64"/>
    </row>
    <row r="189" spans="6:8">
      <c r="F189" s="64"/>
      <c r="G189" s="64"/>
      <c r="H189" s="64"/>
    </row>
    <row r="190" spans="6:8">
      <c r="F190" s="64"/>
      <c r="G190" s="64"/>
      <c r="H190" s="64"/>
    </row>
    <row r="191" spans="6:8">
      <c r="F191" s="64"/>
      <c r="G191" s="64"/>
      <c r="H191" s="64"/>
    </row>
    <row r="192" spans="6:8">
      <c r="F192" s="64"/>
      <c r="G192" s="64"/>
      <c r="H192" s="64"/>
    </row>
    <row r="193" spans="6:8">
      <c r="F193" s="64"/>
      <c r="G193" s="64"/>
      <c r="H193" s="64"/>
    </row>
    <row r="194" spans="6:8">
      <c r="F194" s="64"/>
      <c r="G194" s="64"/>
      <c r="H194" s="64"/>
    </row>
    <row r="195" spans="6:8">
      <c r="F195" s="64"/>
      <c r="G195" s="64"/>
      <c r="H195" s="64"/>
    </row>
    <row r="196" spans="6:8">
      <c r="F196" s="64"/>
      <c r="G196" s="64"/>
      <c r="H196" s="64"/>
    </row>
    <row r="197" spans="6:8">
      <c r="F197" s="64"/>
      <c r="G197" s="64"/>
      <c r="H197" s="64"/>
    </row>
    <row r="198" spans="6:8">
      <c r="F198" s="64"/>
      <c r="G198" s="64"/>
      <c r="H198" s="64"/>
    </row>
    <row r="199" spans="6:8">
      <c r="F199" s="64"/>
      <c r="G199" s="64"/>
      <c r="H199" s="64"/>
    </row>
    <row r="200" spans="6:8">
      <c r="F200" s="64"/>
      <c r="G200" s="64"/>
      <c r="H200" s="64"/>
    </row>
    <row r="201" spans="6:8">
      <c r="F201" s="64"/>
      <c r="G201" s="64"/>
      <c r="H201" s="64"/>
    </row>
    <row r="202" spans="6:8">
      <c r="F202" s="64"/>
      <c r="G202" s="64"/>
      <c r="H202" s="64"/>
    </row>
    <row r="203" spans="6:8">
      <c r="F203" s="64"/>
      <c r="G203" s="64"/>
      <c r="H203" s="64"/>
    </row>
    <row r="204" spans="6:8">
      <c r="F204" s="64"/>
      <c r="G204" s="64"/>
      <c r="H204" s="64"/>
    </row>
    <row r="205" spans="6:8">
      <c r="F205" s="64"/>
      <c r="G205" s="64"/>
      <c r="H205" s="64"/>
    </row>
    <row r="206" spans="6:8">
      <c r="F206" s="64"/>
      <c r="G206" s="64"/>
      <c r="H206" s="64"/>
    </row>
    <row r="207" spans="6:8">
      <c r="F207" s="64"/>
      <c r="G207" s="64"/>
      <c r="H207" s="64"/>
    </row>
    <row r="208" spans="6:8">
      <c r="F208" s="64"/>
      <c r="G208" s="64"/>
      <c r="H208" s="64"/>
    </row>
    <row r="209" spans="6:8">
      <c r="F209" s="64"/>
      <c r="G209" s="64"/>
      <c r="H209" s="64"/>
    </row>
    <row r="210" spans="6:8">
      <c r="F210" s="64"/>
      <c r="G210" s="64"/>
      <c r="H210" s="64"/>
    </row>
    <row r="211" spans="6:8">
      <c r="F211" s="64"/>
      <c r="G211" s="64"/>
      <c r="H211" s="64"/>
    </row>
    <row r="212" spans="6:8">
      <c r="F212" s="64"/>
      <c r="G212" s="64"/>
      <c r="H212" s="64"/>
    </row>
    <row r="213" spans="6:8">
      <c r="F213" s="64"/>
      <c r="G213" s="64"/>
      <c r="H213" s="64"/>
    </row>
    <row r="214" spans="6:8">
      <c r="F214" s="64"/>
      <c r="G214" s="64"/>
      <c r="H214" s="64"/>
    </row>
    <row r="215" spans="6:8">
      <c r="F215" s="64"/>
      <c r="G215" s="64"/>
      <c r="H215" s="64"/>
    </row>
    <row r="216" spans="6:8">
      <c r="F216" s="64"/>
      <c r="G216" s="64"/>
      <c r="H216" s="64"/>
    </row>
    <row r="217" spans="6:8">
      <c r="F217" s="64"/>
      <c r="G217" s="64"/>
      <c r="H217" s="64"/>
    </row>
    <row r="218" spans="6:8">
      <c r="F218" s="64"/>
      <c r="G218" s="64"/>
      <c r="H218" s="64"/>
    </row>
    <row r="219" spans="6:8">
      <c r="F219" s="64"/>
      <c r="G219" s="64"/>
      <c r="H219" s="64"/>
    </row>
    <row r="220" spans="6:8">
      <c r="F220" s="64"/>
      <c r="G220" s="64"/>
      <c r="H220" s="64"/>
    </row>
    <row r="221" spans="6:8">
      <c r="F221" s="64"/>
      <c r="G221" s="64"/>
      <c r="H221" s="64"/>
    </row>
    <row r="222" spans="6:8">
      <c r="F222" s="64"/>
      <c r="G222" s="64"/>
      <c r="H222" s="64"/>
    </row>
    <row r="223" spans="6:8">
      <c r="F223" s="64"/>
      <c r="G223" s="64"/>
      <c r="H223" s="64"/>
    </row>
    <row r="224" spans="6:8">
      <c r="F224" s="64"/>
      <c r="G224" s="64"/>
      <c r="H224" s="64"/>
    </row>
    <row r="225" spans="6:8">
      <c r="F225" s="64"/>
      <c r="G225" s="64"/>
      <c r="H225" s="64"/>
    </row>
    <row r="226" spans="6:8">
      <c r="F226" s="64"/>
      <c r="G226" s="64"/>
      <c r="H226" s="64"/>
    </row>
    <row r="227" spans="6:8">
      <c r="F227" s="64"/>
      <c r="G227" s="64"/>
      <c r="H227" s="64"/>
    </row>
    <row r="228" spans="6:8">
      <c r="F228" s="64"/>
      <c r="G228" s="64"/>
      <c r="H228" s="64"/>
    </row>
    <row r="229" spans="6:8">
      <c r="F229" s="64"/>
      <c r="G229" s="64"/>
      <c r="H229" s="64"/>
    </row>
    <row r="230" spans="6:8">
      <c r="F230" s="64"/>
      <c r="G230" s="64"/>
      <c r="H230" s="64"/>
    </row>
    <row r="231" spans="6:8">
      <c r="F231" s="64"/>
      <c r="G231" s="64"/>
      <c r="H231" s="64"/>
    </row>
    <row r="232" spans="6:8">
      <c r="F232" s="64"/>
      <c r="G232" s="64"/>
      <c r="H232" s="64"/>
    </row>
    <row r="233" spans="6:8">
      <c r="F233" s="64"/>
      <c r="G233" s="64"/>
      <c r="H233" s="64"/>
    </row>
    <row r="234" spans="6:8">
      <c r="F234" s="64"/>
      <c r="G234" s="64"/>
      <c r="H234" s="64"/>
    </row>
    <row r="235" spans="6:8">
      <c r="F235" s="64"/>
      <c r="G235" s="64"/>
      <c r="H235" s="64"/>
    </row>
    <row r="236" spans="6:8">
      <c r="F236" s="64"/>
      <c r="G236" s="64"/>
      <c r="H236" s="64"/>
    </row>
    <row r="237" spans="6:8">
      <c r="F237" s="64"/>
      <c r="G237" s="64"/>
      <c r="H237" s="64"/>
    </row>
    <row r="238" spans="6:8">
      <c r="F238" s="64"/>
      <c r="G238" s="64"/>
      <c r="H238" s="64"/>
    </row>
    <row r="239" spans="6:8">
      <c r="F239" s="64"/>
      <c r="G239" s="64"/>
      <c r="H239" s="64"/>
    </row>
    <row r="240" spans="6:8">
      <c r="F240" s="64"/>
      <c r="G240" s="64"/>
      <c r="H240" s="64"/>
    </row>
    <row r="241" spans="6:8">
      <c r="F241" s="64"/>
      <c r="G241" s="64"/>
      <c r="H241" s="64"/>
    </row>
    <row r="242" spans="6:8">
      <c r="F242" s="64"/>
      <c r="G242" s="64"/>
      <c r="H242" s="64"/>
    </row>
    <row r="243" spans="6:8">
      <c r="F243" s="64"/>
      <c r="G243" s="64"/>
      <c r="H243" s="64"/>
    </row>
    <row r="244" spans="6:8">
      <c r="F244" s="64"/>
      <c r="G244" s="64"/>
      <c r="H244" s="64"/>
    </row>
    <row r="245" spans="6:8">
      <c r="F245" s="64"/>
      <c r="G245" s="64"/>
      <c r="H245" s="64"/>
    </row>
    <row r="246" spans="6:8">
      <c r="F246" s="64"/>
      <c r="G246" s="64"/>
      <c r="H246" s="64"/>
    </row>
    <row r="247" spans="6:8">
      <c r="F247" s="64"/>
      <c r="G247" s="64"/>
      <c r="H247" s="64"/>
    </row>
    <row r="248" spans="6:8">
      <c r="F248" s="64"/>
      <c r="G248" s="64"/>
      <c r="H248" s="64"/>
    </row>
    <row r="249" spans="6:8">
      <c r="F249" s="64"/>
      <c r="G249" s="64"/>
      <c r="H249" s="64"/>
    </row>
    <row r="250" spans="6:8">
      <c r="F250" s="64"/>
      <c r="G250" s="64"/>
      <c r="H250" s="64"/>
    </row>
    <row r="251" spans="6:8">
      <c r="F251" s="64"/>
      <c r="G251" s="64"/>
      <c r="H251" s="64"/>
    </row>
    <row r="252" spans="6:8">
      <c r="F252" s="64"/>
      <c r="G252" s="64"/>
      <c r="H252" s="64"/>
    </row>
    <row r="253" spans="6:8">
      <c r="F253" s="64"/>
      <c r="G253" s="64"/>
      <c r="H253" s="64"/>
    </row>
    <row r="254" spans="6:8">
      <c r="F254" s="64"/>
      <c r="G254" s="64"/>
      <c r="H254" s="64"/>
    </row>
    <row r="255" spans="6:8">
      <c r="F255" s="64"/>
      <c r="G255" s="64"/>
      <c r="H255" s="64"/>
    </row>
    <row r="256" spans="6:8">
      <c r="F256" s="64"/>
      <c r="G256" s="64"/>
      <c r="H256" s="64"/>
    </row>
  </sheetData>
  <phoneticPr fontId="4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 peach removed</vt:lpstr>
      <vt:lpstr>AM conversions</vt:lpstr>
      <vt:lpstr>calculatedMic</vt:lpstr>
      <vt:lpstr>FINAL_CLEAN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</dc:creator>
  <cp:lastModifiedBy>Elise Ida Blum Samuelsen</cp:lastModifiedBy>
  <cp:lastPrinted>2013-11-15T12:41:46Z</cp:lastPrinted>
  <dcterms:created xsi:type="dcterms:W3CDTF">2013-11-05T15:55:17Z</dcterms:created>
  <dcterms:modified xsi:type="dcterms:W3CDTF">2026-05-13T10:22:34Z</dcterms:modified>
</cp:coreProperties>
</file>